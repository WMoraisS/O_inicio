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554A6B18-744F-4F17-AFAA-1118C69D96B5}" xr6:coauthVersionLast="47" xr6:coauthVersionMax="47" xr10:uidLastSave="{00000000-0000-0000-0000-000000000000}"/>
  <bookViews>
    <workbookView xWindow="-120" yWindow="-120" windowWidth="29040" windowHeight="15840" xr2:uid="{701481EE-AC9D-4DDF-9840-6196C8643803}"/>
  </bookViews>
  <sheets>
    <sheet name="Carga" sheetId="278" r:id="rId1"/>
    <sheet name="Destino" sheetId="289" r:id="rId2"/>
    <sheet name="Base de dados" sheetId="192" state="hidden" r:id="rId3"/>
  </sheets>
  <definedNames>
    <definedName name="_xlnm._FilterDatabase" localSheetId="2" hidden="1">'Base de dados'!$A$1:$C$1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40" i="278" l="1"/>
  <c r="P540" i="278"/>
  <c r="Q535" i="278"/>
  <c r="P535" i="278"/>
  <c r="Q530" i="278"/>
  <c r="P530" i="278"/>
  <c r="Q525" i="278"/>
  <c r="P525" i="278"/>
  <c r="Q520" i="278"/>
  <c r="P520" i="278"/>
  <c r="Q515" i="278"/>
  <c r="P515" i="278"/>
  <c r="Q510" i="278"/>
  <c r="P510" i="278"/>
  <c r="Q505" i="278"/>
  <c r="P505" i="278"/>
  <c r="Q500" i="278"/>
  <c r="P500" i="278"/>
  <c r="Q493" i="278"/>
  <c r="P493" i="278"/>
  <c r="Q490" i="278"/>
  <c r="P490" i="278"/>
  <c r="Q483" i="278"/>
  <c r="P483" i="278"/>
  <c r="Q480" i="278"/>
  <c r="P480" i="278"/>
  <c r="Q475" i="278"/>
  <c r="P475" i="278"/>
  <c r="Q473" i="278"/>
  <c r="P473" i="278"/>
  <c r="Q469" i="278"/>
  <c r="P469" i="278"/>
  <c r="Q464" i="278"/>
  <c r="P464" i="278"/>
  <c r="Q459" i="278"/>
  <c r="P459" i="278"/>
  <c r="Q454" i="278"/>
  <c r="P454" i="278"/>
  <c r="Q450" i="278"/>
  <c r="P450" i="278"/>
  <c r="Q445" i="278"/>
  <c r="P445" i="278"/>
  <c r="Q438" i="278"/>
  <c r="P438" i="278"/>
  <c r="Q435" i="278"/>
  <c r="P435" i="278"/>
  <c r="Q430" i="278"/>
  <c r="P430" i="278"/>
  <c r="Q425" i="278"/>
  <c r="P425" i="278"/>
  <c r="Q424" i="278"/>
  <c r="P424" i="278"/>
  <c r="Q419" i="278"/>
  <c r="P419" i="278"/>
  <c r="Q414" i="278"/>
  <c r="P414" i="278"/>
  <c r="Q409" i="278"/>
  <c r="P409" i="278"/>
  <c r="Q404" i="278"/>
  <c r="P404" i="278"/>
  <c r="Q399" i="278"/>
  <c r="P399" i="278"/>
  <c r="Q394" i="278"/>
  <c r="P394" i="278"/>
  <c r="Q389" i="278"/>
  <c r="P389" i="278"/>
  <c r="Q384" i="278"/>
  <c r="P384" i="278"/>
  <c r="Q379" i="278"/>
  <c r="P379" i="278"/>
  <c r="Q374" i="278"/>
  <c r="P374" i="278"/>
  <c r="Q369" i="278"/>
  <c r="P369" i="278"/>
  <c r="Q364" i="278"/>
  <c r="P364" i="278"/>
  <c r="Q355" i="278"/>
  <c r="P355" i="278"/>
  <c r="Q354" i="278"/>
  <c r="P354" i="278"/>
  <c r="Q349" i="278"/>
  <c r="P349" i="278"/>
  <c r="Q344" i="278"/>
  <c r="P344" i="278"/>
  <c r="Q339" i="278"/>
  <c r="P339" i="278"/>
  <c r="Q334" i="278"/>
  <c r="P334" i="278"/>
  <c r="Q330" i="278"/>
  <c r="P330" i="278"/>
  <c r="Q325" i="278"/>
  <c r="P325" i="278"/>
  <c r="Q320" i="278"/>
  <c r="P320" i="278"/>
  <c r="Q315" i="278"/>
  <c r="P315" i="278"/>
  <c r="Q310" i="278"/>
  <c r="P310" i="278"/>
  <c r="Q304" i="278"/>
  <c r="P304" i="278"/>
  <c r="Q299" i="278"/>
  <c r="P299" i="278"/>
  <c r="Q294" i="278"/>
  <c r="P294" i="278"/>
  <c r="Q289" i="278"/>
  <c r="P289" i="278"/>
  <c r="Q283" i="278"/>
  <c r="P283" i="278"/>
  <c r="Q281" i="278"/>
  <c r="P281" i="278"/>
  <c r="Q276" i="278"/>
  <c r="P276" i="278"/>
  <c r="Q271" i="278"/>
  <c r="P271" i="278"/>
  <c r="Q266" i="278"/>
  <c r="P266" i="278"/>
  <c r="Q261" i="278"/>
  <c r="P261" i="278"/>
  <c r="Q258" i="278"/>
  <c r="P258" i="278"/>
  <c r="Q255" i="278"/>
  <c r="P255" i="278"/>
  <c r="Q250" i="278"/>
  <c r="P250" i="278"/>
  <c r="Q245" i="278"/>
  <c r="P245" i="278"/>
  <c r="Q240" i="278"/>
  <c r="P240" i="278"/>
  <c r="Q237" i="278"/>
  <c r="P237" i="278"/>
  <c r="Q234" i="278"/>
  <c r="P234" i="278"/>
  <c r="Q233" i="278"/>
  <c r="P233" i="278"/>
  <c r="Q228" i="278"/>
  <c r="P228" i="278"/>
  <c r="Q223" i="278"/>
  <c r="P223" i="278"/>
  <c r="Q218" i="278"/>
  <c r="P218" i="278"/>
  <c r="Q213" i="278"/>
  <c r="P213" i="278"/>
  <c r="Q208" i="278"/>
  <c r="P208" i="278"/>
  <c r="Q203" i="278"/>
  <c r="P203" i="278"/>
  <c r="Q198" i="278"/>
  <c r="P198" i="278"/>
  <c r="Q191" i="278"/>
  <c r="P191" i="278"/>
  <c r="Q186" i="278"/>
  <c r="P186" i="278"/>
  <c r="Q181" i="278"/>
  <c r="P181" i="278"/>
  <c r="Q176" i="278"/>
  <c r="P176" i="278"/>
  <c r="Q171" i="278"/>
  <c r="P171" i="278"/>
  <c r="Q164" i="278"/>
  <c r="P164" i="278"/>
  <c r="Q161" i="278"/>
  <c r="P161" i="278"/>
  <c r="Q156" i="278"/>
  <c r="P156" i="278"/>
  <c r="Q153" i="278"/>
  <c r="P153" i="278"/>
  <c r="Q150" i="278"/>
  <c r="P150" i="278"/>
  <c r="Q145" i="278"/>
  <c r="P145" i="278"/>
  <c r="Q140" i="278"/>
  <c r="P140" i="278"/>
  <c r="Q135" i="278"/>
  <c r="P135" i="278"/>
  <c r="Q130" i="278"/>
  <c r="P130" i="278"/>
  <c r="Q125" i="278"/>
  <c r="P125" i="278"/>
  <c r="Q120" i="278"/>
  <c r="P120" i="278"/>
  <c r="Q115" i="278"/>
  <c r="P115" i="278"/>
  <c r="Q110" i="278"/>
  <c r="P110" i="278"/>
  <c r="Q105" i="278"/>
  <c r="P105" i="278"/>
  <c r="Q100" i="278"/>
  <c r="P100" i="278"/>
  <c r="Q95" i="278"/>
  <c r="P95" i="278"/>
  <c r="Q90" i="278"/>
  <c r="P90" i="278"/>
  <c r="Q85" i="278"/>
  <c r="P85" i="278"/>
  <c r="Q80" i="278"/>
  <c r="P80" i="278"/>
  <c r="Q75" i="278"/>
  <c r="P75" i="278"/>
  <c r="Q70" i="278"/>
  <c r="P70" i="278"/>
  <c r="Q65" i="278"/>
  <c r="P65" i="278"/>
  <c r="Q60" i="278"/>
  <c r="P60" i="278"/>
  <c r="Q55" i="278"/>
  <c r="P55" i="278"/>
  <c r="Q50" i="278"/>
  <c r="P50" i="278"/>
  <c r="Q45" i="278"/>
  <c r="P45" i="278"/>
  <c r="Q44" i="278"/>
  <c r="P44" i="278"/>
  <c r="Q39" i="278"/>
  <c r="P39" i="278"/>
  <c r="Q34" i="278"/>
  <c r="P34" i="278"/>
  <c r="Q29" i="278"/>
  <c r="P29" i="278"/>
  <c r="Q25" i="278"/>
  <c r="P25" i="278"/>
  <c r="Q17" i="278"/>
  <c r="P17" i="278"/>
  <c r="Q13" i="278"/>
  <c r="P13" i="278"/>
  <c r="Q7" i="278"/>
  <c r="P7" i="278"/>
  <c r="BD540" i="278"/>
  <c r="H540" i="278"/>
  <c r="AA540" i="278" s="1"/>
  <c r="BD539" i="278"/>
  <c r="BB539" i="278"/>
  <c r="AI539" i="278"/>
  <c r="AH539" i="278"/>
  <c r="AF539" i="278"/>
  <c r="AG539" i="278"/>
  <c r="AD539" i="278"/>
  <c r="AC539" i="278"/>
  <c r="AB539" i="278"/>
  <c r="AA539" i="278"/>
  <c r="H539" i="278"/>
  <c r="BD538" i="278"/>
  <c r="BB538" i="278"/>
  <c r="AI538" i="278"/>
  <c r="AH538" i="278"/>
  <c r="AF538" i="278"/>
  <c r="AG538" i="278"/>
  <c r="AE538" i="278"/>
  <c r="AD538" i="278"/>
  <c r="AC538" i="278"/>
  <c r="AB538" i="278"/>
  <c r="AA538" i="278"/>
  <c r="H538" i="278"/>
  <c r="BD537" i="278"/>
  <c r="BB537" i="278"/>
  <c r="AI537" i="278"/>
  <c r="AH537" i="278"/>
  <c r="AF537" i="278"/>
  <c r="AG537" i="278"/>
  <c r="AD537" i="278"/>
  <c r="AC537" i="278"/>
  <c r="AB537" i="278"/>
  <c r="AA537" i="278"/>
  <c r="H537" i="278"/>
  <c r="BD536" i="278"/>
  <c r="BB536" i="278"/>
  <c r="AI536" i="278"/>
  <c r="AH536" i="278"/>
  <c r="AF536" i="278"/>
  <c r="AG536" i="278"/>
  <c r="AD536" i="278"/>
  <c r="AC536" i="278"/>
  <c r="AB536" i="278"/>
  <c r="AA536" i="278"/>
  <c r="H536" i="278"/>
  <c r="BD535" i="278"/>
  <c r="H535" i="278"/>
  <c r="AA535" i="278" s="1"/>
  <c r="AD535" i="278" s="1"/>
  <c r="BD534" i="278"/>
  <c r="BB534" i="278"/>
  <c r="AI534" i="278"/>
  <c r="AH534" i="278"/>
  <c r="AF534" i="278"/>
  <c r="AG534" i="278"/>
  <c r="AD534" i="278"/>
  <c r="AC534" i="278"/>
  <c r="AB534" i="278"/>
  <c r="AA534" i="278"/>
  <c r="H534" i="278"/>
  <c r="BD533" i="278"/>
  <c r="BB533" i="278"/>
  <c r="AI533" i="278"/>
  <c r="AH533" i="278"/>
  <c r="AF533" i="278"/>
  <c r="AG533" i="278"/>
  <c r="AE533" i="278"/>
  <c r="AD533" i="278"/>
  <c r="AC533" i="278"/>
  <c r="AB533" i="278"/>
  <c r="AA533" i="278"/>
  <c r="H533" i="278"/>
  <c r="BD532" i="278"/>
  <c r="BB532" i="278"/>
  <c r="AI532" i="278"/>
  <c r="AH532" i="278"/>
  <c r="AF532" i="278"/>
  <c r="AG532" i="278"/>
  <c r="AD532" i="278"/>
  <c r="AC532" i="278"/>
  <c r="AB532" i="278"/>
  <c r="AA532" i="278"/>
  <c r="H532" i="278"/>
  <c r="BD531" i="278"/>
  <c r="BB531" i="278"/>
  <c r="AI531" i="278"/>
  <c r="AH531" i="278"/>
  <c r="AF531" i="278"/>
  <c r="AG531" i="278"/>
  <c r="AD531" i="278"/>
  <c r="AC531" i="278"/>
  <c r="AB531" i="278"/>
  <c r="AA531" i="278"/>
  <c r="H531" i="278"/>
  <c r="BD530" i="278"/>
  <c r="H530" i="278"/>
  <c r="AA530" i="278" s="1"/>
  <c r="BD529" i="278"/>
  <c r="BB529" i="278"/>
  <c r="AI529" i="278"/>
  <c r="AH529" i="278"/>
  <c r="AF529" i="278"/>
  <c r="AG529" i="278"/>
  <c r="AD529" i="278"/>
  <c r="AC529" i="278"/>
  <c r="AB529" i="278"/>
  <c r="AA529" i="278"/>
  <c r="H529" i="278"/>
  <c r="BD528" i="278"/>
  <c r="BB528" i="278"/>
  <c r="AI528" i="278"/>
  <c r="AH528" i="278"/>
  <c r="AF528" i="278"/>
  <c r="AG528" i="278"/>
  <c r="AE528" i="278"/>
  <c r="AD528" i="278"/>
  <c r="AC528" i="278"/>
  <c r="AB528" i="278"/>
  <c r="AA528" i="278"/>
  <c r="H528" i="278"/>
  <c r="BD527" i="278"/>
  <c r="BB527" i="278"/>
  <c r="AI527" i="278"/>
  <c r="AH527" i="278"/>
  <c r="AF527" i="278"/>
  <c r="AG527" i="278"/>
  <c r="AD527" i="278"/>
  <c r="AC527" i="278"/>
  <c r="AB527" i="278"/>
  <c r="AA527" i="278"/>
  <c r="H527" i="278"/>
  <c r="BD526" i="278"/>
  <c r="BB526" i="278"/>
  <c r="AI526" i="278"/>
  <c r="AH526" i="278"/>
  <c r="AF526" i="278"/>
  <c r="AG526" i="278"/>
  <c r="AD526" i="278"/>
  <c r="AC526" i="278"/>
  <c r="AB526" i="278"/>
  <c r="AA526" i="278"/>
  <c r="H526" i="278"/>
  <c r="BD525" i="278"/>
  <c r="BD524" i="278"/>
  <c r="BB524" i="278"/>
  <c r="AI524" i="278"/>
  <c r="AH524" i="278"/>
  <c r="AF524" i="278"/>
  <c r="AG524" i="278"/>
  <c r="AD524" i="278"/>
  <c r="AC524" i="278"/>
  <c r="AB524" i="278"/>
  <c r="AA524" i="278"/>
  <c r="H524" i="278"/>
  <c r="BD523" i="278"/>
  <c r="BB523" i="278"/>
  <c r="AI523" i="278"/>
  <c r="AH523" i="278"/>
  <c r="AF523" i="278"/>
  <c r="AG523" i="278"/>
  <c r="AE523" i="278"/>
  <c r="AD523" i="278"/>
  <c r="AC523" i="278"/>
  <c r="AB523" i="278"/>
  <c r="AA523" i="278"/>
  <c r="H523" i="278"/>
  <c r="BD522" i="278"/>
  <c r="BB522" i="278"/>
  <c r="AI522" i="278"/>
  <c r="AH522" i="278"/>
  <c r="AF522" i="278"/>
  <c r="AG522" i="278"/>
  <c r="AD522" i="278"/>
  <c r="AC522" i="278"/>
  <c r="AB522" i="278"/>
  <c r="AA522" i="278"/>
  <c r="H522" i="278"/>
  <c r="BD521" i="278"/>
  <c r="BB521" i="278"/>
  <c r="AI521" i="278"/>
  <c r="AH521" i="278"/>
  <c r="AF521" i="278"/>
  <c r="AG521" i="278"/>
  <c r="AD521" i="278"/>
  <c r="AC521" i="278"/>
  <c r="AB521" i="278"/>
  <c r="AA521" i="278"/>
  <c r="H521" i="278"/>
  <c r="BD520" i="278"/>
  <c r="H520" i="278"/>
  <c r="AA520" i="278" s="1"/>
  <c r="BD519" i="278"/>
  <c r="BB519" i="278"/>
  <c r="AI519" i="278"/>
  <c r="AH519" i="278"/>
  <c r="AF519" i="278"/>
  <c r="AG519" i="278"/>
  <c r="AD519" i="278"/>
  <c r="AC519" i="278"/>
  <c r="AB519" i="278"/>
  <c r="AA519" i="278"/>
  <c r="H519" i="278"/>
  <c r="BD518" i="278"/>
  <c r="BB518" i="278"/>
  <c r="AI518" i="278"/>
  <c r="AH518" i="278"/>
  <c r="AF518" i="278"/>
  <c r="AG518" i="278"/>
  <c r="AE518" i="278"/>
  <c r="AD518" i="278"/>
  <c r="AC518" i="278"/>
  <c r="AB518" i="278"/>
  <c r="AA518" i="278"/>
  <c r="H518" i="278"/>
  <c r="BD517" i="278"/>
  <c r="BB517" i="278"/>
  <c r="AI517" i="278"/>
  <c r="AH517" i="278"/>
  <c r="AF517" i="278"/>
  <c r="AG517" i="278"/>
  <c r="AD517" i="278"/>
  <c r="AC517" i="278"/>
  <c r="AB517" i="278"/>
  <c r="AA517" i="278"/>
  <c r="H517" i="278"/>
  <c r="BD516" i="278"/>
  <c r="BB516" i="278"/>
  <c r="AI516" i="278"/>
  <c r="AH516" i="278"/>
  <c r="AF516" i="278"/>
  <c r="AG516" i="278"/>
  <c r="AD516" i="278"/>
  <c r="AC516" i="278"/>
  <c r="AB516" i="278"/>
  <c r="AA516" i="278"/>
  <c r="H516" i="278"/>
  <c r="BD515" i="278"/>
  <c r="H515" i="278"/>
  <c r="AA515" i="278" s="1"/>
  <c r="AB515" i="278" s="1"/>
  <c r="BD514" i="278"/>
  <c r="BB514" i="278"/>
  <c r="AI514" i="278"/>
  <c r="AH514" i="278"/>
  <c r="AF514" i="278"/>
  <c r="AG514" i="278"/>
  <c r="AD514" i="278"/>
  <c r="AC514" i="278"/>
  <c r="AB514" i="278"/>
  <c r="AA514" i="278"/>
  <c r="H514" i="278"/>
  <c r="BD513" i="278"/>
  <c r="BB513" i="278"/>
  <c r="AI513" i="278"/>
  <c r="AH513" i="278"/>
  <c r="AF513" i="278"/>
  <c r="AG513" i="278"/>
  <c r="AE513" i="278"/>
  <c r="AD513" i="278"/>
  <c r="AC513" i="278"/>
  <c r="AB513" i="278"/>
  <c r="AA513" i="278"/>
  <c r="H513" i="278"/>
  <c r="BD512" i="278"/>
  <c r="BB512" i="278"/>
  <c r="AI512" i="278"/>
  <c r="AH512" i="278"/>
  <c r="AF512" i="278"/>
  <c r="AG512" i="278"/>
  <c r="AD512" i="278"/>
  <c r="AC512" i="278"/>
  <c r="AB512" i="278"/>
  <c r="AA512" i="278"/>
  <c r="H512" i="278"/>
  <c r="BD511" i="278"/>
  <c r="BB511" i="278"/>
  <c r="AI511" i="278"/>
  <c r="AH511" i="278"/>
  <c r="AF511" i="278"/>
  <c r="AG511" i="278"/>
  <c r="AD511" i="278"/>
  <c r="AC511" i="278"/>
  <c r="AB511" i="278"/>
  <c r="AA511" i="278"/>
  <c r="H511" i="278"/>
  <c r="BD510" i="278"/>
  <c r="H510" i="278"/>
  <c r="AA510" i="278" s="1"/>
  <c r="AB510" i="278" s="1"/>
  <c r="BD509" i="278"/>
  <c r="BB509" i="278"/>
  <c r="AI509" i="278"/>
  <c r="AH509" i="278"/>
  <c r="AF509" i="278"/>
  <c r="AG509" i="278"/>
  <c r="AD509" i="278"/>
  <c r="AC509" i="278"/>
  <c r="AB509" i="278"/>
  <c r="AA509" i="278"/>
  <c r="H509" i="278"/>
  <c r="BD508" i="278"/>
  <c r="BB508" i="278"/>
  <c r="AI508" i="278"/>
  <c r="AH508" i="278"/>
  <c r="AF508" i="278"/>
  <c r="AG508" i="278"/>
  <c r="AE508" i="278"/>
  <c r="AD508" i="278"/>
  <c r="AC508" i="278"/>
  <c r="AB508" i="278"/>
  <c r="AA508" i="278"/>
  <c r="H508" i="278"/>
  <c r="BD507" i="278"/>
  <c r="BB507" i="278"/>
  <c r="AI507" i="278"/>
  <c r="AH507" i="278"/>
  <c r="AF507" i="278"/>
  <c r="AG507" i="278"/>
  <c r="AD507" i="278"/>
  <c r="AC507" i="278"/>
  <c r="AB507" i="278"/>
  <c r="AA507" i="278"/>
  <c r="H507" i="278"/>
  <c r="BD506" i="278"/>
  <c r="BB506" i="278"/>
  <c r="AI506" i="278"/>
  <c r="AH506" i="278"/>
  <c r="AF506" i="278"/>
  <c r="AG506" i="278"/>
  <c r="AD506" i="278"/>
  <c r="AC506" i="278"/>
  <c r="AB506" i="278"/>
  <c r="AA506" i="278"/>
  <c r="H506" i="278"/>
  <c r="BD505" i="278"/>
  <c r="BD504" i="278"/>
  <c r="BB504" i="278"/>
  <c r="AI504" i="278"/>
  <c r="AH504" i="278"/>
  <c r="AF504" i="278"/>
  <c r="AG504" i="278"/>
  <c r="AD504" i="278"/>
  <c r="AC504" i="278"/>
  <c r="AB504" i="278"/>
  <c r="AA504" i="278"/>
  <c r="H504" i="278"/>
  <c r="BD503" i="278"/>
  <c r="BB503" i="278"/>
  <c r="AI503" i="278"/>
  <c r="AH503" i="278"/>
  <c r="AF503" i="278"/>
  <c r="AG503" i="278"/>
  <c r="AE503" i="278"/>
  <c r="AD503" i="278"/>
  <c r="AC503" i="278"/>
  <c r="AB503" i="278"/>
  <c r="AA503" i="278"/>
  <c r="H503" i="278"/>
  <c r="BD502" i="278"/>
  <c r="BB502" i="278"/>
  <c r="AI502" i="278"/>
  <c r="AH502" i="278"/>
  <c r="AF502" i="278"/>
  <c r="AG502" i="278"/>
  <c r="AD502" i="278"/>
  <c r="AC502" i="278"/>
  <c r="AB502" i="278"/>
  <c r="AA502" i="278"/>
  <c r="H502" i="278"/>
  <c r="BD501" i="278"/>
  <c r="BB501" i="278"/>
  <c r="AI501" i="278"/>
  <c r="AH501" i="278"/>
  <c r="AF501" i="278"/>
  <c r="AG501" i="278"/>
  <c r="AD501" i="278"/>
  <c r="AC501" i="278"/>
  <c r="AB501" i="278"/>
  <c r="AA501" i="278"/>
  <c r="H501" i="278"/>
  <c r="BD500" i="278"/>
  <c r="H500" i="278"/>
  <c r="AA500" i="278" s="1"/>
  <c r="BD499" i="278"/>
  <c r="BB499" i="278"/>
  <c r="AI499" i="278"/>
  <c r="AH499" i="278"/>
  <c r="AF499" i="278"/>
  <c r="AG499" i="278"/>
  <c r="AD499" i="278"/>
  <c r="AC499" i="278"/>
  <c r="AB499" i="278"/>
  <c r="AA499" i="278"/>
  <c r="H499" i="278"/>
  <c r="BD498" i="278"/>
  <c r="BB498" i="278"/>
  <c r="AI498" i="278"/>
  <c r="AH498" i="278"/>
  <c r="AF498" i="278"/>
  <c r="AG498" i="278"/>
  <c r="AE498" i="278"/>
  <c r="AD498" i="278"/>
  <c r="AC498" i="278"/>
  <c r="AB498" i="278"/>
  <c r="AA498" i="278"/>
  <c r="H498" i="278"/>
  <c r="BD497" i="278"/>
  <c r="BB497" i="278"/>
  <c r="AI497" i="278"/>
  <c r="AH497" i="278"/>
  <c r="AF497" i="278"/>
  <c r="AG497" i="278"/>
  <c r="AD497" i="278"/>
  <c r="AC497" i="278"/>
  <c r="AB497" i="278"/>
  <c r="AA497" i="278"/>
  <c r="H497" i="278"/>
  <c r="BD496" i="278"/>
  <c r="BB496" i="278"/>
  <c r="AI496" i="278"/>
  <c r="AH496" i="278"/>
  <c r="AF496" i="278"/>
  <c r="AG496" i="278"/>
  <c r="AD496" i="278"/>
  <c r="AC496" i="278"/>
  <c r="AB496" i="278"/>
  <c r="AA496" i="278"/>
  <c r="H496" i="278"/>
  <c r="BD495" i="278"/>
  <c r="BB495" i="278"/>
  <c r="AI495" i="278"/>
  <c r="AH495" i="278"/>
  <c r="AF495" i="278"/>
  <c r="AG495" i="278"/>
  <c r="AD495" i="278"/>
  <c r="AC495" i="278"/>
  <c r="AB495" i="278"/>
  <c r="AA495" i="278"/>
  <c r="H495" i="278"/>
  <c r="BD494" i="278"/>
  <c r="BB494" i="278"/>
  <c r="AI494" i="278"/>
  <c r="AH494" i="278"/>
  <c r="AF494" i="278"/>
  <c r="AG494" i="278"/>
  <c r="AE494" i="278"/>
  <c r="AD494" i="278"/>
  <c r="AC494" i="278"/>
  <c r="AB494" i="278"/>
  <c r="AA494" i="278"/>
  <c r="H494" i="278"/>
  <c r="BD493" i="278"/>
  <c r="BB493" i="278"/>
  <c r="AI493" i="278"/>
  <c r="BD492" i="278"/>
  <c r="BB492" i="278"/>
  <c r="AI492" i="278"/>
  <c r="AH492" i="278"/>
  <c r="AF492" i="278"/>
  <c r="AG492" i="278"/>
  <c r="AD492" i="278"/>
  <c r="AC492" i="278"/>
  <c r="AB492" i="278"/>
  <c r="AA492" i="278"/>
  <c r="H492" i="278"/>
  <c r="BD491" i="278"/>
  <c r="BB491" i="278"/>
  <c r="AI491" i="278"/>
  <c r="AH491" i="278"/>
  <c r="AF491" i="278"/>
  <c r="AG491" i="278"/>
  <c r="AD491" i="278"/>
  <c r="AC491" i="278"/>
  <c r="AB491" i="278"/>
  <c r="AA491" i="278"/>
  <c r="H491" i="278"/>
  <c r="BD490" i="278"/>
  <c r="BD489" i="278"/>
  <c r="BB489" i="278"/>
  <c r="AI489" i="278"/>
  <c r="AH489" i="278"/>
  <c r="AF489" i="278"/>
  <c r="AG489" i="278"/>
  <c r="AD489" i="278"/>
  <c r="AC489" i="278"/>
  <c r="AB489" i="278"/>
  <c r="AA489" i="278"/>
  <c r="H489" i="278"/>
  <c r="BD488" i="278"/>
  <c r="BB488" i="278"/>
  <c r="AI488" i="278"/>
  <c r="AH488" i="278"/>
  <c r="AF488" i="278"/>
  <c r="AG488" i="278"/>
  <c r="AE488" i="278"/>
  <c r="AD488" i="278"/>
  <c r="AC488" i="278"/>
  <c r="AB488" i="278"/>
  <c r="AA488" i="278"/>
  <c r="H488" i="278"/>
  <c r="BD487" i="278"/>
  <c r="BB487" i="278"/>
  <c r="AI487" i="278"/>
  <c r="AH487" i="278"/>
  <c r="AF487" i="278"/>
  <c r="AG487" i="278"/>
  <c r="AD487" i="278"/>
  <c r="AC487" i="278"/>
  <c r="AB487" i="278"/>
  <c r="AA487" i="278"/>
  <c r="H487" i="278"/>
  <c r="BD486" i="278"/>
  <c r="BB486" i="278"/>
  <c r="AI486" i="278"/>
  <c r="AH486" i="278"/>
  <c r="AF486" i="278"/>
  <c r="AG486" i="278"/>
  <c r="AD486" i="278"/>
  <c r="AC486" i="278"/>
  <c r="AB486" i="278"/>
  <c r="AA486" i="278"/>
  <c r="H486" i="278"/>
  <c r="BD485" i="278"/>
  <c r="BB485" i="278"/>
  <c r="AI485" i="278"/>
  <c r="AH485" i="278"/>
  <c r="AF485" i="278"/>
  <c r="AG485" i="278"/>
  <c r="AD485" i="278"/>
  <c r="AC485" i="278"/>
  <c r="AB485" i="278"/>
  <c r="AA485" i="278"/>
  <c r="H485" i="278"/>
  <c r="BD484" i="278"/>
  <c r="BB484" i="278"/>
  <c r="AI484" i="278"/>
  <c r="AH484" i="278"/>
  <c r="AF484" i="278"/>
  <c r="AG484" i="278"/>
  <c r="AE484" i="278"/>
  <c r="AD484" i="278"/>
  <c r="AC484" i="278"/>
  <c r="AB484" i="278"/>
  <c r="AA484" i="278"/>
  <c r="H484" i="278"/>
  <c r="BD483" i="278"/>
  <c r="BD482" i="278"/>
  <c r="BB482" i="278"/>
  <c r="AI482" i="278"/>
  <c r="AH482" i="278"/>
  <c r="AF482" i="278"/>
  <c r="AG482" i="278"/>
  <c r="AD482" i="278"/>
  <c r="AC482" i="278"/>
  <c r="AB482" i="278"/>
  <c r="AA482" i="278"/>
  <c r="H482" i="278"/>
  <c r="BD481" i="278"/>
  <c r="BB481" i="278"/>
  <c r="AI481" i="278"/>
  <c r="AH481" i="278"/>
  <c r="AF481" i="278"/>
  <c r="AG481" i="278"/>
  <c r="AD481" i="278"/>
  <c r="AC481" i="278"/>
  <c r="AB481" i="278"/>
  <c r="AA481" i="278"/>
  <c r="H481" i="278"/>
  <c r="BD480" i="278"/>
  <c r="BD479" i="278"/>
  <c r="BB479" i="278"/>
  <c r="AI479" i="278"/>
  <c r="AH479" i="278"/>
  <c r="AF479" i="278"/>
  <c r="AG479" i="278"/>
  <c r="AD479" i="278"/>
  <c r="AC479" i="278"/>
  <c r="AB479" i="278"/>
  <c r="AA479" i="278"/>
  <c r="H479" i="278"/>
  <c r="BD478" i="278"/>
  <c r="BB478" i="278"/>
  <c r="AI478" i="278"/>
  <c r="AH478" i="278"/>
  <c r="AF478" i="278"/>
  <c r="AG478" i="278"/>
  <c r="AE478" i="278"/>
  <c r="AD478" i="278"/>
  <c r="AC478" i="278"/>
  <c r="AB478" i="278"/>
  <c r="AA478" i="278"/>
  <c r="H478" i="278"/>
  <c r="BD477" i="278"/>
  <c r="BB477" i="278"/>
  <c r="AI477" i="278"/>
  <c r="AH477" i="278"/>
  <c r="AF477" i="278"/>
  <c r="AG477" i="278"/>
  <c r="AD477" i="278"/>
  <c r="AC477" i="278"/>
  <c r="AB477" i="278"/>
  <c r="AA477" i="278"/>
  <c r="H477" i="278"/>
  <c r="BD476" i="278"/>
  <c r="BB476" i="278"/>
  <c r="AI476" i="278"/>
  <c r="AH476" i="278"/>
  <c r="AF476" i="278"/>
  <c r="AG476" i="278"/>
  <c r="AD476" i="278"/>
  <c r="AC476" i="278"/>
  <c r="AB476" i="278"/>
  <c r="AA476" i="278"/>
  <c r="H476" i="278"/>
  <c r="BD475" i="278"/>
  <c r="BD474" i="278"/>
  <c r="BB474" i="278"/>
  <c r="AI474" i="278"/>
  <c r="AH474" i="278"/>
  <c r="AF474" i="278"/>
  <c r="AG474" i="278"/>
  <c r="AD474" i="278"/>
  <c r="AC474" i="278"/>
  <c r="AB474" i="278"/>
  <c r="AA474" i="278"/>
  <c r="H474" i="278"/>
  <c r="BD473" i="278"/>
  <c r="BD472" i="278"/>
  <c r="BB472" i="278"/>
  <c r="AI472" i="278"/>
  <c r="AH472" i="278"/>
  <c r="AF472" i="278"/>
  <c r="AG472" i="278"/>
  <c r="AE472" i="278"/>
  <c r="AD472" i="278"/>
  <c r="AC472" i="278"/>
  <c r="AB472" i="278"/>
  <c r="AA472" i="278"/>
  <c r="H472" i="278"/>
  <c r="BD471" i="278"/>
  <c r="BB471" i="278"/>
  <c r="AI471" i="278"/>
  <c r="AH471" i="278"/>
  <c r="AF471" i="278"/>
  <c r="AG471" i="278"/>
  <c r="AD471" i="278"/>
  <c r="AC471" i="278"/>
  <c r="AB471" i="278"/>
  <c r="AA471" i="278"/>
  <c r="H471" i="278"/>
  <c r="BD470" i="278"/>
  <c r="BB470" i="278"/>
  <c r="AI470" i="278"/>
  <c r="AH470" i="278"/>
  <c r="AF470" i="278"/>
  <c r="AG470" i="278"/>
  <c r="AD470" i="278"/>
  <c r="AC470" i="278"/>
  <c r="AB470" i="278"/>
  <c r="AA470" i="278"/>
  <c r="H470" i="278"/>
  <c r="BD469" i="278"/>
  <c r="BD468" i="278"/>
  <c r="BB468" i="278"/>
  <c r="AI468" i="278"/>
  <c r="AH468" i="278"/>
  <c r="AF468" i="278"/>
  <c r="AG468" i="278"/>
  <c r="AD468" i="278"/>
  <c r="AC468" i="278"/>
  <c r="AB468" i="278"/>
  <c r="AA468" i="278"/>
  <c r="H468" i="278"/>
  <c r="BD467" i="278"/>
  <c r="BB467" i="278"/>
  <c r="AI467" i="278"/>
  <c r="AH467" i="278"/>
  <c r="AF467" i="278"/>
  <c r="AG467" i="278"/>
  <c r="AE467" i="278"/>
  <c r="AD467" i="278"/>
  <c r="AC467" i="278"/>
  <c r="AB467" i="278"/>
  <c r="AA467" i="278"/>
  <c r="H467" i="278"/>
  <c r="BD466" i="278"/>
  <c r="BB466" i="278"/>
  <c r="AI466" i="278"/>
  <c r="AH466" i="278"/>
  <c r="AF466" i="278"/>
  <c r="AG466" i="278"/>
  <c r="AD466" i="278"/>
  <c r="AC466" i="278"/>
  <c r="AB466" i="278"/>
  <c r="AA466" i="278"/>
  <c r="H466" i="278"/>
  <c r="BD465" i="278"/>
  <c r="BB465" i="278"/>
  <c r="AI465" i="278"/>
  <c r="AH465" i="278"/>
  <c r="AF465" i="278"/>
  <c r="AG465" i="278"/>
  <c r="AD465" i="278"/>
  <c r="AC465" i="278"/>
  <c r="AB465" i="278"/>
  <c r="AA465" i="278"/>
  <c r="H465" i="278"/>
  <c r="BD464" i="278"/>
  <c r="BD463" i="278"/>
  <c r="BB463" i="278"/>
  <c r="AI463" i="278"/>
  <c r="AH463" i="278"/>
  <c r="AF463" i="278"/>
  <c r="AG463" i="278"/>
  <c r="AD463" i="278"/>
  <c r="AC463" i="278"/>
  <c r="AB463" i="278"/>
  <c r="AA463" i="278"/>
  <c r="H463" i="278"/>
  <c r="BD462" i="278"/>
  <c r="BB462" i="278"/>
  <c r="AI462" i="278"/>
  <c r="AH462" i="278"/>
  <c r="AF462" i="278"/>
  <c r="AG462" i="278"/>
  <c r="AE462" i="278"/>
  <c r="AD462" i="278"/>
  <c r="AC462" i="278"/>
  <c r="AB462" i="278"/>
  <c r="AA462" i="278"/>
  <c r="H462" i="278"/>
  <c r="BD461" i="278"/>
  <c r="BB461" i="278"/>
  <c r="AI461" i="278"/>
  <c r="AH461" i="278"/>
  <c r="AF461" i="278"/>
  <c r="AG461" i="278"/>
  <c r="AD461" i="278"/>
  <c r="AC461" i="278"/>
  <c r="AB461" i="278"/>
  <c r="AA461" i="278"/>
  <c r="H461" i="278"/>
  <c r="BD460" i="278"/>
  <c r="BB460" i="278"/>
  <c r="AI460" i="278"/>
  <c r="AH460" i="278"/>
  <c r="AF460" i="278"/>
  <c r="AG460" i="278"/>
  <c r="AD460" i="278"/>
  <c r="AC460" i="278"/>
  <c r="AB460" i="278"/>
  <c r="AA460" i="278"/>
  <c r="H460" i="278"/>
  <c r="BD459" i="278"/>
  <c r="BD458" i="278"/>
  <c r="BB458" i="278"/>
  <c r="AI458" i="278"/>
  <c r="AH458" i="278"/>
  <c r="AF458" i="278"/>
  <c r="AG458" i="278"/>
  <c r="AD458" i="278"/>
  <c r="AC458" i="278"/>
  <c r="AB458" i="278"/>
  <c r="AA458" i="278"/>
  <c r="H458" i="278"/>
  <c r="BD457" i="278"/>
  <c r="BB457" i="278"/>
  <c r="AI457" i="278"/>
  <c r="AH457" i="278"/>
  <c r="AF457" i="278"/>
  <c r="AG457" i="278"/>
  <c r="AE457" i="278"/>
  <c r="AD457" i="278"/>
  <c r="AC457" i="278"/>
  <c r="AB457" i="278"/>
  <c r="AA457" i="278"/>
  <c r="H457" i="278"/>
  <c r="BD456" i="278"/>
  <c r="BB456" i="278"/>
  <c r="AI456" i="278"/>
  <c r="AH456" i="278"/>
  <c r="AF456" i="278"/>
  <c r="AG456" i="278"/>
  <c r="AD456" i="278"/>
  <c r="AC456" i="278"/>
  <c r="AB456" i="278"/>
  <c r="AA456" i="278"/>
  <c r="H456" i="278"/>
  <c r="BD455" i="278"/>
  <c r="BB455" i="278"/>
  <c r="AI455" i="278"/>
  <c r="AH455" i="278"/>
  <c r="AF455" i="278"/>
  <c r="AG455" i="278"/>
  <c r="AD455" i="278"/>
  <c r="AC455" i="278"/>
  <c r="AB455" i="278"/>
  <c r="AA455" i="278"/>
  <c r="H455" i="278"/>
  <c r="BD454" i="278"/>
  <c r="BD453" i="278"/>
  <c r="BB453" i="278"/>
  <c r="AI453" i="278"/>
  <c r="AH453" i="278"/>
  <c r="AF453" i="278"/>
  <c r="AG453" i="278"/>
  <c r="AD453" i="278"/>
  <c r="AC453" i="278"/>
  <c r="AB453" i="278"/>
  <c r="AA453" i="278"/>
  <c r="H453" i="278"/>
  <c r="BD452" i="278"/>
  <c r="BB452" i="278"/>
  <c r="AI452" i="278"/>
  <c r="AH452" i="278"/>
  <c r="AF452" i="278"/>
  <c r="AG452" i="278"/>
  <c r="AD452" i="278"/>
  <c r="AC452" i="278"/>
  <c r="AB452" i="278"/>
  <c r="AA452" i="278"/>
  <c r="H452" i="278"/>
  <c r="BD451" i="278"/>
  <c r="BB451" i="278"/>
  <c r="AI451" i="278"/>
  <c r="AH451" i="278"/>
  <c r="AF451" i="278"/>
  <c r="AG451" i="278"/>
  <c r="AD451" i="278"/>
  <c r="AC451" i="278"/>
  <c r="AB451" i="278"/>
  <c r="AA451" i="278"/>
  <c r="H451" i="278"/>
  <c r="BD450" i="278"/>
  <c r="BD449" i="278"/>
  <c r="BB449" i="278"/>
  <c r="AI449" i="278"/>
  <c r="AH449" i="278"/>
  <c r="AF449" i="278"/>
  <c r="AG449" i="278"/>
  <c r="AD449" i="278"/>
  <c r="AC449" i="278"/>
  <c r="AB449" i="278"/>
  <c r="AA449" i="278"/>
  <c r="H449" i="278"/>
  <c r="BD448" i="278"/>
  <c r="BB448" i="278"/>
  <c r="AI448" i="278"/>
  <c r="AH448" i="278"/>
  <c r="AF448" i="278"/>
  <c r="AG448" i="278"/>
  <c r="AE448" i="278"/>
  <c r="AD448" i="278"/>
  <c r="AC448" i="278"/>
  <c r="AB448" i="278"/>
  <c r="AA448" i="278"/>
  <c r="H448" i="278"/>
  <c r="BD447" i="278"/>
  <c r="BB447" i="278"/>
  <c r="AI447" i="278"/>
  <c r="AH447" i="278"/>
  <c r="AF447" i="278"/>
  <c r="AG447" i="278"/>
  <c r="AD447" i="278"/>
  <c r="AC447" i="278"/>
  <c r="AB447" i="278"/>
  <c r="AA447" i="278"/>
  <c r="H447" i="278"/>
  <c r="BD446" i="278"/>
  <c r="BB446" i="278"/>
  <c r="AI446" i="278"/>
  <c r="AH446" i="278"/>
  <c r="AF446" i="278"/>
  <c r="AG446" i="278"/>
  <c r="AD446" i="278"/>
  <c r="AC446" i="278"/>
  <c r="AB446" i="278"/>
  <c r="AA446" i="278"/>
  <c r="H446" i="278"/>
  <c r="BD445" i="278"/>
  <c r="BD444" i="278"/>
  <c r="BB444" i="278"/>
  <c r="AI444" i="278"/>
  <c r="AH444" i="278"/>
  <c r="AF444" i="278"/>
  <c r="AG444" i="278"/>
  <c r="AD444" i="278"/>
  <c r="AC444" i="278"/>
  <c r="AB444" i="278"/>
  <c r="AA444" i="278"/>
  <c r="H444" i="278"/>
  <c r="BD443" i="278"/>
  <c r="BB443" i="278"/>
  <c r="AI443" i="278"/>
  <c r="AH443" i="278"/>
  <c r="AF443" i="278"/>
  <c r="AG443" i="278"/>
  <c r="AE443" i="278"/>
  <c r="AD443" i="278"/>
  <c r="AC443" i="278"/>
  <c r="AB443" i="278"/>
  <c r="AA443" i="278"/>
  <c r="H443" i="278"/>
  <c r="BD442" i="278"/>
  <c r="BB442" i="278"/>
  <c r="AI442" i="278"/>
  <c r="AH442" i="278"/>
  <c r="AF442" i="278"/>
  <c r="AG442" i="278"/>
  <c r="AD442" i="278"/>
  <c r="AC442" i="278"/>
  <c r="AB442" i="278"/>
  <c r="AA442" i="278"/>
  <c r="H442" i="278"/>
  <c r="BD441" i="278"/>
  <c r="BB441" i="278"/>
  <c r="AI441" i="278"/>
  <c r="AH441" i="278"/>
  <c r="AF441" i="278"/>
  <c r="AG441" i="278"/>
  <c r="AD441" i="278"/>
  <c r="AC441" i="278"/>
  <c r="AB441" i="278"/>
  <c r="AA441" i="278"/>
  <c r="H441" i="278"/>
  <c r="BD440" i="278"/>
  <c r="BB440" i="278"/>
  <c r="AI440" i="278"/>
  <c r="AH440" i="278"/>
  <c r="AF440" i="278"/>
  <c r="AG440" i="278"/>
  <c r="AD440" i="278"/>
  <c r="AC440" i="278"/>
  <c r="AB440" i="278"/>
  <c r="AA440" i="278"/>
  <c r="BD439" i="278"/>
  <c r="BB439" i="278"/>
  <c r="AI439" i="278"/>
  <c r="AH439" i="278"/>
  <c r="AF439" i="278"/>
  <c r="AG439" i="278"/>
  <c r="AE439" i="278"/>
  <c r="AD439" i="278"/>
  <c r="AC439" i="278"/>
  <c r="AB439" i="278"/>
  <c r="AA439" i="278"/>
  <c r="BD438" i="278"/>
  <c r="BD437" i="278"/>
  <c r="BB437" i="278"/>
  <c r="AI437" i="278"/>
  <c r="AH437" i="278"/>
  <c r="AF437" i="278"/>
  <c r="AG437" i="278"/>
  <c r="AD437" i="278"/>
  <c r="AC437" i="278"/>
  <c r="AB437" i="278"/>
  <c r="AA437" i="278"/>
  <c r="BD436" i="278"/>
  <c r="BB436" i="278"/>
  <c r="AI436" i="278"/>
  <c r="AH436" i="278"/>
  <c r="AF436" i="278"/>
  <c r="AG436" i="278"/>
  <c r="AD436" i="278"/>
  <c r="AC436" i="278"/>
  <c r="AB436" i="278"/>
  <c r="AA436" i="278"/>
  <c r="BD435" i="278"/>
  <c r="BD434" i="278"/>
  <c r="BB434" i="278"/>
  <c r="AI434" i="278"/>
  <c r="AH434" i="278"/>
  <c r="AF434" i="278"/>
  <c r="AG434" i="278"/>
  <c r="AD434" i="278"/>
  <c r="AC434" i="278"/>
  <c r="AB434" i="278"/>
  <c r="AA434" i="278"/>
  <c r="H434" i="278"/>
  <c r="BD433" i="278"/>
  <c r="BB433" i="278"/>
  <c r="AI433" i="278"/>
  <c r="AH433" i="278"/>
  <c r="AF433" i="278"/>
  <c r="AG433" i="278"/>
  <c r="AE433" i="278"/>
  <c r="AD433" i="278"/>
  <c r="AC433" i="278"/>
  <c r="AB433" i="278"/>
  <c r="AA433" i="278"/>
  <c r="H433" i="278"/>
  <c r="BD432" i="278"/>
  <c r="BB432" i="278"/>
  <c r="AI432" i="278"/>
  <c r="AH432" i="278"/>
  <c r="AF432" i="278"/>
  <c r="AG432" i="278"/>
  <c r="AD432" i="278"/>
  <c r="AC432" i="278"/>
  <c r="AB432" i="278"/>
  <c r="AA432" i="278"/>
  <c r="H432" i="278"/>
  <c r="BD431" i="278"/>
  <c r="BB431" i="278"/>
  <c r="AI431" i="278"/>
  <c r="AH431" i="278"/>
  <c r="AF431" i="278"/>
  <c r="AG431" i="278"/>
  <c r="AD431" i="278"/>
  <c r="AC431" i="278"/>
  <c r="AB431" i="278"/>
  <c r="AA431" i="278"/>
  <c r="H431" i="278"/>
  <c r="BD430" i="278"/>
  <c r="BD429" i="278"/>
  <c r="BB429" i="278"/>
  <c r="AI429" i="278"/>
  <c r="AH429" i="278"/>
  <c r="AF429" i="278"/>
  <c r="AG429" i="278"/>
  <c r="AD429" i="278"/>
  <c r="AC429" i="278"/>
  <c r="AB429" i="278"/>
  <c r="AA429" i="278"/>
  <c r="H429" i="278"/>
  <c r="BD428" i="278"/>
  <c r="BB428" i="278"/>
  <c r="AI428" i="278"/>
  <c r="AH428" i="278"/>
  <c r="AF428" i="278"/>
  <c r="AG428" i="278"/>
  <c r="AE428" i="278"/>
  <c r="AD428" i="278"/>
  <c r="AC428" i="278"/>
  <c r="AB428" i="278"/>
  <c r="AA428" i="278"/>
  <c r="H428" i="278"/>
  <c r="BD427" i="278"/>
  <c r="BB427" i="278"/>
  <c r="AI427" i="278"/>
  <c r="AH427" i="278"/>
  <c r="AF427" i="278"/>
  <c r="AG427" i="278"/>
  <c r="AD427" i="278"/>
  <c r="AC427" i="278"/>
  <c r="AB427" i="278"/>
  <c r="AA427" i="278"/>
  <c r="H427" i="278"/>
  <c r="BD426" i="278"/>
  <c r="BB426" i="278"/>
  <c r="AI426" i="278"/>
  <c r="AH426" i="278"/>
  <c r="AF426" i="278"/>
  <c r="AG426" i="278"/>
  <c r="AD426" i="278"/>
  <c r="AC426" i="278"/>
  <c r="AB426" i="278"/>
  <c r="AA426" i="278"/>
  <c r="H426" i="278"/>
  <c r="BD425" i="278"/>
  <c r="BD424" i="278"/>
  <c r="BD423" i="278"/>
  <c r="BB423" i="278"/>
  <c r="AI423" i="278"/>
  <c r="AH423" i="278"/>
  <c r="AF423" i="278"/>
  <c r="AG423" i="278"/>
  <c r="AD423" i="278"/>
  <c r="AC423" i="278"/>
  <c r="AB423" i="278"/>
  <c r="AA423" i="278"/>
  <c r="H423" i="278"/>
  <c r="BD422" i="278"/>
  <c r="BB422" i="278"/>
  <c r="AI422" i="278"/>
  <c r="AH422" i="278"/>
  <c r="AF422" i="278"/>
  <c r="AG422" i="278"/>
  <c r="AE422" i="278"/>
  <c r="AD422" i="278"/>
  <c r="AC422" i="278"/>
  <c r="AB422" i="278"/>
  <c r="AA422" i="278"/>
  <c r="H422" i="278"/>
  <c r="BD421" i="278"/>
  <c r="BB421" i="278"/>
  <c r="AI421" i="278"/>
  <c r="AH421" i="278"/>
  <c r="AF421" i="278"/>
  <c r="AG421" i="278"/>
  <c r="AD421" i="278"/>
  <c r="AC421" i="278"/>
  <c r="AB421" i="278"/>
  <c r="AA421" i="278"/>
  <c r="H421" i="278"/>
  <c r="BD420" i="278"/>
  <c r="BB420" i="278"/>
  <c r="AI420" i="278"/>
  <c r="AH420" i="278"/>
  <c r="AF420" i="278"/>
  <c r="AG420" i="278"/>
  <c r="AD420" i="278"/>
  <c r="AC420" i="278"/>
  <c r="AB420" i="278"/>
  <c r="AA420" i="278"/>
  <c r="H420" i="278"/>
  <c r="BD419" i="278"/>
  <c r="BD418" i="278"/>
  <c r="BB418" i="278"/>
  <c r="AI418" i="278"/>
  <c r="AH418" i="278"/>
  <c r="AF418" i="278"/>
  <c r="AG418" i="278"/>
  <c r="AD418" i="278"/>
  <c r="AC418" i="278"/>
  <c r="AB418" i="278"/>
  <c r="AA418" i="278"/>
  <c r="H418" i="278"/>
  <c r="BD417" i="278"/>
  <c r="BB417" i="278"/>
  <c r="AI417" i="278"/>
  <c r="AH417" i="278"/>
  <c r="AF417" i="278"/>
  <c r="AG417" i="278"/>
  <c r="AE417" i="278"/>
  <c r="AD417" i="278"/>
  <c r="AC417" i="278"/>
  <c r="AB417" i="278"/>
  <c r="AA417" i="278"/>
  <c r="H417" i="278"/>
  <c r="BD416" i="278"/>
  <c r="BB416" i="278"/>
  <c r="AI416" i="278"/>
  <c r="AH416" i="278"/>
  <c r="AF416" i="278"/>
  <c r="AG416" i="278"/>
  <c r="AD416" i="278"/>
  <c r="AC416" i="278"/>
  <c r="AB416" i="278"/>
  <c r="AA416" i="278"/>
  <c r="H416" i="278"/>
  <c r="BD415" i="278"/>
  <c r="BB415" i="278"/>
  <c r="AI415" i="278"/>
  <c r="AH415" i="278"/>
  <c r="AF415" i="278"/>
  <c r="AG415" i="278"/>
  <c r="AD415" i="278"/>
  <c r="AC415" i="278"/>
  <c r="AB415" i="278"/>
  <c r="AA415" i="278"/>
  <c r="H415" i="278"/>
  <c r="BD414" i="278"/>
  <c r="BD413" i="278"/>
  <c r="BB413" i="278"/>
  <c r="AI413" i="278"/>
  <c r="AH413" i="278"/>
  <c r="AF413" i="278"/>
  <c r="AG413" i="278"/>
  <c r="AD413" i="278"/>
  <c r="AC413" i="278"/>
  <c r="AB413" i="278"/>
  <c r="AA413" i="278"/>
  <c r="H413" i="278"/>
  <c r="BD412" i="278"/>
  <c r="BB412" i="278"/>
  <c r="AI412" i="278"/>
  <c r="AH412" i="278"/>
  <c r="AF412" i="278"/>
  <c r="AG412" i="278"/>
  <c r="AE412" i="278"/>
  <c r="AD412" i="278"/>
  <c r="AC412" i="278"/>
  <c r="AB412" i="278"/>
  <c r="AA412" i="278"/>
  <c r="H412" i="278"/>
  <c r="BD411" i="278"/>
  <c r="BB411" i="278"/>
  <c r="AI411" i="278"/>
  <c r="AH411" i="278"/>
  <c r="AF411" i="278"/>
  <c r="AG411" i="278"/>
  <c r="AD411" i="278"/>
  <c r="AC411" i="278"/>
  <c r="AB411" i="278"/>
  <c r="AA411" i="278"/>
  <c r="H411" i="278"/>
  <c r="BD410" i="278"/>
  <c r="BB410" i="278"/>
  <c r="AI410" i="278"/>
  <c r="AH410" i="278"/>
  <c r="AF410" i="278"/>
  <c r="AG410" i="278"/>
  <c r="AD410" i="278"/>
  <c r="AC410" i="278"/>
  <c r="AB410" i="278"/>
  <c r="AA410" i="278"/>
  <c r="H410" i="278"/>
  <c r="BD409" i="278"/>
  <c r="BD408" i="278"/>
  <c r="BB408" i="278"/>
  <c r="AI408" i="278"/>
  <c r="AH408" i="278"/>
  <c r="AF408" i="278"/>
  <c r="AG408" i="278"/>
  <c r="AD408" i="278"/>
  <c r="AC408" i="278"/>
  <c r="AB408" i="278"/>
  <c r="AA408" i="278"/>
  <c r="H408" i="278"/>
  <c r="BD407" i="278"/>
  <c r="BB407" i="278"/>
  <c r="AI407" i="278"/>
  <c r="AH407" i="278"/>
  <c r="AF407" i="278"/>
  <c r="AG407" i="278"/>
  <c r="AE407" i="278"/>
  <c r="AD407" i="278"/>
  <c r="AC407" i="278"/>
  <c r="AB407" i="278"/>
  <c r="AA407" i="278"/>
  <c r="H407" i="278"/>
  <c r="BD406" i="278"/>
  <c r="BB406" i="278"/>
  <c r="AI406" i="278"/>
  <c r="AH406" i="278"/>
  <c r="AF406" i="278"/>
  <c r="AG406" i="278"/>
  <c r="AD406" i="278"/>
  <c r="AC406" i="278"/>
  <c r="AB406" i="278"/>
  <c r="AA406" i="278"/>
  <c r="H406" i="278"/>
  <c r="BD405" i="278"/>
  <c r="BB405" i="278"/>
  <c r="AI405" i="278"/>
  <c r="AH405" i="278"/>
  <c r="AF405" i="278"/>
  <c r="AG405" i="278"/>
  <c r="AD405" i="278"/>
  <c r="AC405" i="278"/>
  <c r="AB405" i="278"/>
  <c r="AA405" i="278"/>
  <c r="H405" i="278"/>
  <c r="BD404" i="278"/>
  <c r="BD403" i="278"/>
  <c r="BB403" i="278"/>
  <c r="AI403" i="278"/>
  <c r="AH403" i="278"/>
  <c r="AF403" i="278"/>
  <c r="AG403" i="278"/>
  <c r="AD403" i="278"/>
  <c r="AC403" i="278"/>
  <c r="AB403" i="278"/>
  <c r="AA403" i="278"/>
  <c r="H403" i="278"/>
  <c r="BD402" i="278"/>
  <c r="BB402" i="278"/>
  <c r="AI402" i="278"/>
  <c r="AH402" i="278"/>
  <c r="AF402" i="278"/>
  <c r="AG402" i="278"/>
  <c r="AE402" i="278"/>
  <c r="AD402" i="278"/>
  <c r="AC402" i="278"/>
  <c r="AB402" i="278"/>
  <c r="AA402" i="278"/>
  <c r="H402" i="278"/>
  <c r="BD401" i="278"/>
  <c r="BB401" i="278"/>
  <c r="AI401" i="278"/>
  <c r="AH401" i="278"/>
  <c r="AF401" i="278"/>
  <c r="AG401" i="278"/>
  <c r="AD401" i="278"/>
  <c r="AC401" i="278"/>
  <c r="AB401" i="278"/>
  <c r="AA401" i="278"/>
  <c r="H401" i="278"/>
  <c r="BD400" i="278"/>
  <c r="BB400" i="278"/>
  <c r="AI400" i="278"/>
  <c r="AH400" i="278"/>
  <c r="AF400" i="278"/>
  <c r="AG400" i="278"/>
  <c r="AD400" i="278"/>
  <c r="AC400" i="278"/>
  <c r="AB400" i="278"/>
  <c r="AA400" i="278"/>
  <c r="H400" i="278"/>
  <c r="BD399" i="278"/>
  <c r="BD398" i="278"/>
  <c r="BB398" i="278"/>
  <c r="AI398" i="278"/>
  <c r="AH398" i="278"/>
  <c r="AF398" i="278"/>
  <c r="AG398" i="278"/>
  <c r="AD398" i="278"/>
  <c r="AC398" i="278"/>
  <c r="AB398" i="278"/>
  <c r="AA398" i="278"/>
  <c r="H398" i="278"/>
  <c r="BD397" i="278"/>
  <c r="BB397" i="278"/>
  <c r="AI397" i="278"/>
  <c r="AH397" i="278"/>
  <c r="AF397" i="278"/>
  <c r="AG397" i="278"/>
  <c r="AE397" i="278"/>
  <c r="AD397" i="278"/>
  <c r="AC397" i="278"/>
  <c r="AB397" i="278"/>
  <c r="AA397" i="278"/>
  <c r="H397" i="278"/>
  <c r="BD396" i="278"/>
  <c r="BB396" i="278"/>
  <c r="AI396" i="278"/>
  <c r="AH396" i="278"/>
  <c r="AF396" i="278"/>
  <c r="AG396" i="278"/>
  <c r="AD396" i="278"/>
  <c r="AC396" i="278"/>
  <c r="AB396" i="278"/>
  <c r="AA396" i="278"/>
  <c r="H396" i="278"/>
  <c r="BD395" i="278"/>
  <c r="BB395" i="278"/>
  <c r="AI395" i="278"/>
  <c r="AH395" i="278"/>
  <c r="AF395" i="278"/>
  <c r="AG395" i="278"/>
  <c r="AD395" i="278"/>
  <c r="AC395" i="278"/>
  <c r="AB395" i="278"/>
  <c r="AA395" i="278"/>
  <c r="H395" i="278"/>
  <c r="BD394" i="278"/>
  <c r="BD393" i="278"/>
  <c r="BB393" i="278"/>
  <c r="AI393" i="278"/>
  <c r="AH393" i="278"/>
  <c r="AF393" i="278"/>
  <c r="AG393" i="278"/>
  <c r="AD393" i="278"/>
  <c r="AC393" i="278"/>
  <c r="AB393" i="278"/>
  <c r="AA393" i="278"/>
  <c r="H393" i="278"/>
  <c r="BD392" i="278"/>
  <c r="BB392" i="278"/>
  <c r="AI392" i="278"/>
  <c r="AH392" i="278"/>
  <c r="AF392" i="278"/>
  <c r="AG392" i="278"/>
  <c r="AE392" i="278"/>
  <c r="AD392" i="278"/>
  <c r="AC392" i="278"/>
  <c r="AB392" i="278"/>
  <c r="AA392" i="278"/>
  <c r="H392" i="278"/>
  <c r="BD391" i="278"/>
  <c r="BB391" i="278"/>
  <c r="AI391" i="278"/>
  <c r="AH391" i="278"/>
  <c r="AF391" i="278"/>
  <c r="AG391" i="278"/>
  <c r="AD391" i="278"/>
  <c r="AC391" i="278"/>
  <c r="AB391" i="278"/>
  <c r="AA391" i="278"/>
  <c r="H391" i="278"/>
  <c r="BD390" i="278"/>
  <c r="BB390" i="278"/>
  <c r="AI390" i="278"/>
  <c r="AH390" i="278"/>
  <c r="AF390" i="278"/>
  <c r="AG390" i="278"/>
  <c r="AD390" i="278"/>
  <c r="AC390" i="278"/>
  <c r="AB390" i="278"/>
  <c r="AA390" i="278"/>
  <c r="H390" i="278"/>
  <c r="BD389" i="278"/>
  <c r="BD388" i="278"/>
  <c r="BB388" i="278"/>
  <c r="AI388" i="278"/>
  <c r="AH388" i="278"/>
  <c r="AF388" i="278"/>
  <c r="AG388" i="278"/>
  <c r="AD388" i="278"/>
  <c r="AC388" i="278"/>
  <c r="AB388" i="278"/>
  <c r="AA388" i="278"/>
  <c r="H388" i="278"/>
  <c r="BD387" i="278"/>
  <c r="BB387" i="278"/>
  <c r="AI387" i="278"/>
  <c r="AH387" i="278"/>
  <c r="AF387" i="278"/>
  <c r="AG387" i="278"/>
  <c r="AE387" i="278"/>
  <c r="AD387" i="278"/>
  <c r="AC387" i="278"/>
  <c r="AB387" i="278"/>
  <c r="AA387" i="278"/>
  <c r="H387" i="278"/>
  <c r="BD386" i="278"/>
  <c r="BB386" i="278"/>
  <c r="AI386" i="278"/>
  <c r="AH386" i="278"/>
  <c r="AF386" i="278"/>
  <c r="AG386" i="278"/>
  <c r="AD386" i="278"/>
  <c r="AC386" i="278"/>
  <c r="AB386" i="278"/>
  <c r="AA386" i="278"/>
  <c r="H386" i="278"/>
  <c r="BD385" i="278"/>
  <c r="BB385" i="278"/>
  <c r="AI385" i="278"/>
  <c r="AH385" i="278"/>
  <c r="AF385" i="278"/>
  <c r="AG385" i="278"/>
  <c r="AD385" i="278"/>
  <c r="AC385" i="278"/>
  <c r="AB385" i="278"/>
  <c r="AA385" i="278"/>
  <c r="H385" i="278"/>
  <c r="BD384" i="278"/>
  <c r="BD383" i="278"/>
  <c r="BB383" i="278"/>
  <c r="AI383" i="278"/>
  <c r="AH383" i="278"/>
  <c r="AF383" i="278"/>
  <c r="AG383" i="278"/>
  <c r="AD383" i="278"/>
  <c r="AC383" i="278"/>
  <c r="AB383" i="278"/>
  <c r="AA383" i="278"/>
  <c r="H383" i="278"/>
  <c r="BD382" i="278"/>
  <c r="BB382" i="278"/>
  <c r="AI382" i="278"/>
  <c r="AH382" i="278"/>
  <c r="AF382" i="278"/>
  <c r="AG382" i="278"/>
  <c r="AE382" i="278"/>
  <c r="AD382" i="278"/>
  <c r="AC382" i="278"/>
  <c r="AB382" i="278"/>
  <c r="AA382" i="278"/>
  <c r="H382" i="278"/>
  <c r="BD381" i="278"/>
  <c r="BB381" i="278"/>
  <c r="AI381" i="278"/>
  <c r="AH381" i="278"/>
  <c r="AF381" i="278"/>
  <c r="AG381" i="278"/>
  <c r="AD381" i="278"/>
  <c r="AC381" i="278"/>
  <c r="AB381" i="278"/>
  <c r="AA381" i="278"/>
  <c r="H381" i="278"/>
  <c r="BD380" i="278"/>
  <c r="BB380" i="278"/>
  <c r="AI380" i="278"/>
  <c r="AH380" i="278"/>
  <c r="AF380" i="278"/>
  <c r="AG380" i="278"/>
  <c r="AD380" i="278"/>
  <c r="AC380" i="278"/>
  <c r="AB380" i="278"/>
  <c r="AA380" i="278"/>
  <c r="H380" i="278"/>
  <c r="BD379" i="278"/>
  <c r="BD378" i="278"/>
  <c r="BB378" i="278"/>
  <c r="AI378" i="278"/>
  <c r="AH378" i="278"/>
  <c r="AF378" i="278"/>
  <c r="AG378" i="278"/>
  <c r="AD378" i="278"/>
  <c r="AC378" i="278"/>
  <c r="AB378" i="278"/>
  <c r="AA378" i="278"/>
  <c r="H378" i="278"/>
  <c r="BD377" i="278"/>
  <c r="BB377" i="278"/>
  <c r="AI377" i="278"/>
  <c r="AH377" i="278"/>
  <c r="AF377" i="278"/>
  <c r="AG377" i="278"/>
  <c r="AE377" i="278"/>
  <c r="AD377" i="278"/>
  <c r="AC377" i="278"/>
  <c r="AB377" i="278"/>
  <c r="AA377" i="278"/>
  <c r="H377" i="278"/>
  <c r="BD376" i="278"/>
  <c r="BB376" i="278"/>
  <c r="AI376" i="278"/>
  <c r="AH376" i="278"/>
  <c r="AF376" i="278"/>
  <c r="AG376" i="278"/>
  <c r="AD376" i="278"/>
  <c r="AC376" i="278"/>
  <c r="AB376" i="278"/>
  <c r="AA376" i="278"/>
  <c r="H376" i="278"/>
  <c r="BD375" i="278"/>
  <c r="BB375" i="278"/>
  <c r="AI375" i="278"/>
  <c r="AH375" i="278"/>
  <c r="AF375" i="278"/>
  <c r="AG375" i="278"/>
  <c r="AD375" i="278"/>
  <c r="AC375" i="278"/>
  <c r="AB375" i="278"/>
  <c r="AA375" i="278"/>
  <c r="H375" i="278"/>
  <c r="BD374" i="278"/>
  <c r="BD373" i="278"/>
  <c r="BB373" i="278"/>
  <c r="AI373" i="278"/>
  <c r="AH373" i="278"/>
  <c r="AF373" i="278"/>
  <c r="AG373" i="278"/>
  <c r="AD373" i="278"/>
  <c r="AC373" i="278"/>
  <c r="AB373" i="278"/>
  <c r="AA373" i="278"/>
  <c r="H373" i="278"/>
  <c r="BD372" i="278"/>
  <c r="BB372" i="278"/>
  <c r="AI372" i="278"/>
  <c r="AH372" i="278"/>
  <c r="AF372" i="278"/>
  <c r="AG372" i="278"/>
  <c r="AE372" i="278"/>
  <c r="AD372" i="278"/>
  <c r="AC372" i="278"/>
  <c r="AB372" i="278"/>
  <c r="AA372" i="278"/>
  <c r="H372" i="278"/>
  <c r="BD371" i="278"/>
  <c r="BB371" i="278"/>
  <c r="AI371" i="278"/>
  <c r="AH371" i="278"/>
  <c r="AF371" i="278"/>
  <c r="AG371" i="278"/>
  <c r="AD371" i="278"/>
  <c r="AC371" i="278"/>
  <c r="AB371" i="278"/>
  <c r="AA371" i="278"/>
  <c r="H371" i="278"/>
  <c r="BD370" i="278"/>
  <c r="BB370" i="278"/>
  <c r="AI370" i="278"/>
  <c r="AH370" i="278"/>
  <c r="AF370" i="278"/>
  <c r="AG370" i="278"/>
  <c r="AD370" i="278"/>
  <c r="AC370" i="278"/>
  <c r="AB370" i="278"/>
  <c r="AA370" i="278"/>
  <c r="H370" i="278"/>
  <c r="BD369" i="278"/>
  <c r="BD368" i="278"/>
  <c r="BB368" i="278"/>
  <c r="AI368" i="278"/>
  <c r="AH368" i="278"/>
  <c r="AF368" i="278"/>
  <c r="AG368" i="278"/>
  <c r="AD368" i="278"/>
  <c r="AC368" i="278"/>
  <c r="AB368" i="278"/>
  <c r="AA368" i="278"/>
  <c r="H368" i="278"/>
  <c r="BD367" i="278"/>
  <c r="BB367" i="278"/>
  <c r="AI367" i="278"/>
  <c r="AH367" i="278"/>
  <c r="AF367" i="278"/>
  <c r="AG367" i="278"/>
  <c r="AE367" i="278"/>
  <c r="AD367" i="278"/>
  <c r="AC367" i="278"/>
  <c r="AB367" i="278"/>
  <c r="AA367" i="278"/>
  <c r="H367" i="278"/>
  <c r="BD366" i="278"/>
  <c r="BB366" i="278"/>
  <c r="AI366" i="278"/>
  <c r="AH366" i="278"/>
  <c r="AF366" i="278"/>
  <c r="AG366" i="278"/>
  <c r="AD366" i="278"/>
  <c r="AC366" i="278"/>
  <c r="AB366" i="278"/>
  <c r="AA366" i="278"/>
  <c r="H366" i="278"/>
  <c r="BD365" i="278"/>
  <c r="BB365" i="278"/>
  <c r="AI365" i="278"/>
  <c r="AH365" i="278"/>
  <c r="AF365" i="278"/>
  <c r="AG365" i="278"/>
  <c r="AD365" i="278"/>
  <c r="AC365" i="278"/>
  <c r="AB365" i="278"/>
  <c r="AA365" i="278"/>
  <c r="H365" i="278"/>
  <c r="BD364" i="278"/>
  <c r="BD363" i="278"/>
  <c r="BB363" i="278"/>
  <c r="AI363" i="278"/>
  <c r="AH363" i="278"/>
  <c r="AF363" i="278"/>
  <c r="AG363" i="278"/>
  <c r="AD363" i="278"/>
  <c r="AC363" i="278"/>
  <c r="AB363" i="278"/>
  <c r="AA363" i="278"/>
  <c r="H363" i="278"/>
  <c r="BD362" i="278"/>
  <c r="BB362" i="278"/>
  <c r="AI362" i="278"/>
  <c r="AH362" i="278"/>
  <c r="AF362" i="278"/>
  <c r="AG362" i="278"/>
  <c r="AE362" i="278"/>
  <c r="AD362" i="278"/>
  <c r="AC362" i="278"/>
  <c r="AB362" i="278"/>
  <c r="AA362" i="278"/>
  <c r="H362" i="278"/>
  <c r="BD361" i="278"/>
  <c r="BB361" i="278"/>
  <c r="AI361" i="278"/>
  <c r="AH361" i="278"/>
  <c r="AF361" i="278"/>
  <c r="AG361" i="278"/>
  <c r="AD361" i="278"/>
  <c r="AC361" i="278"/>
  <c r="AB361" i="278"/>
  <c r="AA361" i="278"/>
  <c r="H361" i="278"/>
  <c r="BD360" i="278"/>
  <c r="BB360" i="278"/>
  <c r="AI360" i="278"/>
  <c r="AH360" i="278"/>
  <c r="AF360" i="278"/>
  <c r="AG360" i="278"/>
  <c r="AD360" i="278"/>
  <c r="AC360" i="278"/>
  <c r="AB360" i="278"/>
  <c r="AA360" i="278"/>
  <c r="H360" i="278"/>
  <c r="BD359" i="278"/>
  <c r="BB359" i="278"/>
  <c r="AI359" i="278"/>
  <c r="AH359" i="278"/>
  <c r="AF359" i="278"/>
  <c r="AG359" i="278"/>
  <c r="AD359" i="278"/>
  <c r="AC359" i="278"/>
  <c r="AB359" i="278"/>
  <c r="AA359" i="278"/>
  <c r="BD358" i="278"/>
  <c r="BB358" i="278"/>
  <c r="AI358" i="278"/>
  <c r="AH358" i="278"/>
  <c r="AF358" i="278"/>
  <c r="AG358" i="278"/>
  <c r="AE358" i="278"/>
  <c r="AD358" i="278"/>
  <c r="AC358" i="278"/>
  <c r="AB358" i="278"/>
  <c r="AA358" i="278"/>
  <c r="H358" i="278"/>
  <c r="BD357" i="278"/>
  <c r="BB357" i="278"/>
  <c r="AI357" i="278"/>
  <c r="AH357" i="278"/>
  <c r="AF357" i="278"/>
  <c r="AG357" i="278"/>
  <c r="AD357" i="278"/>
  <c r="AC357" i="278"/>
  <c r="AB357" i="278"/>
  <c r="AA357" i="278"/>
  <c r="BD356" i="278"/>
  <c r="BB356" i="278"/>
  <c r="AI356" i="278"/>
  <c r="AH356" i="278"/>
  <c r="AF356" i="278"/>
  <c r="AG356" i="278"/>
  <c r="AD356" i="278"/>
  <c r="AC356" i="278"/>
  <c r="AB356" i="278"/>
  <c r="AA356" i="278"/>
  <c r="H356" i="278"/>
  <c r="BD355" i="278"/>
  <c r="BD354" i="278"/>
  <c r="BD353" i="278"/>
  <c r="BB353" i="278"/>
  <c r="AI353" i="278"/>
  <c r="AH353" i="278"/>
  <c r="AF353" i="278"/>
  <c r="AG353" i="278"/>
  <c r="AD353" i="278"/>
  <c r="AC353" i="278"/>
  <c r="AB353" i="278"/>
  <c r="AA353" i="278"/>
  <c r="H353" i="278"/>
  <c r="BD352" i="278"/>
  <c r="BB352" i="278"/>
  <c r="AI352" i="278"/>
  <c r="AH352" i="278"/>
  <c r="AF352" i="278"/>
  <c r="AG352" i="278"/>
  <c r="AE352" i="278"/>
  <c r="AD352" i="278"/>
  <c r="AC352" i="278"/>
  <c r="AB352" i="278"/>
  <c r="AA352" i="278"/>
  <c r="H352" i="278"/>
  <c r="BD351" i="278"/>
  <c r="BB351" i="278"/>
  <c r="AI351" i="278"/>
  <c r="AH351" i="278"/>
  <c r="AF351" i="278"/>
  <c r="AG351" i="278"/>
  <c r="AD351" i="278"/>
  <c r="AC351" i="278"/>
  <c r="AB351" i="278"/>
  <c r="AA351" i="278"/>
  <c r="H351" i="278"/>
  <c r="BD350" i="278"/>
  <c r="BB350" i="278"/>
  <c r="AI350" i="278"/>
  <c r="AH350" i="278"/>
  <c r="AF350" i="278"/>
  <c r="AG350" i="278"/>
  <c r="AD350" i="278"/>
  <c r="AC350" i="278"/>
  <c r="AB350" i="278"/>
  <c r="AA350" i="278"/>
  <c r="H350" i="278"/>
  <c r="BD349" i="278"/>
  <c r="BD348" i="278"/>
  <c r="BB348" i="278"/>
  <c r="AI348" i="278"/>
  <c r="AH348" i="278"/>
  <c r="AF348" i="278"/>
  <c r="AG348" i="278"/>
  <c r="AD348" i="278"/>
  <c r="AC348" i="278"/>
  <c r="AB348" i="278"/>
  <c r="AA348" i="278"/>
  <c r="H348" i="278"/>
  <c r="BD347" i="278"/>
  <c r="BB347" i="278"/>
  <c r="AI347" i="278"/>
  <c r="AH347" i="278"/>
  <c r="AF347" i="278"/>
  <c r="AG347" i="278"/>
  <c r="AE347" i="278"/>
  <c r="AD347" i="278"/>
  <c r="AC347" i="278"/>
  <c r="AB347" i="278"/>
  <c r="AA347" i="278"/>
  <c r="H347" i="278"/>
  <c r="BD346" i="278"/>
  <c r="BB346" i="278"/>
  <c r="AI346" i="278"/>
  <c r="AH346" i="278"/>
  <c r="AF346" i="278"/>
  <c r="AG346" i="278"/>
  <c r="AD346" i="278"/>
  <c r="AC346" i="278"/>
  <c r="AB346" i="278"/>
  <c r="AA346" i="278"/>
  <c r="H346" i="278"/>
  <c r="BD345" i="278"/>
  <c r="BB345" i="278"/>
  <c r="AI345" i="278"/>
  <c r="AH345" i="278"/>
  <c r="AF345" i="278"/>
  <c r="AG345" i="278"/>
  <c r="AD345" i="278"/>
  <c r="AC345" i="278"/>
  <c r="AB345" i="278"/>
  <c r="AA345" i="278"/>
  <c r="H345" i="278"/>
  <c r="BD344" i="278"/>
  <c r="BD343" i="278"/>
  <c r="BB343" i="278"/>
  <c r="AI343" i="278"/>
  <c r="AH343" i="278"/>
  <c r="AF343" i="278"/>
  <c r="AG343" i="278"/>
  <c r="AD343" i="278"/>
  <c r="AC343" i="278"/>
  <c r="AB343" i="278"/>
  <c r="AA343" i="278"/>
  <c r="H343" i="278"/>
  <c r="BD342" i="278"/>
  <c r="BB342" i="278"/>
  <c r="AI342" i="278"/>
  <c r="AH342" i="278"/>
  <c r="AF342" i="278"/>
  <c r="AG342" i="278"/>
  <c r="AE342" i="278"/>
  <c r="AD342" i="278"/>
  <c r="AC342" i="278"/>
  <c r="AB342" i="278"/>
  <c r="AA342" i="278"/>
  <c r="H342" i="278"/>
  <c r="BD341" i="278"/>
  <c r="BB341" i="278"/>
  <c r="AI341" i="278"/>
  <c r="AH341" i="278"/>
  <c r="AF341" i="278"/>
  <c r="AG341" i="278"/>
  <c r="AD341" i="278"/>
  <c r="AC341" i="278"/>
  <c r="AB341" i="278"/>
  <c r="AA341" i="278"/>
  <c r="H341" i="278"/>
  <c r="BD340" i="278"/>
  <c r="BB340" i="278"/>
  <c r="AI340" i="278"/>
  <c r="AH340" i="278"/>
  <c r="AF340" i="278"/>
  <c r="AG340" i="278"/>
  <c r="AD340" i="278"/>
  <c r="AC340" i="278"/>
  <c r="AB340" i="278"/>
  <c r="AA340" i="278"/>
  <c r="H340" i="278"/>
  <c r="BD339" i="278"/>
  <c r="BD338" i="278"/>
  <c r="BB338" i="278"/>
  <c r="AI338" i="278"/>
  <c r="AH338" i="278"/>
  <c r="AF338" i="278"/>
  <c r="AG338" i="278"/>
  <c r="AD338" i="278"/>
  <c r="AC338" i="278"/>
  <c r="AB338" i="278"/>
  <c r="AA338" i="278"/>
  <c r="H338" i="278"/>
  <c r="BD337" i="278"/>
  <c r="BB337" i="278"/>
  <c r="AI337" i="278"/>
  <c r="AH337" i="278"/>
  <c r="AF337" i="278"/>
  <c r="AG337" i="278"/>
  <c r="AE337" i="278"/>
  <c r="AD337" i="278"/>
  <c r="AC337" i="278"/>
  <c r="AB337" i="278"/>
  <c r="AA337" i="278"/>
  <c r="H337" i="278"/>
  <c r="BD336" i="278"/>
  <c r="BB336" i="278"/>
  <c r="AI336" i="278"/>
  <c r="AH336" i="278"/>
  <c r="AF336" i="278"/>
  <c r="AG336" i="278"/>
  <c r="AD336" i="278"/>
  <c r="AC336" i="278"/>
  <c r="AB336" i="278"/>
  <c r="AA336" i="278"/>
  <c r="H336" i="278"/>
  <c r="BD335" i="278"/>
  <c r="BB335" i="278"/>
  <c r="AI335" i="278"/>
  <c r="AH335" i="278"/>
  <c r="AF335" i="278"/>
  <c r="AG335" i="278"/>
  <c r="AD335" i="278"/>
  <c r="AC335" i="278"/>
  <c r="AB335" i="278"/>
  <c r="AA335" i="278"/>
  <c r="H335" i="278"/>
  <c r="BD334" i="278"/>
  <c r="BD333" i="278"/>
  <c r="BB333" i="278"/>
  <c r="AI333" i="278"/>
  <c r="AH333" i="278"/>
  <c r="AF333" i="278"/>
  <c r="AG333" i="278"/>
  <c r="AD333" i="278"/>
  <c r="AC333" i="278"/>
  <c r="AB333" i="278"/>
  <c r="AA333" i="278"/>
  <c r="H333" i="278"/>
  <c r="BD332" i="278"/>
  <c r="BB332" i="278"/>
  <c r="AI332" i="278"/>
  <c r="AH332" i="278"/>
  <c r="AF332" i="278"/>
  <c r="AG332" i="278"/>
  <c r="AD332" i="278"/>
  <c r="AC332" i="278"/>
  <c r="AB332" i="278"/>
  <c r="AA332" i="278"/>
  <c r="H332" i="278"/>
  <c r="BD331" i="278"/>
  <c r="BB331" i="278"/>
  <c r="AI331" i="278"/>
  <c r="AH331" i="278"/>
  <c r="AF331" i="278"/>
  <c r="AG331" i="278"/>
  <c r="AD331" i="278"/>
  <c r="AC331" i="278"/>
  <c r="AB331" i="278"/>
  <c r="AA331" i="278"/>
  <c r="H331" i="278"/>
  <c r="BD330" i="278"/>
  <c r="BD329" i="278"/>
  <c r="BB329" i="278"/>
  <c r="AI329" i="278"/>
  <c r="AH329" i="278"/>
  <c r="AF329" i="278"/>
  <c r="AG329" i="278"/>
  <c r="AD329" i="278"/>
  <c r="AC329" i="278"/>
  <c r="AB329" i="278"/>
  <c r="AA329" i="278"/>
  <c r="H329" i="278"/>
  <c r="BD328" i="278"/>
  <c r="BB328" i="278"/>
  <c r="AI328" i="278"/>
  <c r="AH328" i="278"/>
  <c r="AF328" i="278"/>
  <c r="AG328" i="278"/>
  <c r="AE328" i="278"/>
  <c r="AD328" i="278"/>
  <c r="AC328" i="278"/>
  <c r="AB328" i="278"/>
  <c r="AA328" i="278"/>
  <c r="H328" i="278"/>
  <c r="BD327" i="278"/>
  <c r="BB327" i="278"/>
  <c r="AI327" i="278"/>
  <c r="AH327" i="278"/>
  <c r="AF327" i="278"/>
  <c r="AG327" i="278"/>
  <c r="AD327" i="278"/>
  <c r="AC327" i="278"/>
  <c r="AB327" i="278"/>
  <c r="AA327" i="278"/>
  <c r="H327" i="278"/>
  <c r="BD326" i="278"/>
  <c r="BB326" i="278"/>
  <c r="AI326" i="278"/>
  <c r="AH326" i="278"/>
  <c r="AF326" i="278"/>
  <c r="AG326" i="278"/>
  <c r="AD326" i="278"/>
  <c r="AC326" i="278"/>
  <c r="AB326" i="278"/>
  <c r="AA326" i="278"/>
  <c r="H326" i="278"/>
  <c r="BD325" i="278"/>
  <c r="BD324" i="278"/>
  <c r="BB324" i="278"/>
  <c r="AI324" i="278"/>
  <c r="AH324" i="278"/>
  <c r="AF324" i="278"/>
  <c r="AG324" i="278"/>
  <c r="AD324" i="278"/>
  <c r="AC324" i="278"/>
  <c r="AB324" i="278"/>
  <c r="AA324" i="278"/>
  <c r="H324" i="278"/>
  <c r="BD323" i="278"/>
  <c r="BB323" i="278"/>
  <c r="AI323" i="278"/>
  <c r="AH323" i="278"/>
  <c r="AF323" i="278"/>
  <c r="AG323" i="278"/>
  <c r="AE323" i="278"/>
  <c r="AD323" i="278"/>
  <c r="AC323" i="278"/>
  <c r="AB323" i="278"/>
  <c r="AA323" i="278"/>
  <c r="H323" i="278"/>
  <c r="BD322" i="278"/>
  <c r="BB322" i="278"/>
  <c r="AI322" i="278"/>
  <c r="AH322" i="278"/>
  <c r="AF322" i="278"/>
  <c r="AG322" i="278"/>
  <c r="AD322" i="278"/>
  <c r="AC322" i="278"/>
  <c r="AB322" i="278"/>
  <c r="AA322" i="278"/>
  <c r="H322" i="278"/>
  <c r="BD321" i="278"/>
  <c r="BB321" i="278"/>
  <c r="AI321" i="278"/>
  <c r="AH321" i="278"/>
  <c r="AF321" i="278"/>
  <c r="AG321" i="278"/>
  <c r="AD321" i="278"/>
  <c r="AC321" i="278"/>
  <c r="AB321" i="278"/>
  <c r="AA321" i="278"/>
  <c r="H321" i="278"/>
  <c r="BD320" i="278"/>
  <c r="BD319" i="278"/>
  <c r="BB319" i="278"/>
  <c r="AI319" i="278"/>
  <c r="AH319" i="278"/>
  <c r="AF319" i="278"/>
  <c r="AG319" i="278"/>
  <c r="AD319" i="278"/>
  <c r="AC319" i="278"/>
  <c r="AB319" i="278"/>
  <c r="AA319" i="278"/>
  <c r="H319" i="278"/>
  <c r="BD318" i="278"/>
  <c r="BB318" i="278"/>
  <c r="AI318" i="278"/>
  <c r="AH318" i="278"/>
  <c r="AF318" i="278"/>
  <c r="AG318" i="278"/>
  <c r="AE318" i="278"/>
  <c r="AD318" i="278"/>
  <c r="AC318" i="278"/>
  <c r="AB318" i="278"/>
  <c r="AA318" i="278"/>
  <c r="H318" i="278"/>
  <c r="BD317" i="278"/>
  <c r="BB317" i="278"/>
  <c r="AI317" i="278"/>
  <c r="AH317" i="278"/>
  <c r="AF317" i="278"/>
  <c r="AG317" i="278"/>
  <c r="AD317" i="278"/>
  <c r="AC317" i="278"/>
  <c r="AB317" i="278"/>
  <c r="AA317" i="278"/>
  <c r="H317" i="278"/>
  <c r="BD316" i="278"/>
  <c r="BB316" i="278"/>
  <c r="AI316" i="278"/>
  <c r="AH316" i="278"/>
  <c r="AF316" i="278"/>
  <c r="AG316" i="278"/>
  <c r="AD316" i="278"/>
  <c r="AC316" i="278"/>
  <c r="AB316" i="278"/>
  <c r="AA316" i="278"/>
  <c r="H316" i="278"/>
  <c r="BD315" i="278"/>
  <c r="BD314" i="278"/>
  <c r="BB314" i="278"/>
  <c r="AI314" i="278"/>
  <c r="AH314" i="278"/>
  <c r="AF314" i="278"/>
  <c r="AG314" i="278"/>
  <c r="AD314" i="278"/>
  <c r="AC314" i="278"/>
  <c r="AB314" i="278"/>
  <c r="AA314" i="278"/>
  <c r="H314" i="278"/>
  <c r="BD313" i="278"/>
  <c r="BB313" i="278"/>
  <c r="AI313" i="278"/>
  <c r="AH313" i="278"/>
  <c r="AF313" i="278"/>
  <c r="AG313" i="278"/>
  <c r="AE313" i="278"/>
  <c r="AD313" i="278"/>
  <c r="AC313" i="278"/>
  <c r="AB313" i="278"/>
  <c r="AA313" i="278"/>
  <c r="H313" i="278"/>
  <c r="BD312" i="278"/>
  <c r="BB312" i="278"/>
  <c r="AI312" i="278"/>
  <c r="AH312" i="278"/>
  <c r="AF312" i="278"/>
  <c r="AG312" i="278"/>
  <c r="AD312" i="278"/>
  <c r="AC312" i="278"/>
  <c r="AB312" i="278"/>
  <c r="AA312" i="278"/>
  <c r="H312" i="278"/>
  <c r="BD311" i="278"/>
  <c r="BB311" i="278"/>
  <c r="AI311" i="278"/>
  <c r="AH311" i="278"/>
  <c r="AF311" i="278"/>
  <c r="AG311" i="278"/>
  <c r="AD311" i="278"/>
  <c r="AC311" i="278"/>
  <c r="AB311" i="278"/>
  <c r="AA311" i="278"/>
  <c r="H311" i="278"/>
  <c r="BD310" i="278"/>
  <c r="BD309" i="278"/>
  <c r="BB309" i="278"/>
  <c r="AI309" i="278"/>
  <c r="AH309" i="278"/>
  <c r="AF309" i="278"/>
  <c r="AG309" i="278"/>
  <c r="AD309" i="278"/>
  <c r="AC309" i="278"/>
  <c r="AB309" i="278"/>
  <c r="AA309" i="278"/>
  <c r="H309" i="278"/>
  <c r="BD308" i="278"/>
  <c r="BB308" i="278"/>
  <c r="AI308" i="278"/>
  <c r="AH308" i="278"/>
  <c r="AF308" i="278"/>
  <c r="AG308" i="278"/>
  <c r="AE308" i="278"/>
  <c r="AD308" i="278"/>
  <c r="AC308" i="278"/>
  <c r="AB308" i="278"/>
  <c r="AA308" i="278"/>
  <c r="H308" i="278"/>
  <c r="BD307" i="278"/>
  <c r="BB307" i="278"/>
  <c r="AI307" i="278"/>
  <c r="AH307" i="278"/>
  <c r="AF307" i="278"/>
  <c r="AG307" i="278"/>
  <c r="AD307" i="278"/>
  <c r="AC307" i="278"/>
  <c r="AB307" i="278"/>
  <c r="AA307" i="278"/>
  <c r="H307" i="278"/>
  <c r="BD306" i="278"/>
  <c r="BB306" i="278"/>
  <c r="AI306" i="278"/>
  <c r="AH306" i="278"/>
  <c r="AF306" i="278"/>
  <c r="AG306" i="278"/>
  <c r="AD306" i="278"/>
  <c r="AC306" i="278"/>
  <c r="AB306" i="278"/>
  <c r="AA306" i="278"/>
  <c r="H306" i="278"/>
  <c r="BD305" i="278"/>
  <c r="BB305" i="278"/>
  <c r="AI305" i="278"/>
  <c r="AH305" i="278"/>
  <c r="AF305" i="278"/>
  <c r="AG305" i="278"/>
  <c r="AD305" i="278"/>
  <c r="AC305" i="278"/>
  <c r="AB305" i="278"/>
  <c r="AA305" i="278"/>
  <c r="BD304" i="278"/>
  <c r="BD303" i="278"/>
  <c r="BB303" i="278"/>
  <c r="AI303" i="278"/>
  <c r="AH303" i="278"/>
  <c r="AF303" i="278"/>
  <c r="AG303" i="278"/>
  <c r="AD303" i="278"/>
  <c r="AC303" i="278"/>
  <c r="AB303" i="278"/>
  <c r="AA303" i="278"/>
  <c r="H303" i="278"/>
  <c r="BD302" i="278"/>
  <c r="BB302" i="278"/>
  <c r="AI302" i="278"/>
  <c r="AH302" i="278"/>
  <c r="AF302" i="278"/>
  <c r="AG302" i="278"/>
  <c r="AE302" i="278"/>
  <c r="AD302" i="278"/>
  <c r="AC302" i="278"/>
  <c r="AB302" i="278"/>
  <c r="AA302" i="278"/>
  <c r="H302" i="278"/>
  <c r="BD301" i="278"/>
  <c r="BB301" i="278"/>
  <c r="AI301" i="278"/>
  <c r="AH301" i="278"/>
  <c r="AF301" i="278"/>
  <c r="AG301" i="278"/>
  <c r="AD301" i="278"/>
  <c r="AC301" i="278"/>
  <c r="AB301" i="278"/>
  <c r="AA301" i="278"/>
  <c r="H301" i="278"/>
  <c r="BD300" i="278"/>
  <c r="BB300" i="278"/>
  <c r="AI300" i="278"/>
  <c r="AH300" i="278"/>
  <c r="AF300" i="278"/>
  <c r="AG300" i="278"/>
  <c r="AD300" i="278"/>
  <c r="AC300" i="278"/>
  <c r="AB300" i="278"/>
  <c r="AA300" i="278"/>
  <c r="H300" i="278"/>
  <c r="BD299" i="278"/>
  <c r="BD298" i="278"/>
  <c r="BB298" i="278"/>
  <c r="AI298" i="278"/>
  <c r="AH298" i="278"/>
  <c r="AF298" i="278"/>
  <c r="AG298" i="278"/>
  <c r="AD298" i="278"/>
  <c r="AC298" i="278"/>
  <c r="AB298" i="278"/>
  <c r="AA298" i="278"/>
  <c r="H298" i="278"/>
  <c r="BD297" i="278"/>
  <c r="BB297" i="278"/>
  <c r="AI297" i="278"/>
  <c r="AH297" i="278"/>
  <c r="AF297" i="278"/>
  <c r="AG297" i="278"/>
  <c r="AE297" i="278"/>
  <c r="AD297" i="278"/>
  <c r="AC297" i="278"/>
  <c r="AB297" i="278"/>
  <c r="AA297" i="278"/>
  <c r="H297" i="278"/>
  <c r="BD296" i="278"/>
  <c r="BB296" i="278"/>
  <c r="AI296" i="278"/>
  <c r="AH296" i="278"/>
  <c r="AF296" i="278"/>
  <c r="AG296" i="278"/>
  <c r="AD296" i="278"/>
  <c r="AC296" i="278"/>
  <c r="AB296" i="278"/>
  <c r="AA296" i="278"/>
  <c r="H296" i="278"/>
  <c r="BD295" i="278"/>
  <c r="BB295" i="278"/>
  <c r="AI295" i="278"/>
  <c r="AH295" i="278"/>
  <c r="AF295" i="278"/>
  <c r="AG295" i="278"/>
  <c r="AD295" i="278"/>
  <c r="AC295" i="278"/>
  <c r="AB295" i="278"/>
  <c r="AA295" i="278"/>
  <c r="H295" i="278"/>
  <c r="BD294" i="278"/>
  <c r="BD293" i="278"/>
  <c r="BB293" i="278"/>
  <c r="AI293" i="278"/>
  <c r="AH293" i="278"/>
  <c r="AF293" i="278"/>
  <c r="AG293" i="278"/>
  <c r="AD293" i="278"/>
  <c r="AC293" i="278"/>
  <c r="AB293" i="278"/>
  <c r="AA293" i="278"/>
  <c r="H293" i="278"/>
  <c r="BD292" i="278"/>
  <c r="BB292" i="278"/>
  <c r="AI292" i="278"/>
  <c r="AH292" i="278"/>
  <c r="AF292" i="278"/>
  <c r="AG292" i="278"/>
  <c r="AE292" i="278"/>
  <c r="AD292" i="278"/>
  <c r="AC292" i="278"/>
  <c r="AB292" i="278"/>
  <c r="AA292" i="278"/>
  <c r="H292" i="278"/>
  <c r="BD291" i="278"/>
  <c r="BB291" i="278"/>
  <c r="AI291" i="278"/>
  <c r="AH291" i="278"/>
  <c r="AF291" i="278"/>
  <c r="AG291" i="278"/>
  <c r="AD291" i="278"/>
  <c r="AC291" i="278"/>
  <c r="AB291" i="278"/>
  <c r="AA291" i="278"/>
  <c r="H291" i="278"/>
  <c r="BD290" i="278"/>
  <c r="BB290" i="278"/>
  <c r="AI290" i="278"/>
  <c r="AH290" i="278"/>
  <c r="AF290" i="278"/>
  <c r="AG290" i="278"/>
  <c r="AD290" i="278"/>
  <c r="AC290" i="278"/>
  <c r="AB290" i="278"/>
  <c r="AA290" i="278"/>
  <c r="H290" i="278"/>
  <c r="BD289" i="278"/>
  <c r="BD288" i="278"/>
  <c r="BB288" i="278"/>
  <c r="AI288" i="278"/>
  <c r="AH288" i="278"/>
  <c r="AF288" i="278"/>
  <c r="AG288" i="278"/>
  <c r="AD288" i="278"/>
  <c r="AC288" i="278"/>
  <c r="AB288" i="278"/>
  <c r="AA288" i="278"/>
  <c r="H288" i="278"/>
  <c r="BD287" i="278"/>
  <c r="BB287" i="278"/>
  <c r="AI287" i="278"/>
  <c r="AH287" i="278"/>
  <c r="AF287" i="278"/>
  <c r="AG287" i="278"/>
  <c r="AE287" i="278"/>
  <c r="AD287" i="278"/>
  <c r="AC287" i="278"/>
  <c r="AB287" i="278"/>
  <c r="AA287" i="278"/>
  <c r="H287" i="278"/>
  <c r="BD286" i="278"/>
  <c r="BB286" i="278"/>
  <c r="AI286" i="278"/>
  <c r="AH286" i="278"/>
  <c r="AF286" i="278"/>
  <c r="AG286" i="278"/>
  <c r="AD286" i="278"/>
  <c r="AC286" i="278"/>
  <c r="AB286" i="278"/>
  <c r="AA286" i="278"/>
  <c r="H286" i="278"/>
  <c r="BD285" i="278"/>
  <c r="BB285" i="278"/>
  <c r="AI285" i="278"/>
  <c r="AH285" i="278"/>
  <c r="AF285" i="278"/>
  <c r="AG285" i="278"/>
  <c r="AD285" i="278"/>
  <c r="AC285" i="278"/>
  <c r="AB285" i="278"/>
  <c r="AA285" i="278"/>
  <c r="H285" i="278"/>
  <c r="BD284" i="278"/>
  <c r="BB284" i="278"/>
  <c r="AI284" i="278"/>
  <c r="AH284" i="278"/>
  <c r="AF284" i="278"/>
  <c r="AG284" i="278"/>
  <c r="AE284" i="278"/>
  <c r="AD284" i="278"/>
  <c r="AC284" i="278"/>
  <c r="AB284" i="278"/>
  <c r="AA284" i="278"/>
  <c r="H284" i="278"/>
  <c r="BD283" i="278"/>
  <c r="BD282" i="278"/>
  <c r="BB282" i="278"/>
  <c r="AI282" i="278"/>
  <c r="AH282" i="278"/>
  <c r="AF282" i="278"/>
  <c r="AG282" i="278"/>
  <c r="AD282" i="278"/>
  <c r="AC282" i="278"/>
  <c r="AB282" i="278"/>
  <c r="AA282" i="278"/>
  <c r="H282" i="278"/>
  <c r="BD281" i="278"/>
  <c r="BD280" i="278"/>
  <c r="BB280" i="278"/>
  <c r="AI280" i="278"/>
  <c r="AH280" i="278"/>
  <c r="AF280" i="278"/>
  <c r="AG280" i="278"/>
  <c r="AD280" i="278"/>
  <c r="AC280" i="278"/>
  <c r="AB280" i="278"/>
  <c r="AA280" i="278"/>
  <c r="H280" i="278"/>
  <c r="BD279" i="278"/>
  <c r="BB279" i="278"/>
  <c r="AI279" i="278"/>
  <c r="AH279" i="278"/>
  <c r="AF279" i="278"/>
  <c r="AG279" i="278"/>
  <c r="AE279" i="278"/>
  <c r="AD279" i="278"/>
  <c r="AC279" i="278"/>
  <c r="AB279" i="278"/>
  <c r="AA279" i="278"/>
  <c r="H279" i="278"/>
  <c r="BD278" i="278"/>
  <c r="BB278" i="278"/>
  <c r="AI278" i="278"/>
  <c r="AH278" i="278"/>
  <c r="AF278" i="278"/>
  <c r="AG278" i="278"/>
  <c r="AD278" i="278"/>
  <c r="AC278" i="278"/>
  <c r="AB278" i="278"/>
  <c r="AA278" i="278"/>
  <c r="H278" i="278"/>
  <c r="BD277" i="278"/>
  <c r="BB277" i="278"/>
  <c r="AI277" i="278"/>
  <c r="AH277" i="278"/>
  <c r="AF277" i="278"/>
  <c r="AG277" i="278"/>
  <c r="AD277" i="278"/>
  <c r="AC277" i="278"/>
  <c r="AB277" i="278"/>
  <c r="AA277" i="278"/>
  <c r="H277" i="278"/>
  <c r="BD276" i="278"/>
  <c r="BD275" i="278"/>
  <c r="BB275" i="278"/>
  <c r="AI275" i="278"/>
  <c r="AH275" i="278"/>
  <c r="AF275" i="278"/>
  <c r="AG275" i="278"/>
  <c r="AD275" i="278"/>
  <c r="AC275" i="278"/>
  <c r="AB275" i="278"/>
  <c r="AA275" i="278"/>
  <c r="H275" i="278"/>
  <c r="BD274" i="278"/>
  <c r="BB274" i="278"/>
  <c r="AI274" i="278"/>
  <c r="AH274" i="278"/>
  <c r="AF274" i="278"/>
  <c r="AG274" i="278"/>
  <c r="AE274" i="278"/>
  <c r="AD274" i="278"/>
  <c r="AC274" i="278"/>
  <c r="AB274" i="278"/>
  <c r="AA274" i="278"/>
  <c r="H274" i="278"/>
  <c r="BD273" i="278"/>
  <c r="BB273" i="278"/>
  <c r="AI273" i="278"/>
  <c r="AH273" i="278"/>
  <c r="AF273" i="278"/>
  <c r="AG273" i="278"/>
  <c r="AD273" i="278"/>
  <c r="AC273" i="278"/>
  <c r="AB273" i="278"/>
  <c r="AA273" i="278"/>
  <c r="H273" i="278"/>
  <c r="BD272" i="278"/>
  <c r="BB272" i="278"/>
  <c r="AI272" i="278"/>
  <c r="AH272" i="278"/>
  <c r="AF272" i="278"/>
  <c r="AG272" i="278"/>
  <c r="AD272" i="278"/>
  <c r="AC272" i="278"/>
  <c r="AB272" i="278"/>
  <c r="AA272" i="278"/>
  <c r="H272" i="278"/>
  <c r="BD271" i="278"/>
  <c r="BD270" i="278"/>
  <c r="BB270" i="278"/>
  <c r="AI270" i="278"/>
  <c r="AH270" i="278"/>
  <c r="AF270" i="278"/>
  <c r="AG270" i="278"/>
  <c r="AD270" i="278"/>
  <c r="AC270" i="278"/>
  <c r="AB270" i="278"/>
  <c r="AA270" i="278"/>
  <c r="H270" i="278"/>
  <c r="BD269" i="278"/>
  <c r="BB269" i="278"/>
  <c r="AI269" i="278"/>
  <c r="AH269" i="278"/>
  <c r="AF269" i="278"/>
  <c r="AG269" i="278"/>
  <c r="AE269" i="278"/>
  <c r="AD269" i="278"/>
  <c r="AC269" i="278"/>
  <c r="AB269" i="278"/>
  <c r="AA269" i="278"/>
  <c r="H269" i="278"/>
  <c r="BD268" i="278"/>
  <c r="BB268" i="278"/>
  <c r="AI268" i="278"/>
  <c r="AH268" i="278"/>
  <c r="AF268" i="278"/>
  <c r="AG268" i="278"/>
  <c r="AD268" i="278"/>
  <c r="AC268" i="278"/>
  <c r="AB268" i="278"/>
  <c r="AA268" i="278"/>
  <c r="H268" i="278"/>
  <c r="BD267" i="278"/>
  <c r="BB267" i="278"/>
  <c r="AI267" i="278"/>
  <c r="AH267" i="278"/>
  <c r="AF267" i="278"/>
  <c r="AG267" i="278"/>
  <c r="AD267" i="278"/>
  <c r="AC267" i="278"/>
  <c r="AB267" i="278"/>
  <c r="AA267" i="278"/>
  <c r="H267" i="278"/>
  <c r="BD266" i="278"/>
  <c r="BD265" i="278"/>
  <c r="BB265" i="278"/>
  <c r="AI265" i="278"/>
  <c r="AH265" i="278"/>
  <c r="AF265" i="278"/>
  <c r="AG265" i="278"/>
  <c r="AD265" i="278"/>
  <c r="AC265" i="278"/>
  <c r="AB265" i="278"/>
  <c r="AA265" i="278"/>
  <c r="H265" i="278"/>
  <c r="BD264" i="278"/>
  <c r="BB264" i="278"/>
  <c r="AI264" i="278"/>
  <c r="AH264" i="278"/>
  <c r="AF264" i="278"/>
  <c r="AG264" i="278"/>
  <c r="AE264" i="278"/>
  <c r="AD264" i="278"/>
  <c r="AC264" i="278"/>
  <c r="AB264" i="278"/>
  <c r="AA264" i="278"/>
  <c r="H264" i="278"/>
  <c r="BD263" i="278"/>
  <c r="BB263" i="278"/>
  <c r="AI263" i="278"/>
  <c r="AH263" i="278"/>
  <c r="AF263" i="278"/>
  <c r="AG263" i="278"/>
  <c r="AD263" i="278"/>
  <c r="AC263" i="278"/>
  <c r="AB263" i="278"/>
  <c r="AA263" i="278"/>
  <c r="H263" i="278"/>
  <c r="BD262" i="278"/>
  <c r="BB262" i="278"/>
  <c r="AI262" i="278"/>
  <c r="AH262" i="278"/>
  <c r="AF262" i="278"/>
  <c r="AG262" i="278"/>
  <c r="AD262" i="278"/>
  <c r="AC262" i="278"/>
  <c r="AB262" i="278"/>
  <c r="AA262" i="278"/>
  <c r="H262" i="278"/>
  <c r="BD261" i="278"/>
  <c r="BD260" i="278"/>
  <c r="BB260" i="278"/>
  <c r="AI260" i="278"/>
  <c r="AH260" i="278"/>
  <c r="AF260" i="278"/>
  <c r="AG260" i="278"/>
  <c r="AD260" i="278"/>
  <c r="AC260" i="278"/>
  <c r="AB260" i="278"/>
  <c r="AA260" i="278"/>
  <c r="H260" i="278"/>
  <c r="BD259" i="278"/>
  <c r="BB259" i="278"/>
  <c r="AI259" i="278"/>
  <c r="AH259" i="278"/>
  <c r="AF259" i="278"/>
  <c r="AG259" i="278"/>
  <c r="AE259" i="278"/>
  <c r="AD259" i="278"/>
  <c r="AC259" i="278"/>
  <c r="AB259" i="278"/>
  <c r="AA259" i="278"/>
  <c r="H259" i="278"/>
  <c r="BD258" i="278"/>
  <c r="BD257" i="278"/>
  <c r="BB257" i="278"/>
  <c r="AI257" i="278"/>
  <c r="AH257" i="278"/>
  <c r="AF257" i="278"/>
  <c r="AG257" i="278"/>
  <c r="AD257" i="278"/>
  <c r="AC257" i="278"/>
  <c r="AB257" i="278"/>
  <c r="AA257" i="278"/>
  <c r="H257" i="278"/>
  <c r="BD256" i="278"/>
  <c r="BB256" i="278"/>
  <c r="AI256" i="278"/>
  <c r="AH256" i="278"/>
  <c r="AF256" i="278"/>
  <c r="AG256" i="278"/>
  <c r="AD256" i="278"/>
  <c r="AC256" i="278"/>
  <c r="AB256" i="278"/>
  <c r="AA256" i="278"/>
  <c r="H256" i="278"/>
  <c r="BD255" i="278"/>
  <c r="BD254" i="278"/>
  <c r="BB254" i="278"/>
  <c r="AI254" i="278"/>
  <c r="AH254" i="278"/>
  <c r="AF254" i="278"/>
  <c r="AG254" i="278"/>
  <c r="AD254" i="278"/>
  <c r="AC254" i="278"/>
  <c r="AB254" i="278"/>
  <c r="AA254" i="278"/>
  <c r="H254" i="278"/>
  <c r="BD253" i="278"/>
  <c r="BB253" i="278"/>
  <c r="AI253" i="278"/>
  <c r="AH253" i="278"/>
  <c r="AF253" i="278"/>
  <c r="AG253" i="278"/>
  <c r="AE253" i="278"/>
  <c r="AD253" i="278"/>
  <c r="AC253" i="278"/>
  <c r="AB253" i="278"/>
  <c r="AA253" i="278"/>
  <c r="H253" i="278"/>
  <c r="BD252" i="278"/>
  <c r="BB252" i="278"/>
  <c r="AI252" i="278"/>
  <c r="AH252" i="278"/>
  <c r="AF252" i="278"/>
  <c r="AG252" i="278"/>
  <c r="AD252" i="278"/>
  <c r="AC252" i="278"/>
  <c r="AB252" i="278"/>
  <c r="AA252" i="278"/>
  <c r="H252" i="278"/>
  <c r="BD251" i="278"/>
  <c r="BB251" i="278"/>
  <c r="AI251" i="278"/>
  <c r="AH251" i="278"/>
  <c r="AF251" i="278"/>
  <c r="AG251" i="278"/>
  <c r="AD251" i="278"/>
  <c r="AC251" i="278"/>
  <c r="AB251" i="278"/>
  <c r="AA251" i="278"/>
  <c r="H251" i="278"/>
  <c r="BD250" i="278"/>
  <c r="BD249" i="278"/>
  <c r="BB249" i="278"/>
  <c r="AI249" i="278"/>
  <c r="AH249" i="278"/>
  <c r="AF249" i="278"/>
  <c r="AG249" i="278"/>
  <c r="AD249" i="278"/>
  <c r="AC249" i="278"/>
  <c r="AB249" i="278"/>
  <c r="AA249" i="278"/>
  <c r="H249" i="278"/>
  <c r="BD248" i="278"/>
  <c r="BB248" i="278"/>
  <c r="AI248" i="278"/>
  <c r="AH248" i="278"/>
  <c r="AF248" i="278"/>
  <c r="AG248" i="278"/>
  <c r="AE248" i="278"/>
  <c r="AD248" i="278"/>
  <c r="AC248" i="278"/>
  <c r="AB248" i="278"/>
  <c r="AA248" i="278"/>
  <c r="H248" i="278"/>
  <c r="BD247" i="278"/>
  <c r="BB247" i="278"/>
  <c r="AI247" i="278"/>
  <c r="AH247" i="278"/>
  <c r="AF247" i="278"/>
  <c r="AG247" i="278"/>
  <c r="AD247" i="278"/>
  <c r="AC247" i="278"/>
  <c r="AB247" i="278"/>
  <c r="AA247" i="278"/>
  <c r="H247" i="278"/>
  <c r="BD246" i="278"/>
  <c r="BB246" i="278"/>
  <c r="AI246" i="278"/>
  <c r="AH246" i="278"/>
  <c r="AF246" i="278"/>
  <c r="AG246" i="278"/>
  <c r="AD246" i="278"/>
  <c r="AC246" i="278"/>
  <c r="AB246" i="278"/>
  <c r="AA246" i="278"/>
  <c r="H246" i="278"/>
  <c r="BD245" i="278"/>
  <c r="BD244" i="278"/>
  <c r="BB244" i="278"/>
  <c r="AI244" i="278"/>
  <c r="AH244" i="278"/>
  <c r="AF244" i="278"/>
  <c r="AG244" i="278"/>
  <c r="AD244" i="278"/>
  <c r="AC244" i="278"/>
  <c r="AB244" i="278"/>
  <c r="AA244" i="278"/>
  <c r="H244" i="278"/>
  <c r="BD243" i="278"/>
  <c r="BB243" i="278"/>
  <c r="AI243" i="278"/>
  <c r="AH243" i="278"/>
  <c r="AF243" i="278"/>
  <c r="AG243" i="278"/>
  <c r="AE243" i="278"/>
  <c r="AD243" i="278"/>
  <c r="AC243" i="278"/>
  <c r="AB243" i="278"/>
  <c r="AA243" i="278"/>
  <c r="H243" i="278"/>
  <c r="BD242" i="278"/>
  <c r="BB242" i="278"/>
  <c r="AI242" i="278"/>
  <c r="AH242" i="278"/>
  <c r="AF242" i="278"/>
  <c r="AG242" i="278"/>
  <c r="AD242" i="278"/>
  <c r="AC242" i="278"/>
  <c r="AB242" i="278"/>
  <c r="AA242" i="278"/>
  <c r="H242" i="278"/>
  <c r="BD241" i="278"/>
  <c r="BB241" i="278"/>
  <c r="AI241" i="278"/>
  <c r="AH241" i="278"/>
  <c r="AF241" i="278"/>
  <c r="AG241" i="278"/>
  <c r="AD241" i="278"/>
  <c r="AC241" i="278"/>
  <c r="AB241" i="278"/>
  <c r="AA241" i="278"/>
  <c r="H241" i="278"/>
  <c r="BD240" i="278"/>
  <c r="BD239" i="278"/>
  <c r="BB239" i="278"/>
  <c r="AI239" i="278"/>
  <c r="AH239" i="278"/>
  <c r="AF239" i="278"/>
  <c r="AG239" i="278"/>
  <c r="AD239" i="278"/>
  <c r="AC239" i="278"/>
  <c r="AB239" i="278"/>
  <c r="AA239" i="278"/>
  <c r="H239" i="278"/>
  <c r="BD238" i="278"/>
  <c r="BB238" i="278"/>
  <c r="AI238" i="278"/>
  <c r="AH238" i="278"/>
  <c r="AF238" i="278"/>
  <c r="AG238" i="278"/>
  <c r="AE238" i="278"/>
  <c r="AD238" i="278"/>
  <c r="AC238" i="278"/>
  <c r="AB238" i="278"/>
  <c r="AA238" i="278"/>
  <c r="H238" i="278"/>
  <c r="BD237" i="278"/>
  <c r="BD236" i="278"/>
  <c r="BB236" i="278"/>
  <c r="AI236" i="278"/>
  <c r="AH236" i="278"/>
  <c r="AF236" i="278"/>
  <c r="AG236" i="278"/>
  <c r="AD236" i="278"/>
  <c r="AC236" i="278"/>
  <c r="AB236" i="278"/>
  <c r="AA236" i="278"/>
  <c r="H236" i="278"/>
  <c r="BD235" i="278"/>
  <c r="BB235" i="278"/>
  <c r="AI235" i="278"/>
  <c r="AH235" i="278"/>
  <c r="AF235" i="278"/>
  <c r="AG235" i="278"/>
  <c r="AD235" i="278"/>
  <c r="AC235" i="278"/>
  <c r="AB235" i="278"/>
  <c r="AA235" i="278"/>
  <c r="H235" i="278"/>
  <c r="BD234" i="278"/>
  <c r="BD233" i="278"/>
  <c r="BD232" i="278"/>
  <c r="BB232" i="278"/>
  <c r="AI232" i="278"/>
  <c r="AH232" i="278"/>
  <c r="AF232" i="278"/>
  <c r="AG232" i="278"/>
  <c r="AD232" i="278"/>
  <c r="AC232" i="278"/>
  <c r="AB232" i="278"/>
  <c r="AA232" i="278"/>
  <c r="H232" i="278"/>
  <c r="BD231" i="278"/>
  <c r="BB231" i="278"/>
  <c r="AI231" i="278"/>
  <c r="AH231" i="278"/>
  <c r="AF231" i="278"/>
  <c r="AG231" i="278"/>
  <c r="AE231" i="278"/>
  <c r="AD231" i="278"/>
  <c r="AC231" i="278"/>
  <c r="AB231" i="278"/>
  <c r="AA231" i="278"/>
  <c r="H231" i="278"/>
  <c r="BD230" i="278"/>
  <c r="BB230" i="278"/>
  <c r="AI230" i="278"/>
  <c r="AH230" i="278"/>
  <c r="AF230" i="278"/>
  <c r="AG230" i="278"/>
  <c r="AD230" i="278"/>
  <c r="AC230" i="278"/>
  <c r="AB230" i="278"/>
  <c r="AA230" i="278"/>
  <c r="H230" i="278"/>
  <c r="BD229" i="278"/>
  <c r="BB229" i="278"/>
  <c r="AI229" i="278"/>
  <c r="AH229" i="278"/>
  <c r="AF229" i="278"/>
  <c r="AG229" i="278"/>
  <c r="AD229" i="278"/>
  <c r="AC229" i="278"/>
  <c r="AB229" i="278"/>
  <c r="AA229" i="278"/>
  <c r="H229" i="278"/>
  <c r="BD228" i="278"/>
  <c r="BD227" i="278"/>
  <c r="BB227" i="278"/>
  <c r="AI227" i="278"/>
  <c r="AH227" i="278"/>
  <c r="AF227" i="278"/>
  <c r="AG227" i="278"/>
  <c r="AD227" i="278"/>
  <c r="AC227" i="278"/>
  <c r="AB227" i="278"/>
  <c r="AA227" i="278"/>
  <c r="H227" i="278"/>
  <c r="BD226" i="278"/>
  <c r="BB226" i="278"/>
  <c r="AI226" i="278"/>
  <c r="AH226" i="278"/>
  <c r="AF226" i="278"/>
  <c r="AG226" i="278"/>
  <c r="AE226" i="278"/>
  <c r="AD226" i="278"/>
  <c r="AC226" i="278"/>
  <c r="AB226" i="278"/>
  <c r="AA226" i="278"/>
  <c r="H226" i="278"/>
  <c r="BD225" i="278"/>
  <c r="BB225" i="278"/>
  <c r="AI225" i="278"/>
  <c r="AH225" i="278"/>
  <c r="AF225" i="278"/>
  <c r="AG225" i="278"/>
  <c r="AD225" i="278"/>
  <c r="AC225" i="278"/>
  <c r="AB225" i="278"/>
  <c r="AA225" i="278"/>
  <c r="H225" i="278"/>
  <c r="BD224" i="278"/>
  <c r="BB224" i="278"/>
  <c r="AI224" i="278"/>
  <c r="AH224" i="278"/>
  <c r="AF224" i="278"/>
  <c r="AG224" i="278"/>
  <c r="AD224" i="278"/>
  <c r="AC224" i="278"/>
  <c r="AB224" i="278"/>
  <c r="AA224" i="278"/>
  <c r="H224" i="278"/>
  <c r="BD223" i="278"/>
  <c r="BD222" i="278"/>
  <c r="BB222" i="278"/>
  <c r="AI222" i="278"/>
  <c r="AH222" i="278"/>
  <c r="AF222" i="278"/>
  <c r="AG222" i="278"/>
  <c r="AD222" i="278"/>
  <c r="AC222" i="278"/>
  <c r="AB222" i="278"/>
  <c r="AA222" i="278"/>
  <c r="H222" i="278"/>
  <c r="BD221" i="278"/>
  <c r="BB221" i="278"/>
  <c r="AI221" i="278"/>
  <c r="AH221" i="278"/>
  <c r="AF221" i="278"/>
  <c r="AG221" i="278"/>
  <c r="AE221" i="278"/>
  <c r="AD221" i="278"/>
  <c r="AC221" i="278"/>
  <c r="AB221" i="278"/>
  <c r="AA221" i="278"/>
  <c r="H221" i="278"/>
  <c r="BD220" i="278"/>
  <c r="BB220" i="278"/>
  <c r="AI220" i="278"/>
  <c r="AH220" i="278"/>
  <c r="AF220" i="278"/>
  <c r="AG220" i="278"/>
  <c r="AD220" i="278"/>
  <c r="AC220" i="278"/>
  <c r="AB220" i="278"/>
  <c r="AA220" i="278"/>
  <c r="H220" i="278"/>
  <c r="BD219" i="278"/>
  <c r="BB219" i="278"/>
  <c r="AI219" i="278"/>
  <c r="AH219" i="278"/>
  <c r="AF219" i="278"/>
  <c r="AG219" i="278"/>
  <c r="AD219" i="278"/>
  <c r="AC219" i="278"/>
  <c r="AB219" i="278"/>
  <c r="AA219" i="278"/>
  <c r="H219" i="278"/>
  <c r="BD218" i="278"/>
  <c r="BD217" i="278"/>
  <c r="BB217" i="278"/>
  <c r="AI217" i="278"/>
  <c r="AH217" i="278"/>
  <c r="AF217" i="278"/>
  <c r="AG217" i="278"/>
  <c r="AD217" i="278"/>
  <c r="AC217" i="278"/>
  <c r="AB217" i="278"/>
  <c r="AA217" i="278"/>
  <c r="H217" i="278"/>
  <c r="BD216" i="278"/>
  <c r="BB216" i="278"/>
  <c r="AI216" i="278"/>
  <c r="AH216" i="278"/>
  <c r="AF216" i="278"/>
  <c r="AG216" i="278"/>
  <c r="AE216" i="278"/>
  <c r="AD216" i="278"/>
  <c r="AC216" i="278"/>
  <c r="AB216" i="278"/>
  <c r="AA216" i="278"/>
  <c r="H216" i="278"/>
  <c r="BD215" i="278"/>
  <c r="BB215" i="278"/>
  <c r="AI215" i="278"/>
  <c r="AH215" i="278"/>
  <c r="AF215" i="278"/>
  <c r="AG215" i="278"/>
  <c r="AD215" i="278"/>
  <c r="AC215" i="278"/>
  <c r="AB215" i="278"/>
  <c r="AA215" i="278"/>
  <c r="H215" i="278"/>
  <c r="BD214" i="278"/>
  <c r="BB214" i="278"/>
  <c r="AI214" i="278"/>
  <c r="AH214" i="278"/>
  <c r="AF214" i="278"/>
  <c r="AG214" i="278"/>
  <c r="AD214" i="278"/>
  <c r="AC214" i="278"/>
  <c r="AB214" i="278"/>
  <c r="AA214" i="278"/>
  <c r="H214" i="278"/>
  <c r="BD213" i="278"/>
  <c r="BD212" i="278"/>
  <c r="BB212" i="278"/>
  <c r="AI212" i="278"/>
  <c r="AH212" i="278"/>
  <c r="AF212" i="278"/>
  <c r="AG212" i="278"/>
  <c r="AD212" i="278"/>
  <c r="AC212" i="278"/>
  <c r="AB212" i="278"/>
  <c r="AA212" i="278"/>
  <c r="H212" i="278"/>
  <c r="BD211" i="278"/>
  <c r="BB211" i="278"/>
  <c r="AI211" i="278"/>
  <c r="AH211" i="278"/>
  <c r="AF211" i="278"/>
  <c r="AG211" i="278"/>
  <c r="AE211" i="278"/>
  <c r="AD211" i="278"/>
  <c r="AC211" i="278"/>
  <c r="AB211" i="278"/>
  <c r="AA211" i="278"/>
  <c r="H211" i="278"/>
  <c r="BD210" i="278"/>
  <c r="BB210" i="278"/>
  <c r="AI210" i="278"/>
  <c r="AH210" i="278"/>
  <c r="AF210" i="278"/>
  <c r="AG210" i="278"/>
  <c r="AD210" i="278"/>
  <c r="AC210" i="278"/>
  <c r="AB210" i="278"/>
  <c r="AA210" i="278"/>
  <c r="H210" i="278"/>
  <c r="BD209" i="278"/>
  <c r="BB209" i="278"/>
  <c r="AI209" i="278"/>
  <c r="AH209" i="278"/>
  <c r="AF209" i="278"/>
  <c r="AG209" i="278"/>
  <c r="AD209" i="278"/>
  <c r="AC209" i="278"/>
  <c r="AB209" i="278"/>
  <c r="AA209" i="278"/>
  <c r="H209" i="278"/>
  <c r="BD208" i="278"/>
  <c r="BD207" i="278"/>
  <c r="BB207" i="278"/>
  <c r="AI207" i="278"/>
  <c r="AH207" i="278"/>
  <c r="AF207" i="278"/>
  <c r="AG207" i="278"/>
  <c r="AD207" i="278"/>
  <c r="AC207" i="278"/>
  <c r="AB207" i="278"/>
  <c r="AA207" i="278"/>
  <c r="H207" i="278"/>
  <c r="BD206" i="278"/>
  <c r="BB206" i="278"/>
  <c r="AI206" i="278"/>
  <c r="AH206" i="278"/>
  <c r="AF206" i="278"/>
  <c r="AG206" i="278"/>
  <c r="AE206" i="278"/>
  <c r="AD206" i="278"/>
  <c r="AC206" i="278"/>
  <c r="AB206" i="278"/>
  <c r="AA206" i="278"/>
  <c r="H206" i="278"/>
  <c r="BD205" i="278"/>
  <c r="BB205" i="278"/>
  <c r="AI205" i="278"/>
  <c r="AH205" i="278"/>
  <c r="AF205" i="278"/>
  <c r="AG205" i="278"/>
  <c r="AD205" i="278"/>
  <c r="AC205" i="278"/>
  <c r="AB205" i="278"/>
  <c r="AA205" i="278"/>
  <c r="H205" i="278"/>
  <c r="BD204" i="278"/>
  <c r="BB204" i="278"/>
  <c r="AI204" i="278"/>
  <c r="AH204" i="278"/>
  <c r="AF204" i="278"/>
  <c r="AG204" i="278"/>
  <c r="AD204" i="278"/>
  <c r="AC204" i="278"/>
  <c r="AB204" i="278"/>
  <c r="AA204" i="278"/>
  <c r="H204" i="278"/>
  <c r="BD203" i="278"/>
  <c r="BD202" i="278"/>
  <c r="BB202" i="278"/>
  <c r="AI202" i="278"/>
  <c r="AH202" i="278"/>
  <c r="AF202" i="278"/>
  <c r="AG202" i="278"/>
  <c r="AD202" i="278"/>
  <c r="AC202" i="278"/>
  <c r="AB202" i="278"/>
  <c r="AA202" i="278"/>
  <c r="H202" i="278"/>
  <c r="BD201" i="278"/>
  <c r="BB201" i="278"/>
  <c r="AI201" i="278"/>
  <c r="AH201" i="278"/>
  <c r="AF201" i="278"/>
  <c r="AG201" i="278"/>
  <c r="AE201" i="278"/>
  <c r="AD201" i="278"/>
  <c r="AC201" i="278"/>
  <c r="AB201" i="278"/>
  <c r="AA201" i="278"/>
  <c r="H201" i="278"/>
  <c r="BD200" i="278"/>
  <c r="BB200" i="278"/>
  <c r="AI200" i="278"/>
  <c r="AH200" i="278"/>
  <c r="AF200" i="278"/>
  <c r="AG200" i="278"/>
  <c r="AD200" i="278"/>
  <c r="AC200" i="278"/>
  <c r="AB200" i="278"/>
  <c r="AA200" i="278"/>
  <c r="H200" i="278"/>
  <c r="BD199" i="278"/>
  <c r="BB199" i="278"/>
  <c r="AI199" i="278"/>
  <c r="AH199" i="278"/>
  <c r="AF199" i="278"/>
  <c r="AG199" i="278"/>
  <c r="AD199" i="278"/>
  <c r="AC199" i="278"/>
  <c r="AB199" i="278"/>
  <c r="AA199" i="278"/>
  <c r="H199" i="278"/>
  <c r="BD198" i="278"/>
  <c r="BD197" i="278"/>
  <c r="BB197" i="278"/>
  <c r="AI197" i="278"/>
  <c r="AH197" i="278"/>
  <c r="AF197" i="278"/>
  <c r="AG197" i="278"/>
  <c r="AD197" i="278"/>
  <c r="AC197" i="278"/>
  <c r="AB197" i="278"/>
  <c r="AA197" i="278"/>
  <c r="H197" i="278"/>
  <c r="BD196" i="278"/>
  <c r="BB196" i="278"/>
  <c r="AI196" i="278"/>
  <c r="AH196" i="278"/>
  <c r="AF196" i="278"/>
  <c r="AG196" i="278"/>
  <c r="AE196" i="278"/>
  <c r="AD196" i="278"/>
  <c r="AC196" i="278"/>
  <c r="AB196" i="278"/>
  <c r="AA196" i="278"/>
  <c r="H196" i="278"/>
  <c r="BD195" i="278"/>
  <c r="BB195" i="278"/>
  <c r="AI195" i="278"/>
  <c r="AH195" i="278"/>
  <c r="AF195" i="278"/>
  <c r="AG195" i="278"/>
  <c r="AD195" i="278"/>
  <c r="AC195" i="278"/>
  <c r="AB195" i="278"/>
  <c r="AA195" i="278"/>
  <c r="H195" i="278"/>
  <c r="BD194" i="278"/>
  <c r="BB194" i="278"/>
  <c r="AI194" i="278"/>
  <c r="AH194" i="278"/>
  <c r="AF194" i="278"/>
  <c r="AG194" i="278"/>
  <c r="AD194" i="278"/>
  <c r="AC194" i="278"/>
  <c r="AB194" i="278"/>
  <c r="AA194" i="278"/>
  <c r="H194" i="278"/>
  <c r="BD193" i="278"/>
  <c r="BB193" i="278"/>
  <c r="AI193" i="278"/>
  <c r="AH193" i="278"/>
  <c r="AF193" i="278"/>
  <c r="AG193" i="278"/>
  <c r="AD193" i="278"/>
  <c r="AC193" i="278"/>
  <c r="AB193" i="278"/>
  <c r="AA193" i="278"/>
  <c r="BD192" i="278"/>
  <c r="BB192" i="278"/>
  <c r="AI192" i="278"/>
  <c r="AH192" i="278"/>
  <c r="AF192" i="278"/>
  <c r="AG192" i="278"/>
  <c r="AD192" i="278"/>
  <c r="AC192" i="278"/>
  <c r="AB192" i="278"/>
  <c r="AA192" i="278"/>
  <c r="BD191" i="278"/>
  <c r="BD190" i="278"/>
  <c r="BB190" i="278"/>
  <c r="AI190" i="278"/>
  <c r="AH190" i="278"/>
  <c r="AF190" i="278"/>
  <c r="AG190" i="278"/>
  <c r="AD190" i="278"/>
  <c r="AC190" i="278"/>
  <c r="AB190" i="278"/>
  <c r="AA190" i="278"/>
  <c r="H190" i="278"/>
  <c r="BD189" i="278"/>
  <c r="BB189" i="278"/>
  <c r="AI189" i="278"/>
  <c r="AH189" i="278"/>
  <c r="AF189" i="278"/>
  <c r="AG189" i="278"/>
  <c r="AE189" i="278"/>
  <c r="AD189" i="278"/>
  <c r="AC189" i="278"/>
  <c r="AB189" i="278"/>
  <c r="AA189" i="278"/>
  <c r="H189" i="278"/>
  <c r="BD188" i="278"/>
  <c r="BB188" i="278"/>
  <c r="AI188" i="278"/>
  <c r="AH188" i="278"/>
  <c r="AF188" i="278"/>
  <c r="AG188" i="278"/>
  <c r="AD188" i="278"/>
  <c r="AC188" i="278"/>
  <c r="AB188" i="278"/>
  <c r="AA188" i="278"/>
  <c r="H188" i="278"/>
  <c r="BD187" i="278"/>
  <c r="BB187" i="278"/>
  <c r="AI187" i="278"/>
  <c r="AH187" i="278"/>
  <c r="AF187" i="278"/>
  <c r="AG187" i="278"/>
  <c r="AD187" i="278"/>
  <c r="AC187" i="278"/>
  <c r="AB187" i="278"/>
  <c r="AA187" i="278"/>
  <c r="H187" i="278"/>
  <c r="BD186" i="278"/>
  <c r="BD185" i="278"/>
  <c r="BB185" i="278"/>
  <c r="AI185" i="278"/>
  <c r="AH185" i="278"/>
  <c r="AF185" i="278"/>
  <c r="AG185" i="278"/>
  <c r="AD185" i="278"/>
  <c r="AC185" i="278"/>
  <c r="AB185" i="278"/>
  <c r="AA185" i="278"/>
  <c r="H185" i="278"/>
  <c r="BD184" i="278"/>
  <c r="BB184" i="278"/>
  <c r="AI184" i="278"/>
  <c r="AH184" i="278"/>
  <c r="AF184" i="278"/>
  <c r="AG184" i="278"/>
  <c r="AE184" i="278"/>
  <c r="AD184" i="278"/>
  <c r="AC184" i="278"/>
  <c r="AB184" i="278"/>
  <c r="AA184" i="278"/>
  <c r="H184" i="278"/>
  <c r="BD183" i="278"/>
  <c r="BB183" i="278"/>
  <c r="AI183" i="278"/>
  <c r="AH183" i="278"/>
  <c r="AF183" i="278"/>
  <c r="AG183" i="278"/>
  <c r="AD183" i="278"/>
  <c r="AC183" i="278"/>
  <c r="AB183" i="278"/>
  <c r="AA183" i="278"/>
  <c r="H183" i="278"/>
  <c r="BD182" i="278"/>
  <c r="BB182" i="278"/>
  <c r="AI182" i="278"/>
  <c r="AH182" i="278"/>
  <c r="AF182" i="278"/>
  <c r="AG182" i="278"/>
  <c r="AD182" i="278"/>
  <c r="AC182" i="278"/>
  <c r="AB182" i="278"/>
  <c r="AA182" i="278"/>
  <c r="H182" i="278"/>
  <c r="BD181" i="278"/>
  <c r="BD180" i="278"/>
  <c r="BB180" i="278"/>
  <c r="AI180" i="278"/>
  <c r="AH180" i="278"/>
  <c r="AF180" i="278"/>
  <c r="AG180" i="278"/>
  <c r="AD180" i="278"/>
  <c r="AC180" i="278"/>
  <c r="AB180" i="278"/>
  <c r="AA180" i="278"/>
  <c r="H180" i="278"/>
  <c r="BD179" i="278"/>
  <c r="BB179" i="278"/>
  <c r="AI179" i="278"/>
  <c r="AH179" i="278"/>
  <c r="AF179" i="278"/>
  <c r="AG179" i="278"/>
  <c r="AE179" i="278"/>
  <c r="AD179" i="278"/>
  <c r="AC179" i="278"/>
  <c r="AB179" i="278"/>
  <c r="AA179" i="278"/>
  <c r="H179" i="278"/>
  <c r="BD178" i="278"/>
  <c r="BB178" i="278"/>
  <c r="AI178" i="278"/>
  <c r="AH178" i="278"/>
  <c r="AF178" i="278"/>
  <c r="AG178" i="278"/>
  <c r="AD178" i="278"/>
  <c r="AC178" i="278"/>
  <c r="AB178" i="278"/>
  <c r="AA178" i="278"/>
  <c r="H178" i="278"/>
  <c r="BD177" i="278"/>
  <c r="BB177" i="278"/>
  <c r="AI177" i="278"/>
  <c r="AH177" i="278"/>
  <c r="AF177" i="278"/>
  <c r="AG177" i="278"/>
  <c r="AD177" i="278"/>
  <c r="AC177" i="278"/>
  <c r="AB177" i="278"/>
  <c r="AA177" i="278"/>
  <c r="H177" i="278"/>
  <c r="BD176" i="278"/>
  <c r="BD175" i="278"/>
  <c r="BB175" i="278"/>
  <c r="AI175" i="278"/>
  <c r="AH175" i="278"/>
  <c r="AF175" i="278"/>
  <c r="AG175" i="278"/>
  <c r="AD175" i="278"/>
  <c r="AC175" i="278"/>
  <c r="AB175" i="278"/>
  <c r="AA175" i="278"/>
  <c r="H175" i="278"/>
  <c r="BD174" i="278"/>
  <c r="BB174" i="278"/>
  <c r="AI174" i="278"/>
  <c r="AH174" i="278"/>
  <c r="AF174" i="278"/>
  <c r="AG174" i="278"/>
  <c r="AE174" i="278"/>
  <c r="AD174" i="278"/>
  <c r="AC174" i="278"/>
  <c r="AB174" i="278"/>
  <c r="AA174" i="278"/>
  <c r="H174" i="278"/>
  <c r="BD173" i="278"/>
  <c r="BB173" i="278"/>
  <c r="AI173" i="278"/>
  <c r="AH173" i="278"/>
  <c r="AF173" i="278"/>
  <c r="AG173" i="278"/>
  <c r="AD173" i="278"/>
  <c r="AC173" i="278"/>
  <c r="AB173" i="278"/>
  <c r="AA173" i="278"/>
  <c r="H173" i="278"/>
  <c r="BD172" i="278"/>
  <c r="BB172" i="278"/>
  <c r="AI172" i="278"/>
  <c r="AH172" i="278"/>
  <c r="AF172" i="278"/>
  <c r="AG172" i="278"/>
  <c r="AD172" i="278"/>
  <c r="AC172" i="278"/>
  <c r="AB172" i="278"/>
  <c r="AA172" i="278"/>
  <c r="H172" i="278"/>
  <c r="BD171" i="278"/>
  <c r="BD170" i="278"/>
  <c r="BB170" i="278"/>
  <c r="AI170" i="278"/>
  <c r="AH170" i="278"/>
  <c r="AF170" i="278"/>
  <c r="AG170" i="278"/>
  <c r="AD170" i="278"/>
  <c r="AC170" i="278"/>
  <c r="AB170" i="278"/>
  <c r="AA170" i="278"/>
  <c r="H170" i="278"/>
  <c r="BD169" i="278"/>
  <c r="BB169" i="278"/>
  <c r="AI169" i="278"/>
  <c r="AH169" i="278"/>
  <c r="AF169" i="278"/>
  <c r="AG169" i="278"/>
  <c r="AE169" i="278"/>
  <c r="AD169" i="278"/>
  <c r="AC169" i="278"/>
  <c r="AB169" i="278"/>
  <c r="AA169" i="278"/>
  <c r="H169" i="278"/>
  <c r="BD168" i="278"/>
  <c r="BB168" i="278"/>
  <c r="AI168" i="278"/>
  <c r="AH168" i="278"/>
  <c r="AF168" i="278"/>
  <c r="AG168" i="278"/>
  <c r="AD168" i="278"/>
  <c r="AC168" i="278"/>
  <c r="AB168" i="278"/>
  <c r="AA168" i="278"/>
  <c r="H168" i="278"/>
  <c r="BD167" i="278"/>
  <c r="BB167" i="278"/>
  <c r="AI167" i="278"/>
  <c r="AH167" i="278"/>
  <c r="AF167" i="278"/>
  <c r="AG167" i="278"/>
  <c r="AD167" i="278"/>
  <c r="AC167" i="278"/>
  <c r="AB167" i="278"/>
  <c r="AA167" i="278"/>
  <c r="H167" i="278"/>
  <c r="BD166" i="278"/>
  <c r="BB166" i="278"/>
  <c r="AI166" i="278"/>
  <c r="AH166" i="278"/>
  <c r="AF166" i="278"/>
  <c r="AG166" i="278"/>
  <c r="AD166" i="278"/>
  <c r="AC166" i="278"/>
  <c r="AB166" i="278"/>
  <c r="AA166" i="278"/>
  <c r="H166" i="278"/>
  <c r="BD165" i="278"/>
  <c r="BB165" i="278"/>
  <c r="AI165" i="278"/>
  <c r="AH165" i="278"/>
  <c r="AF165" i="278"/>
  <c r="AG165" i="278"/>
  <c r="AE165" i="278"/>
  <c r="AD165" i="278"/>
  <c r="AC165" i="278"/>
  <c r="AB165" i="278"/>
  <c r="AA165" i="278"/>
  <c r="H165" i="278"/>
  <c r="BD164" i="278"/>
  <c r="BD163" i="278"/>
  <c r="BB163" i="278"/>
  <c r="AI163" i="278"/>
  <c r="AH163" i="278"/>
  <c r="AF163" i="278"/>
  <c r="AG163" i="278"/>
  <c r="AD163" i="278"/>
  <c r="AC163" i="278"/>
  <c r="AB163" i="278"/>
  <c r="AA163" i="278"/>
  <c r="H163" i="278"/>
  <c r="BD162" i="278"/>
  <c r="BB162" i="278"/>
  <c r="AI162" i="278"/>
  <c r="AH162" i="278"/>
  <c r="AF162" i="278"/>
  <c r="AG162" i="278"/>
  <c r="AD162" i="278"/>
  <c r="AC162" i="278"/>
  <c r="AB162" i="278"/>
  <c r="AA162" i="278"/>
  <c r="H162" i="278"/>
  <c r="BD161" i="278"/>
  <c r="BD160" i="278"/>
  <c r="BB160" i="278"/>
  <c r="AI160" i="278"/>
  <c r="AH160" i="278"/>
  <c r="AF160" i="278"/>
  <c r="AG160" i="278"/>
  <c r="AD160" i="278"/>
  <c r="AC160" i="278"/>
  <c r="AB160" i="278"/>
  <c r="AA160" i="278"/>
  <c r="H160" i="278"/>
  <c r="BD159" i="278"/>
  <c r="BB159" i="278"/>
  <c r="AI159" i="278"/>
  <c r="AH159" i="278"/>
  <c r="AF159" i="278"/>
  <c r="AG159" i="278"/>
  <c r="AE159" i="278"/>
  <c r="AD159" i="278"/>
  <c r="AC159" i="278"/>
  <c r="AB159" i="278"/>
  <c r="AA159" i="278"/>
  <c r="H159" i="278"/>
  <c r="BD158" i="278"/>
  <c r="BB158" i="278"/>
  <c r="AI158" i="278"/>
  <c r="AH158" i="278"/>
  <c r="AF158" i="278"/>
  <c r="AG158" i="278"/>
  <c r="AD158" i="278"/>
  <c r="AC158" i="278"/>
  <c r="AB158" i="278"/>
  <c r="AA158" i="278"/>
  <c r="H158" i="278"/>
  <c r="BD157" i="278"/>
  <c r="BB157" i="278"/>
  <c r="AI157" i="278"/>
  <c r="AH157" i="278"/>
  <c r="AF157" i="278"/>
  <c r="AG157" i="278"/>
  <c r="AD157" i="278"/>
  <c r="AC157" i="278"/>
  <c r="AB157" i="278"/>
  <c r="AA157" i="278"/>
  <c r="H157" i="278"/>
  <c r="BD156" i="278"/>
  <c r="BD155" i="278"/>
  <c r="BB155" i="278"/>
  <c r="AI155" i="278"/>
  <c r="AH155" i="278"/>
  <c r="AF155" i="278"/>
  <c r="AG155" i="278"/>
  <c r="AD155" i="278"/>
  <c r="AC155" i="278"/>
  <c r="AB155" i="278"/>
  <c r="AA155" i="278"/>
  <c r="H155" i="278"/>
  <c r="BD154" i="278"/>
  <c r="BB154" i="278"/>
  <c r="AI154" i="278"/>
  <c r="AH154" i="278"/>
  <c r="AF154" i="278"/>
  <c r="AG154" i="278"/>
  <c r="AE154" i="278"/>
  <c r="AD154" i="278"/>
  <c r="AC154" i="278"/>
  <c r="AB154" i="278"/>
  <c r="AA154" i="278"/>
  <c r="H154" i="278"/>
  <c r="BD153" i="278"/>
  <c r="BD152" i="278"/>
  <c r="BB152" i="278"/>
  <c r="AI152" i="278"/>
  <c r="AH152" i="278"/>
  <c r="AF152" i="278"/>
  <c r="AG152" i="278"/>
  <c r="AD152" i="278"/>
  <c r="AC152" i="278"/>
  <c r="AB152" i="278"/>
  <c r="AA152" i="278"/>
  <c r="H152" i="278"/>
  <c r="BD151" i="278"/>
  <c r="BB151" i="278"/>
  <c r="AI151" i="278"/>
  <c r="AH151" i="278"/>
  <c r="AF151" i="278"/>
  <c r="AG151" i="278"/>
  <c r="AD151" i="278"/>
  <c r="AC151" i="278"/>
  <c r="AB151" i="278"/>
  <c r="AA151" i="278"/>
  <c r="H151" i="278"/>
  <c r="BD150" i="278"/>
  <c r="BD149" i="278"/>
  <c r="BB149" i="278"/>
  <c r="AI149" i="278"/>
  <c r="AH149" i="278"/>
  <c r="AF149" i="278"/>
  <c r="AG149" i="278"/>
  <c r="AD149" i="278"/>
  <c r="AC149" i="278"/>
  <c r="AB149" i="278"/>
  <c r="AA149" i="278"/>
  <c r="H149" i="278"/>
  <c r="BD148" i="278"/>
  <c r="BB148" i="278"/>
  <c r="AI148" i="278"/>
  <c r="AH148" i="278"/>
  <c r="AF148" i="278"/>
  <c r="AG148" i="278"/>
  <c r="AE148" i="278"/>
  <c r="AD148" i="278"/>
  <c r="AC148" i="278"/>
  <c r="AB148" i="278"/>
  <c r="AA148" i="278"/>
  <c r="H148" i="278"/>
  <c r="BD147" i="278"/>
  <c r="BB147" i="278"/>
  <c r="AI147" i="278"/>
  <c r="AH147" i="278"/>
  <c r="AF147" i="278"/>
  <c r="AG147" i="278"/>
  <c r="AD147" i="278"/>
  <c r="AC147" i="278"/>
  <c r="AB147" i="278"/>
  <c r="AA147" i="278"/>
  <c r="H147" i="278"/>
  <c r="BD146" i="278"/>
  <c r="BB146" i="278"/>
  <c r="AI146" i="278"/>
  <c r="AH146" i="278"/>
  <c r="AF146" i="278"/>
  <c r="AG146" i="278"/>
  <c r="AD146" i="278"/>
  <c r="AC146" i="278"/>
  <c r="AB146" i="278"/>
  <c r="AA146" i="278"/>
  <c r="H146" i="278"/>
  <c r="BD145" i="278"/>
  <c r="BD144" i="278"/>
  <c r="BB144" i="278"/>
  <c r="AI144" i="278"/>
  <c r="AH144" i="278"/>
  <c r="AF144" i="278"/>
  <c r="AG144" i="278"/>
  <c r="AD144" i="278"/>
  <c r="AC144" i="278"/>
  <c r="AB144" i="278"/>
  <c r="AA144" i="278"/>
  <c r="H144" i="278"/>
  <c r="BD143" i="278"/>
  <c r="BB143" i="278"/>
  <c r="AI143" i="278"/>
  <c r="AH143" i="278"/>
  <c r="AF143" i="278"/>
  <c r="AG143" i="278"/>
  <c r="AE143" i="278"/>
  <c r="AD143" i="278"/>
  <c r="AC143" i="278"/>
  <c r="AB143" i="278"/>
  <c r="AA143" i="278"/>
  <c r="H143" i="278"/>
  <c r="BD142" i="278"/>
  <c r="BB142" i="278"/>
  <c r="AI142" i="278"/>
  <c r="AH142" i="278"/>
  <c r="AF142" i="278"/>
  <c r="AG142" i="278"/>
  <c r="AD142" i="278"/>
  <c r="AC142" i="278"/>
  <c r="AB142" i="278"/>
  <c r="AA142" i="278"/>
  <c r="H142" i="278"/>
  <c r="BD141" i="278"/>
  <c r="BB141" i="278"/>
  <c r="AI141" i="278"/>
  <c r="AH141" i="278"/>
  <c r="AF141" i="278"/>
  <c r="AG141" i="278"/>
  <c r="AD141" i="278"/>
  <c r="AC141" i="278"/>
  <c r="AB141" i="278"/>
  <c r="AA141" i="278"/>
  <c r="H141" i="278"/>
  <c r="BD140" i="278"/>
  <c r="BD139" i="278"/>
  <c r="BB139" i="278"/>
  <c r="AI139" i="278"/>
  <c r="AH139" i="278"/>
  <c r="AF139" i="278"/>
  <c r="AG139" i="278"/>
  <c r="AD139" i="278"/>
  <c r="AC139" i="278"/>
  <c r="AB139" i="278"/>
  <c r="AA139" i="278"/>
  <c r="H139" i="278"/>
  <c r="BD138" i="278"/>
  <c r="BB138" i="278"/>
  <c r="AI138" i="278"/>
  <c r="AH138" i="278"/>
  <c r="AF138" i="278"/>
  <c r="AG138" i="278"/>
  <c r="AE138" i="278"/>
  <c r="AD138" i="278"/>
  <c r="AC138" i="278"/>
  <c r="AB138" i="278"/>
  <c r="AA138" i="278"/>
  <c r="H138" i="278"/>
  <c r="BD137" i="278"/>
  <c r="BB137" i="278"/>
  <c r="AI137" i="278"/>
  <c r="AH137" i="278"/>
  <c r="AF137" i="278"/>
  <c r="AG137" i="278"/>
  <c r="AD137" i="278"/>
  <c r="AC137" i="278"/>
  <c r="AB137" i="278"/>
  <c r="AA137" i="278"/>
  <c r="H137" i="278"/>
  <c r="BD136" i="278"/>
  <c r="BB136" i="278"/>
  <c r="AI136" i="278"/>
  <c r="AH136" i="278"/>
  <c r="AF136" i="278"/>
  <c r="AG136" i="278"/>
  <c r="AD136" i="278"/>
  <c r="AC136" i="278"/>
  <c r="AB136" i="278"/>
  <c r="AA136" i="278"/>
  <c r="H136" i="278"/>
  <c r="BD135" i="278"/>
  <c r="BD134" i="278"/>
  <c r="BB134" i="278"/>
  <c r="AI134" i="278"/>
  <c r="AH134" i="278"/>
  <c r="AF134" i="278"/>
  <c r="AG134" i="278"/>
  <c r="AD134" i="278"/>
  <c r="AC134" i="278"/>
  <c r="AB134" i="278"/>
  <c r="AA134" i="278"/>
  <c r="H134" i="278"/>
  <c r="BD133" i="278"/>
  <c r="BB133" i="278"/>
  <c r="AI133" i="278"/>
  <c r="AH133" i="278"/>
  <c r="AF133" i="278"/>
  <c r="AG133" i="278"/>
  <c r="AE133" i="278"/>
  <c r="AD133" i="278"/>
  <c r="AC133" i="278"/>
  <c r="AB133" i="278"/>
  <c r="AA133" i="278"/>
  <c r="H133" i="278"/>
  <c r="BD132" i="278"/>
  <c r="BB132" i="278"/>
  <c r="AI132" i="278"/>
  <c r="AH132" i="278"/>
  <c r="AF132" i="278"/>
  <c r="AG132" i="278"/>
  <c r="AD132" i="278"/>
  <c r="AC132" i="278"/>
  <c r="AB132" i="278"/>
  <c r="AA132" i="278"/>
  <c r="H132" i="278"/>
  <c r="BD131" i="278"/>
  <c r="BB131" i="278"/>
  <c r="AI131" i="278"/>
  <c r="AH131" i="278"/>
  <c r="AF131" i="278"/>
  <c r="AG131" i="278"/>
  <c r="AD131" i="278"/>
  <c r="AC131" i="278"/>
  <c r="AB131" i="278"/>
  <c r="AA131" i="278"/>
  <c r="H131" i="278"/>
  <c r="BD130" i="278"/>
  <c r="BD129" i="278"/>
  <c r="BB129" i="278"/>
  <c r="AI129" i="278"/>
  <c r="AH129" i="278"/>
  <c r="AF129" i="278"/>
  <c r="AG129" i="278"/>
  <c r="AD129" i="278"/>
  <c r="AC129" i="278"/>
  <c r="AB129" i="278"/>
  <c r="AA129" i="278"/>
  <c r="H129" i="278"/>
  <c r="BD128" i="278"/>
  <c r="BB128" i="278"/>
  <c r="AI128" i="278"/>
  <c r="AH128" i="278"/>
  <c r="AF128" i="278"/>
  <c r="AG128" i="278"/>
  <c r="AE128" i="278"/>
  <c r="AD128" i="278"/>
  <c r="AC128" i="278"/>
  <c r="AB128" i="278"/>
  <c r="AA128" i="278"/>
  <c r="H128" i="278"/>
  <c r="BD127" i="278"/>
  <c r="BB127" i="278"/>
  <c r="AI127" i="278"/>
  <c r="AH127" i="278"/>
  <c r="AF127" i="278"/>
  <c r="AG127" i="278"/>
  <c r="AD127" i="278"/>
  <c r="AC127" i="278"/>
  <c r="AB127" i="278"/>
  <c r="AA127" i="278"/>
  <c r="H127" i="278"/>
  <c r="BD126" i="278"/>
  <c r="BB126" i="278"/>
  <c r="AI126" i="278"/>
  <c r="AH126" i="278"/>
  <c r="AF126" i="278"/>
  <c r="AG126" i="278"/>
  <c r="AD126" i="278"/>
  <c r="AC126" i="278"/>
  <c r="AB126" i="278"/>
  <c r="AA126" i="278"/>
  <c r="H126" i="278"/>
  <c r="BD125" i="278"/>
  <c r="BD124" i="278"/>
  <c r="BB124" i="278"/>
  <c r="AI124" i="278"/>
  <c r="AH124" i="278"/>
  <c r="AF124" i="278"/>
  <c r="AG124" i="278"/>
  <c r="AD124" i="278"/>
  <c r="AC124" i="278"/>
  <c r="AB124" i="278"/>
  <c r="AA124" i="278"/>
  <c r="H124" i="278"/>
  <c r="BD123" i="278"/>
  <c r="BB123" i="278"/>
  <c r="AI123" i="278"/>
  <c r="AH123" i="278"/>
  <c r="AF123" i="278"/>
  <c r="AG123" i="278"/>
  <c r="AE123" i="278"/>
  <c r="AD123" i="278"/>
  <c r="AC123" i="278"/>
  <c r="AB123" i="278"/>
  <c r="AA123" i="278"/>
  <c r="H123" i="278"/>
  <c r="BD122" i="278"/>
  <c r="BB122" i="278"/>
  <c r="AI122" i="278"/>
  <c r="AH122" i="278"/>
  <c r="AF122" i="278"/>
  <c r="AG122" i="278"/>
  <c r="AD122" i="278"/>
  <c r="AC122" i="278"/>
  <c r="AB122" i="278"/>
  <c r="AA122" i="278"/>
  <c r="H122" i="278"/>
  <c r="BD121" i="278"/>
  <c r="BB121" i="278"/>
  <c r="AI121" i="278"/>
  <c r="AH121" i="278"/>
  <c r="AF121" i="278"/>
  <c r="AG121" i="278"/>
  <c r="AD121" i="278"/>
  <c r="AC121" i="278"/>
  <c r="AB121" i="278"/>
  <c r="AA121" i="278"/>
  <c r="H121" i="278"/>
  <c r="BD120" i="278"/>
  <c r="BD119" i="278"/>
  <c r="BB119" i="278"/>
  <c r="AI119" i="278"/>
  <c r="AH119" i="278"/>
  <c r="AF119" i="278"/>
  <c r="AG119" i="278"/>
  <c r="AD119" i="278"/>
  <c r="AC119" i="278"/>
  <c r="AB119" i="278"/>
  <c r="AA119" i="278"/>
  <c r="H119" i="278"/>
  <c r="BD118" i="278"/>
  <c r="BB118" i="278"/>
  <c r="AI118" i="278"/>
  <c r="AH118" i="278"/>
  <c r="AF118" i="278"/>
  <c r="AG118" i="278"/>
  <c r="AE118" i="278"/>
  <c r="AD118" i="278"/>
  <c r="AC118" i="278"/>
  <c r="AB118" i="278"/>
  <c r="AA118" i="278"/>
  <c r="H118" i="278"/>
  <c r="BD117" i="278"/>
  <c r="BB117" i="278"/>
  <c r="AI117" i="278"/>
  <c r="AH117" i="278"/>
  <c r="AF117" i="278"/>
  <c r="AG117" i="278"/>
  <c r="AD117" i="278"/>
  <c r="AC117" i="278"/>
  <c r="AB117" i="278"/>
  <c r="AA117" i="278"/>
  <c r="H117" i="278"/>
  <c r="BD116" i="278"/>
  <c r="BB116" i="278"/>
  <c r="AI116" i="278"/>
  <c r="AH116" i="278"/>
  <c r="AF116" i="278"/>
  <c r="AG116" i="278"/>
  <c r="AD116" i="278"/>
  <c r="AC116" i="278"/>
  <c r="AB116" i="278"/>
  <c r="AA116" i="278"/>
  <c r="H116" i="278"/>
  <c r="BD115" i="278"/>
  <c r="BD114" i="278"/>
  <c r="BB114" i="278"/>
  <c r="AI114" i="278"/>
  <c r="AH114" i="278"/>
  <c r="AF114" i="278"/>
  <c r="AG114" i="278"/>
  <c r="AD114" i="278"/>
  <c r="AC114" i="278"/>
  <c r="AB114" i="278"/>
  <c r="AA114" i="278"/>
  <c r="H114" i="278"/>
  <c r="BD113" i="278"/>
  <c r="BB113" i="278"/>
  <c r="AI113" i="278"/>
  <c r="AH113" i="278"/>
  <c r="AF113" i="278"/>
  <c r="AG113" i="278"/>
  <c r="AE113" i="278"/>
  <c r="AD113" i="278"/>
  <c r="AC113" i="278"/>
  <c r="AB113" i="278"/>
  <c r="AA113" i="278"/>
  <c r="H113" i="278"/>
  <c r="BD112" i="278"/>
  <c r="BB112" i="278"/>
  <c r="AI112" i="278"/>
  <c r="AH112" i="278"/>
  <c r="AF112" i="278"/>
  <c r="AG112" i="278"/>
  <c r="AD112" i="278"/>
  <c r="AC112" i="278"/>
  <c r="AB112" i="278"/>
  <c r="AA112" i="278"/>
  <c r="H112" i="278"/>
  <c r="BD111" i="278"/>
  <c r="BB111" i="278"/>
  <c r="AI111" i="278"/>
  <c r="AH111" i="278"/>
  <c r="AF111" i="278"/>
  <c r="AG111" i="278"/>
  <c r="AD111" i="278"/>
  <c r="AC111" i="278"/>
  <c r="AB111" i="278"/>
  <c r="AA111" i="278"/>
  <c r="H111" i="278"/>
  <c r="BD110" i="278"/>
  <c r="BD109" i="278"/>
  <c r="BB109" i="278"/>
  <c r="AI109" i="278"/>
  <c r="AH109" i="278"/>
  <c r="AF109" i="278"/>
  <c r="AG109" i="278"/>
  <c r="AD109" i="278"/>
  <c r="AC109" i="278"/>
  <c r="AB109" i="278"/>
  <c r="AA109" i="278"/>
  <c r="H109" i="278"/>
  <c r="BD108" i="278"/>
  <c r="BB108" i="278"/>
  <c r="AI108" i="278"/>
  <c r="AH108" i="278"/>
  <c r="AF108" i="278"/>
  <c r="AG108" i="278"/>
  <c r="AE108" i="278"/>
  <c r="AD108" i="278"/>
  <c r="AC108" i="278"/>
  <c r="AB108" i="278"/>
  <c r="AA108" i="278"/>
  <c r="H108" i="278"/>
  <c r="BD107" i="278"/>
  <c r="BB107" i="278"/>
  <c r="AI107" i="278"/>
  <c r="AH107" i="278"/>
  <c r="AF107" i="278"/>
  <c r="AG107" i="278"/>
  <c r="AD107" i="278"/>
  <c r="AC107" i="278"/>
  <c r="AB107" i="278"/>
  <c r="AA107" i="278"/>
  <c r="H107" i="278"/>
  <c r="BD106" i="278"/>
  <c r="BB106" i="278"/>
  <c r="AI106" i="278"/>
  <c r="AH106" i="278"/>
  <c r="AF106" i="278"/>
  <c r="AG106" i="278"/>
  <c r="AD106" i="278"/>
  <c r="AC106" i="278"/>
  <c r="AB106" i="278"/>
  <c r="AA106" i="278"/>
  <c r="H106" i="278"/>
  <c r="BD105" i="278"/>
  <c r="BD104" i="278"/>
  <c r="BB104" i="278"/>
  <c r="AI104" i="278"/>
  <c r="AH104" i="278"/>
  <c r="AF104" i="278"/>
  <c r="AG104" i="278"/>
  <c r="AD104" i="278"/>
  <c r="AC104" i="278"/>
  <c r="AB104" i="278"/>
  <c r="AA104" i="278"/>
  <c r="H104" i="278"/>
  <c r="BD103" i="278"/>
  <c r="BB103" i="278"/>
  <c r="AI103" i="278"/>
  <c r="AH103" i="278"/>
  <c r="AF103" i="278"/>
  <c r="AG103" i="278"/>
  <c r="AE103" i="278"/>
  <c r="AD103" i="278"/>
  <c r="AC103" i="278"/>
  <c r="AB103" i="278"/>
  <c r="AA103" i="278"/>
  <c r="H103" i="278"/>
  <c r="BD102" i="278"/>
  <c r="BB102" i="278"/>
  <c r="AI102" i="278"/>
  <c r="AH102" i="278"/>
  <c r="AF102" i="278"/>
  <c r="AG102" i="278"/>
  <c r="AD102" i="278"/>
  <c r="AC102" i="278"/>
  <c r="AB102" i="278"/>
  <c r="AA102" i="278"/>
  <c r="H102" i="278"/>
  <c r="BD101" i="278"/>
  <c r="BB101" i="278"/>
  <c r="AI101" i="278"/>
  <c r="AH101" i="278"/>
  <c r="AF101" i="278"/>
  <c r="AG101" i="278"/>
  <c r="AD101" i="278"/>
  <c r="AC101" i="278"/>
  <c r="AB101" i="278"/>
  <c r="AA101" i="278"/>
  <c r="H101" i="278"/>
  <c r="BD100" i="278"/>
  <c r="BD99" i="278"/>
  <c r="BB99" i="278"/>
  <c r="AI99" i="278"/>
  <c r="AH99" i="278"/>
  <c r="AF99" i="278"/>
  <c r="AG99" i="278"/>
  <c r="AD99" i="278"/>
  <c r="AC99" i="278"/>
  <c r="AB99" i="278"/>
  <c r="AA99" i="278"/>
  <c r="H99" i="278"/>
  <c r="BD98" i="278"/>
  <c r="BB98" i="278"/>
  <c r="AI98" i="278"/>
  <c r="AH98" i="278"/>
  <c r="AF98" i="278"/>
  <c r="AG98" i="278"/>
  <c r="AE98" i="278"/>
  <c r="AD98" i="278"/>
  <c r="AC98" i="278"/>
  <c r="AB98" i="278"/>
  <c r="AA98" i="278"/>
  <c r="H98" i="278"/>
  <c r="BD97" i="278"/>
  <c r="BB97" i="278"/>
  <c r="AI97" i="278"/>
  <c r="AH97" i="278"/>
  <c r="AF97" i="278"/>
  <c r="AG97" i="278"/>
  <c r="AD97" i="278"/>
  <c r="AC97" i="278"/>
  <c r="AB97" i="278"/>
  <c r="AA97" i="278"/>
  <c r="H97" i="278"/>
  <c r="BD96" i="278"/>
  <c r="BB96" i="278"/>
  <c r="AI96" i="278"/>
  <c r="AH96" i="278"/>
  <c r="AF96" i="278"/>
  <c r="AG96" i="278"/>
  <c r="AD96" i="278"/>
  <c r="AC96" i="278"/>
  <c r="AB96" i="278"/>
  <c r="AA96" i="278"/>
  <c r="H96" i="278"/>
  <c r="BD95" i="278"/>
  <c r="BD94" i="278"/>
  <c r="BB94" i="278"/>
  <c r="AI94" i="278"/>
  <c r="AH94" i="278"/>
  <c r="AF94" i="278"/>
  <c r="AG94" i="278"/>
  <c r="AD94" i="278"/>
  <c r="AC94" i="278"/>
  <c r="AB94" i="278"/>
  <c r="AA94" i="278"/>
  <c r="H94" i="278"/>
  <c r="BD93" i="278"/>
  <c r="BB93" i="278"/>
  <c r="AI93" i="278"/>
  <c r="AH93" i="278"/>
  <c r="AF93" i="278"/>
  <c r="AG93" i="278"/>
  <c r="AE93" i="278"/>
  <c r="AD93" i="278"/>
  <c r="AC93" i="278"/>
  <c r="AB93" i="278"/>
  <c r="AA93" i="278"/>
  <c r="H93" i="278"/>
  <c r="BD92" i="278"/>
  <c r="BB92" i="278"/>
  <c r="AI92" i="278"/>
  <c r="AH92" i="278"/>
  <c r="AF92" i="278"/>
  <c r="AG92" i="278"/>
  <c r="AD92" i="278"/>
  <c r="AC92" i="278"/>
  <c r="AB92" i="278"/>
  <c r="AA92" i="278"/>
  <c r="H92" i="278"/>
  <c r="BD91" i="278"/>
  <c r="BB91" i="278"/>
  <c r="AI91" i="278"/>
  <c r="AH91" i="278"/>
  <c r="AF91" i="278"/>
  <c r="AG91" i="278"/>
  <c r="AD91" i="278"/>
  <c r="AC91" i="278"/>
  <c r="AB91" i="278"/>
  <c r="AA91" i="278"/>
  <c r="H91" i="278"/>
  <c r="BD90" i="278"/>
  <c r="BD89" i="278"/>
  <c r="BB89" i="278"/>
  <c r="AI89" i="278"/>
  <c r="AH89" i="278"/>
  <c r="AF89" i="278"/>
  <c r="AG89" i="278"/>
  <c r="AD89" i="278"/>
  <c r="AC89" i="278"/>
  <c r="AB89" i="278"/>
  <c r="AA89" i="278"/>
  <c r="H89" i="278"/>
  <c r="BD88" i="278"/>
  <c r="BB88" i="278"/>
  <c r="AI88" i="278"/>
  <c r="AH88" i="278"/>
  <c r="AF88" i="278"/>
  <c r="AG88" i="278"/>
  <c r="AE88" i="278"/>
  <c r="AD88" i="278"/>
  <c r="AC88" i="278"/>
  <c r="AB88" i="278"/>
  <c r="AA88" i="278"/>
  <c r="H88" i="278"/>
  <c r="BD87" i="278"/>
  <c r="BB87" i="278"/>
  <c r="AI87" i="278"/>
  <c r="AH87" i="278"/>
  <c r="AF87" i="278"/>
  <c r="AG87" i="278"/>
  <c r="AD87" i="278"/>
  <c r="AC87" i="278"/>
  <c r="AB87" i="278"/>
  <c r="AA87" i="278"/>
  <c r="H87" i="278"/>
  <c r="BD86" i="278"/>
  <c r="BB86" i="278"/>
  <c r="AI86" i="278"/>
  <c r="AH86" i="278"/>
  <c r="AF86" i="278"/>
  <c r="AG86" i="278"/>
  <c r="AD86" i="278"/>
  <c r="AC86" i="278"/>
  <c r="AB86" i="278"/>
  <c r="AA86" i="278"/>
  <c r="H86" i="278"/>
  <c r="BD85" i="278"/>
  <c r="BD84" i="278"/>
  <c r="BB84" i="278"/>
  <c r="AI84" i="278"/>
  <c r="AH84" i="278"/>
  <c r="AF84" i="278"/>
  <c r="AG84" i="278"/>
  <c r="AD84" i="278"/>
  <c r="AC84" i="278"/>
  <c r="AB84" i="278"/>
  <c r="AA84" i="278"/>
  <c r="H84" i="278"/>
  <c r="BD83" i="278"/>
  <c r="BB83" i="278"/>
  <c r="AI83" i="278"/>
  <c r="AH83" i="278"/>
  <c r="AF83" i="278"/>
  <c r="AG83" i="278"/>
  <c r="AE83" i="278"/>
  <c r="AD83" i="278"/>
  <c r="AC83" i="278"/>
  <c r="AB83" i="278"/>
  <c r="AA83" i="278"/>
  <c r="H83" i="278"/>
  <c r="BD82" i="278"/>
  <c r="BB82" i="278"/>
  <c r="AI82" i="278"/>
  <c r="AH82" i="278"/>
  <c r="AF82" i="278"/>
  <c r="AG82" i="278"/>
  <c r="AD82" i="278"/>
  <c r="AC82" i="278"/>
  <c r="AB82" i="278"/>
  <c r="AA82" i="278"/>
  <c r="H82" i="278"/>
  <c r="BD81" i="278"/>
  <c r="BB81" i="278"/>
  <c r="AI81" i="278"/>
  <c r="AH81" i="278"/>
  <c r="AF81" i="278"/>
  <c r="AG81" i="278"/>
  <c r="AD81" i="278"/>
  <c r="AC81" i="278"/>
  <c r="AB81" i="278"/>
  <c r="AA81" i="278"/>
  <c r="H81" i="278"/>
  <c r="BD80" i="278"/>
  <c r="BD79" i="278"/>
  <c r="BB79" i="278"/>
  <c r="AI79" i="278"/>
  <c r="AH79" i="278"/>
  <c r="AF79" i="278"/>
  <c r="AG79" i="278"/>
  <c r="AD79" i="278"/>
  <c r="AC79" i="278"/>
  <c r="AB79" i="278"/>
  <c r="AA79" i="278"/>
  <c r="H79" i="278"/>
  <c r="BD78" i="278"/>
  <c r="BB78" i="278"/>
  <c r="AI78" i="278"/>
  <c r="AH78" i="278"/>
  <c r="AF78" i="278"/>
  <c r="AG78" i="278"/>
  <c r="AE78" i="278"/>
  <c r="AD78" i="278"/>
  <c r="AC78" i="278"/>
  <c r="AB78" i="278"/>
  <c r="AA78" i="278"/>
  <c r="H78" i="278"/>
  <c r="BD77" i="278"/>
  <c r="BB77" i="278"/>
  <c r="AI77" i="278"/>
  <c r="AH77" i="278"/>
  <c r="AF77" i="278"/>
  <c r="AG77" i="278"/>
  <c r="AD77" i="278"/>
  <c r="AC77" i="278"/>
  <c r="AB77" i="278"/>
  <c r="AA77" i="278"/>
  <c r="H77" i="278"/>
  <c r="BD76" i="278"/>
  <c r="BB76" i="278"/>
  <c r="AI76" i="278"/>
  <c r="AH76" i="278"/>
  <c r="AF76" i="278"/>
  <c r="AG76" i="278"/>
  <c r="AD76" i="278"/>
  <c r="AC76" i="278"/>
  <c r="AB76" i="278"/>
  <c r="AA76" i="278"/>
  <c r="H76" i="278"/>
  <c r="BD75" i="278"/>
  <c r="BD74" i="278"/>
  <c r="BB74" i="278"/>
  <c r="AI74" i="278"/>
  <c r="AH74" i="278"/>
  <c r="AF74" i="278"/>
  <c r="AG74" i="278"/>
  <c r="AD74" i="278"/>
  <c r="AC74" i="278"/>
  <c r="AB74" i="278"/>
  <c r="AA74" i="278"/>
  <c r="H74" i="278"/>
  <c r="BD73" i="278"/>
  <c r="BB73" i="278"/>
  <c r="AI73" i="278"/>
  <c r="AH73" i="278"/>
  <c r="AF73" i="278"/>
  <c r="AG73" i="278"/>
  <c r="AE73" i="278"/>
  <c r="AD73" i="278"/>
  <c r="AC73" i="278"/>
  <c r="AB73" i="278"/>
  <c r="AA73" i="278"/>
  <c r="H73" i="278"/>
  <c r="BD72" i="278"/>
  <c r="BB72" i="278"/>
  <c r="AI72" i="278"/>
  <c r="AH72" i="278"/>
  <c r="AF72" i="278"/>
  <c r="AG72" i="278"/>
  <c r="AD72" i="278"/>
  <c r="AC72" i="278"/>
  <c r="AB72" i="278"/>
  <c r="AA72" i="278"/>
  <c r="H72" i="278"/>
  <c r="BD71" i="278"/>
  <c r="BB71" i="278"/>
  <c r="AI71" i="278"/>
  <c r="AH71" i="278"/>
  <c r="AF71" i="278"/>
  <c r="AG71" i="278"/>
  <c r="AD71" i="278"/>
  <c r="AC71" i="278"/>
  <c r="AB71" i="278"/>
  <c r="AA71" i="278"/>
  <c r="H71" i="278"/>
  <c r="BD70" i="278"/>
  <c r="BD69" i="278"/>
  <c r="BB69" i="278"/>
  <c r="AI69" i="278"/>
  <c r="AH69" i="278"/>
  <c r="AF69" i="278"/>
  <c r="AG69" i="278"/>
  <c r="AD69" i="278"/>
  <c r="AC69" i="278"/>
  <c r="AB69" i="278"/>
  <c r="AA69" i="278"/>
  <c r="H69" i="278"/>
  <c r="BD68" i="278"/>
  <c r="BB68" i="278"/>
  <c r="AI68" i="278"/>
  <c r="AH68" i="278"/>
  <c r="AF68" i="278"/>
  <c r="AG68" i="278"/>
  <c r="AE68" i="278"/>
  <c r="AD68" i="278"/>
  <c r="AC68" i="278"/>
  <c r="AB68" i="278"/>
  <c r="AA68" i="278"/>
  <c r="H68" i="278"/>
  <c r="BD67" i="278"/>
  <c r="BB67" i="278"/>
  <c r="AI67" i="278"/>
  <c r="AH67" i="278"/>
  <c r="AF67" i="278"/>
  <c r="AG67" i="278"/>
  <c r="AD67" i="278"/>
  <c r="AC67" i="278"/>
  <c r="AB67" i="278"/>
  <c r="AA67" i="278"/>
  <c r="H67" i="278"/>
  <c r="BD66" i="278"/>
  <c r="BB66" i="278"/>
  <c r="AI66" i="278"/>
  <c r="AH66" i="278"/>
  <c r="AF66" i="278"/>
  <c r="AG66" i="278"/>
  <c r="AD66" i="278"/>
  <c r="AC66" i="278"/>
  <c r="AB66" i="278"/>
  <c r="AA66" i="278"/>
  <c r="H66" i="278"/>
  <c r="BD65" i="278"/>
  <c r="BD64" i="278"/>
  <c r="BB64" i="278"/>
  <c r="AI64" i="278"/>
  <c r="AH64" i="278"/>
  <c r="AF64" i="278"/>
  <c r="AG64" i="278"/>
  <c r="AD64" i="278"/>
  <c r="AC64" i="278"/>
  <c r="AB64" i="278"/>
  <c r="AA64" i="278"/>
  <c r="H64" i="278"/>
  <c r="BD63" i="278"/>
  <c r="BB63" i="278"/>
  <c r="AI63" i="278"/>
  <c r="AH63" i="278"/>
  <c r="AF63" i="278"/>
  <c r="AG63" i="278"/>
  <c r="AE63" i="278"/>
  <c r="AD63" i="278"/>
  <c r="AC63" i="278"/>
  <c r="AB63" i="278"/>
  <c r="AA63" i="278"/>
  <c r="H63" i="278"/>
  <c r="BD62" i="278"/>
  <c r="BB62" i="278"/>
  <c r="AI62" i="278"/>
  <c r="AH62" i="278"/>
  <c r="AF62" i="278"/>
  <c r="AG62" i="278"/>
  <c r="AD62" i="278"/>
  <c r="AC62" i="278"/>
  <c r="AB62" i="278"/>
  <c r="AA62" i="278"/>
  <c r="H62" i="278"/>
  <c r="BD61" i="278"/>
  <c r="BB61" i="278"/>
  <c r="AI61" i="278"/>
  <c r="AH61" i="278"/>
  <c r="AF61" i="278"/>
  <c r="AG61" i="278"/>
  <c r="AD61" i="278"/>
  <c r="AC61" i="278"/>
  <c r="AB61" i="278"/>
  <c r="AA61" i="278"/>
  <c r="H61" i="278"/>
  <c r="BD60" i="278"/>
  <c r="BD59" i="278"/>
  <c r="BB59" i="278"/>
  <c r="AI59" i="278"/>
  <c r="AH59" i="278"/>
  <c r="AF59" i="278"/>
  <c r="AG59" i="278"/>
  <c r="AD59" i="278"/>
  <c r="AC59" i="278"/>
  <c r="AB59" i="278"/>
  <c r="AA59" i="278"/>
  <c r="H59" i="278"/>
  <c r="BD58" i="278"/>
  <c r="BB58" i="278"/>
  <c r="AI58" i="278"/>
  <c r="AH58" i="278"/>
  <c r="AF58" i="278"/>
  <c r="AG58" i="278"/>
  <c r="AE58" i="278"/>
  <c r="AD58" i="278"/>
  <c r="AC58" i="278"/>
  <c r="AB58" i="278"/>
  <c r="AA58" i="278"/>
  <c r="H58" i="278"/>
  <c r="BD57" i="278"/>
  <c r="BB57" i="278"/>
  <c r="AI57" i="278"/>
  <c r="AH57" i="278"/>
  <c r="AF57" i="278"/>
  <c r="AG57" i="278"/>
  <c r="AD57" i="278"/>
  <c r="AC57" i="278"/>
  <c r="AB57" i="278"/>
  <c r="AA57" i="278"/>
  <c r="H57" i="278"/>
  <c r="BD56" i="278"/>
  <c r="BB56" i="278"/>
  <c r="AI56" i="278"/>
  <c r="AH56" i="278"/>
  <c r="AF56" i="278"/>
  <c r="AG56" i="278"/>
  <c r="AD56" i="278"/>
  <c r="AC56" i="278"/>
  <c r="AB56" i="278"/>
  <c r="AA56" i="278"/>
  <c r="H56" i="278"/>
  <c r="BD55" i="278"/>
  <c r="BD54" i="278"/>
  <c r="BB54" i="278"/>
  <c r="AI54" i="278"/>
  <c r="AH54" i="278"/>
  <c r="AF54" i="278"/>
  <c r="AG54" i="278"/>
  <c r="AD54" i="278"/>
  <c r="AC54" i="278"/>
  <c r="AB54" i="278"/>
  <c r="AA54" i="278"/>
  <c r="H54" i="278"/>
  <c r="BD53" i="278"/>
  <c r="BB53" i="278"/>
  <c r="AI53" i="278"/>
  <c r="AH53" i="278"/>
  <c r="AF53" i="278"/>
  <c r="AG53" i="278"/>
  <c r="AE53" i="278"/>
  <c r="AD53" i="278"/>
  <c r="AC53" i="278"/>
  <c r="AB53" i="278"/>
  <c r="AA53" i="278"/>
  <c r="H53" i="278"/>
  <c r="BD52" i="278"/>
  <c r="BB52" i="278"/>
  <c r="AI52" i="278"/>
  <c r="AH52" i="278"/>
  <c r="AF52" i="278"/>
  <c r="AG52" i="278"/>
  <c r="AD52" i="278"/>
  <c r="AC52" i="278"/>
  <c r="AB52" i="278"/>
  <c r="AA52" i="278"/>
  <c r="H52" i="278"/>
  <c r="BD51" i="278"/>
  <c r="BB51" i="278"/>
  <c r="AI51" i="278"/>
  <c r="AH51" i="278"/>
  <c r="AF51" i="278"/>
  <c r="AG51" i="278"/>
  <c r="AD51" i="278"/>
  <c r="AC51" i="278"/>
  <c r="AB51" i="278"/>
  <c r="AA51" i="278"/>
  <c r="H51" i="278"/>
  <c r="BD50" i="278"/>
  <c r="BD49" i="278"/>
  <c r="BB49" i="278"/>
  <c r="AI49" i="278"/>
  <c r="AH49" i="278"/>
  <c r="AF49" i="278"/>
  <c r="AG49" i="278"/>
  <c r="AD49" i="278"/>
  <c r="AC49" i="278"/>
  <c r="AB49" i="278"/>
  <c r="AA49" i="278"/>
  <c r="H49" i="278"/>
  <c r="BD48" i="278"/>
  <c r="BB48" i="278"/>
  <c r="AI48" i="278"/>
  <c r="AH48" i="278"/>
  <c r="AF48" i="278"/>
  <c r="AG48" i="278"/>
  <c r="AE48" i="278"/>
  <c r="AD48" i="278"/>
  <c r="AC48" i="278"/>
  <c r="AB48" i="278"/>
  <c r="AA48" i="278"/>
  <c r="H48" i="278"/>
  <c r="BD47" i="278"/>
  <c r="BB47" i="278"/>
  <c r="AI47" i="278"/>
  <c r="AH47" i="278"/>
  <c r="AF47" i="278"/>
  <c r="AG47" i="278"/>
  <c r="AD47" i="278"/>
  <c r="AC47" i="278"/>
  <c r="AB47" i="278"/>
  <c r="AA47" i="278"/>
  <c r="H47" i="278"/>
  <c r="BD46" i="278"/>
  <c r="BB46" i="278"/>
  <c r="AI46" i="278"/>
  <c r="AH46" i="278"/>
  <c r="AF46" i="278"/>
  <c r="AG46" i="278"/>
  <c r="AD46" i="278"/>
  <c r="AC46" i="278"/>
  <c r="AB46" i="278"/>
  <c r="AA46" i="278"/>
  <c r="H46" i="278"/>
  <c r="BD45" i="278"/>
  <c r="BD44" i="278"/>
  <c r="BD43" i="278"/>
  <c r="BB43" i="278"/>
  <c r="AI43" i="278"/>
  <c r="AH43" i="278"/>
  <c r="AF43" i="278"/>
  <c r="AG43" i="278"/>
  <c r="AD43" i="278"/>
  <c r="AC43" i="278"/>
  <c r="AB43" i="278"/>
  <c r="AA43" i="278"/>
  <c r="H43" i="278"/>
  <c r="BD42" i="278"/>
  <c r="BB42" i="278"/>
  <c r="AI42" i="278"/>
  <c r="AH42" i="278"/>
  <c r="AF42" i="278"/>
  <c r="AG42" i="278"/>
  <c r="AE42" i="278"/>
  <c r="AD42" i="278"/>
  <c r="AC42" i="278"/>
  <c r="AB42" i="278"/>
  <c r="AA42" i="278"/>
  <c r="H42" i="278"/>
  <c r="BD41" i="278"/>
  <c r="BB41" i="278"/>
  <c r="AI41" i="278"/>
  <c r="AH41" i="278"/>
  <c r="AF41" i="278"/>
  <c r="AG41" i="278"/>
  <c r="AD41" i="278"/>
  <c r="AC41" i="278"/>
  <c r="AB41" i="278"/>
  <c r="AA41" i="278"/>
  <c r="H41" i="278"/>
  <c r="BD40" i="278"/>
  <c r="BB40" i="278"/>
  <c r="AI40" i="278"/>
  <c r="AH40" i="278"/>
  <c r="AF40" i="278"/>
  <c r="AG40" i="278"/>
  <c r="AD40" i="278"/>
  <c r="AC40" i="278"/>
  <c r="AB40" i="278"/>
  <c r="AA40" i="278"/>
  <c r="H40" i="278"/>
  <c r="BD39" i="278"/>
  <c r="BD38" i="278"/>
  <c r="BB38" i="278"/>
  <c r="AI38" i="278"/>
  <c r="AH38" i="278"/>
  <c r="AF38" i="278"/>
  <c r="AG38" i="278"/>
  <c r="AD38" i="278"/>
  <c r="AC38" i="278"/>
  <c r="AB38" i="278"/>
  <c r="AA38" i="278"/>
  <c r="H38" i="278"/>
  <c r="BD37" i="278"/>
  <c r="BB37" i="278"/>
  <c r="AI37" i="278"/>
  <c r="AH37" i="278"/>
  <c r="AF37" i="278"/>
  <c r="AG37" i="278"/>
  <c r="AE37" i="278"/>
  <c r="AD37" i="278"/>
  <c r="AC37" i="278"/>
  <c r="AB37" i="278"/>
  <c r="AA37" i="278"/>
  <c r="H37" i="278"/>
  <c r="BD36" i="278"/>
  <c r="BB36" i="278"/>
  <c r="AI36" i="278"/>
  <c r="AH36" i="278"/>
  <c r="AF36" i="278"/>
  <c r="AG36" i="278"/>
  <c r="AD36" i="278"/>
  <c r="AC36" i="278"/>
  <c r="AB36" i="278"/>
  <c r="AA36" i="278"/>
  <c r="H36" i="278"/>
  <c r="BD35" i="278"/>
  <c r="BB35" i="278"/>
  <c r="AI35" i="278"/>
  <c r="AH35" i="278"/>
  <c r="AF35" i="278"/>
  <c r="AG35" i="278"/>
  <c r="AD35" i="278"/>
  <c r="AC35" i="278"/>
  <c r="AB35" i="278"/>
  <c r="AA35" i="278"/>
  <c r="H35" i="278"/>
  <c r="BD34" i="278"/>
  <c r="BD33" i="278"/>
  <c r="BB33" i="278"/>
  <c r="AI33" i="278"/>
  <c r="AH33" i="278"/>
  <c r="AF33" i="278"/>
  <c r="AG33" i="278"/>
  <c r="AD33" i="278"/>
  <c r="AC33" i="278"/>
  <c r="AB33" i="278"/>
  <c r="AA33" i="278"/>
  <c r="H33" i="278"/>
  <c r="BD32" i="278"/>
  <c r="BB32" i="278"/>
  <c r="AI32" i="278"/>
  <c r="AH32" i="278"/>
  <c r="AF32" i="278"/>
  <c r="AG32" i="278"/>
  <c r="AE32" i="278"/>
  <c r="AD32" i="278"/>
  <c r="AC32" i="278"/>
  <c r="AB32" i="278"/>
  <c r="AA32" i="278"/>
  <c r="H32" i="278"/>
  <c r="BD31" i="278"/>
  <c r="BB31" i="278"/>
  <c r="AI31" i="278"/>
  <c r="AH31" i="278"/>
  <c r="AF31" i="278"/>
  <c r="AG31" i="278"/>
  <c r="AD31" i="278"/>
  <c r="AC31" i="278"/>
  <c r="AB31" i="278"/>
  <c r="AA31" i="278"/>
  <c r="H31" i="278"/>
  <c r="BD30" i="278"/>
  <c r="BB30" i="278"/>
  <c r="AI30" i="278"/>
  <c r="AH30" i="278"/>
  <c r="AF30" i="278"/>
  <c r="AG30" i="278"/>
  <c r="AD30" i="278"/>
  <c r="AC30" i="278"/>
  <c r="AB30" i="278"/>
  <c r="AA30" i="278"/>
  <c r="H30" i="278"/>
  <c r="BD29" i="278"/>
  <c r="BD28" i="278"/>
  <c r="BB28" i="278"/>
  <c r="AI28" i="278"/>
  <c r="AH28" i="278"/>
  <c r="AF28" i="278"/>
  <c r="AG28" i="278"/>
  <c r="AD28" i="278"/>
  <c r="AC28" i="278"/>
  <c r="AB28" i="278"/>
  <c r="AA28" i="278"/>
  <c r="H28" i="278"/>
  <c r="BD27" i="278"/>
  <c r="BB27" i="278"/>
  <c r="AI27" i="278"/>
  <c r="AH27" i="278"/>
  <c r="AF27" i="278"/>
  <c r="AG27" i="278"/>
  <c r="AD27" i="278"/>
  <c r="AC27" i="278"/>
  <c r="AB27" i="278"/>
  <c r="AA27" i="278"/>
  <c r="H27" i="278"/>
  <c r="BD26" i="278"/>
  <c r="BB26" i="278"/>
  <c r="AI26" i="278"/>
  <c r="AH26" i="278"/>
  <c r="AF26" i="278"/>
  <c r="AG26" i="278"/>
  <c r="AD26" i="278"/>
  <c r="AC26" i="278"/>
  <c r="AB26" i="278"/>
  <c r="AA26" i="278"/>
  <c r="H26" i="278"/>
  <c r="BD25" i="278"/>
  <c r="BD24" i="278"/>
  <c r="BB24" i="278"/>
  <c r="AI24" i="278"/>
  <c r="AH24" i="278"/>
  <c r="AF24" i="278"/>
  <c r="AG24" i="278"/>
  <c r="AD24" i="278"/>
  <c r="AC24" i="278"/>
  <c r="AB24" i="278"/>
  <c r="AA24" i="278"/>
  <c r="H24" i="278"/>
  <c r="BD23" i="278"/>
  <c r="BB23" i="278"/>
  <c r="AI23" i="278"/>
  <c r="AH23" i="278"/>
  <c r="AF23" i="278"/>
  <c r="AG23" i="278"/>
  <c r="AE23" i="278"/>
  <c r="AD23" i="278"/>
  <c r="AC23" i="278"/>
  <c r="AB23" i="278"/>
  <c r="AA23" i="278"/>
  <c r="H23" i="278"/>
  <c r="BD22" i="278"/>
  <c r="BB22" i="278"/>
  <c r="AI22" i="278"/>
  <c r="AH22" i="278"/>
  <c r="AF22" i="278"/>
  <c r="AG22" i="278"/>
  <c r="AD22" i="278"/>
  <c r="AC22" i="278"/>
  <c r="AB22" i="278"/>
  <c r="AA22" i="278"/>
  <c r="H22" i="278"/>
  <c r="BD21" i="278"/>
  <c r="BB21" i="278"/>
  <c r="AI21" i="278"/>
  <c r="AH21" i="278"/>
  <c r="AF21" i="278"/>
  <c r="AG21" i="278"/>
  <c r="AD21" i="278"/>
  <c r="AC21" i="278"/>
  <c r="AB21" i="278"/>
  <c r="AA21" i="278"/>
  <c r="H21" i="278"/>
  <c r="BD20" i="278"/>
  <c r="BB20" i="278"/>
  <c r="AI20" i="278"/>
  <c r="AH20" i="278"/>
  <c r="AF20" i="278"/>
  <c r="AG20" i="278"/>
  <c r="AD20" i="278"/>
  <c r="AC20" i="278"/>
  <c r="AB20" i="278"/>
  <c r="AA20" i="278"/>
  <c r="H20" i="278"/>
  <c r="BD19" i="278"/>
  <c r="BB19" i="278"/>
  <c r="AI19" i="278"/>
  <c r="AH19" i="278"/>
  <c r="AF19" i="278"/>
  <c r="AG19" i="278"/>
  <c r="AE19" i="278"/>
  <c r="AD19" i="278"/>
  <c r="AC19" i="278"/>
  <c r="AB19" i="278"/>
  <c r="AA19" i="278"/>
  <c r="H19" i="278"/>
  <c r="BD18" i="278"/>
  <c r="BB18" i="278"/>
  <c r="AI18" i="278"/>
  <c r="AH18" i="278"/>
  <c r="AF18" i="278"/>
  <c r="AG18" i="278"/>
  <c r="AD18" i="278"/>
  <c r="AC18" i="278"/>
  <c r="AB18" i="278"/>
  <c r="AA18" i="278"/>
  <c r="H18" i="278"/>
  <c r="BD17" i="278"/>
  <c r="BD16" i="278"/>
  <c r="BB16" i="278"/>
  <c r="AI16" i="278"/>
  <c r="AH16" i="278"/>
  <c r="AF16" i="278"/>
  <c r="AG16" i="278"/>
  <c r="AD16" i="278"/>
  <c r="AC16" i="278"/>
  <c r="AB16" i="278"/>
  <c r="AA16" i="278"/>
  <c r="H16" i="278"/>
  <c r="BD15" i="278"/>
  <c r="BB15" i="278"/>
  <c r="AI15" i="278"/>
  <c r="AH15" i="278"/>
  <c r="AF15" i="278"/>
  <c r="AG15" i="278"/>
  <c r="AE15" i="278"/>
  <c r="AD15" i="278"/>
  <c r="AC15" i="278"/>
  <c r="AB15" i="278"/>
  <c r="AA15" i="278"/>
  <c r="H15" i="278"/>
  <c r="BD14" i="278"/>
  <c r="BB14" i="278"/>
  <c r="AI14" i="278"/>
  <c r="AH14" i="278"/>
  <c r="AF14" i="278"/>
  <c r="AG14" i="278"/>
  <c r="AD14" i="278"/>
  <c r="AC14" i="278"/>
  <c r="AB14" i="278"/>
  <c r="AA14" i="278"/>
  <c r="H14" i="278"/>
  <c r="BD13" i="278"/>
  <c r="BD12" i="278"/>
  <c r="BB12" i="278"/>
  <c r="AI12" i="278"/>
  <c r="AH12" i="278"/>
  <c r="AF12" i="278"/>
  <c r="AG12" i="278"/>
  <c r="AD12" i="278"/>
  <c r="AC12" i="278"/>
  <c r="AB12" i="278"/>
  <c r="AA12" i="278"/>
  <c r="H12" i="278"/>
  <c r="BD11" i="278"/>
  <c r="BB11" i="278"/>
  <c r="AI11" i="278"/>
  <c r="AH11" i="278"/>
  <c r="AF11" i="278"/>
  <c r="AG11" i="278"/>
  <c r="AD11" i="278"/>
  <c r="AC11" i="278"/>
  <c r="AB11" i="278"/>
  <c r="AA11" i="278"/>
  <c r="H11" i="278"/>
  <c r="BD10" i="278"/>
  <c r="BB10" i="278"/>
  <c r="AI10" i="278"/>
  <c r="AH10" i="278"/>
  <c r="AF10" i="278"/>
  <c r="AG10" i="278"/>
  <c r="AE10" i="278"/>
  <c r="AD10" i="278"/>
  <c r="AC10" i="278"/>
  <c r="AB10" i="278"/>
  <c r="AA10" i="278"/>
  <c r="H10" i="278"/>
  <c r="BD9" i="278"/>
  <c r="BB9" i="278"/>
  <c r="AI9" i="278"/>
  <c r="AH9" i="278"/>
  <c r="AF9" i="278"/>
  <c r="AG9" i="278"/>
  <c r="AD9" i="278"/>
  <c r="AC9" i="278"/>
  <c r="AB9" i="278"/>
  <c r="AA9" i="278"/>
  <c r="H9" i="278"/>
  <c r="BD8" i="278"/>
  <c r="BB8" i="278"/>
  <c r="AI8" i="278"/>
  <c r="AH8" i="278"/>
  <c r="AF8" i="278"/>
  <c r="AG8" i="278"/>
  <c r="AD8" i="278"/>
  <c r="AC8" i="278"/>
  <c r="AB8" i="278"/>
  <c r="AA8" i="278"/>
  <c r="H8" i="278"/>
  <c r="BD7" i="278"/>
  <c r="BD6" i="278"/>
  <c r="BD5" i="278"/>
  <c r="Q6" i="278" s="1"/>
  <c r="H5" i="278"/>
  <c r="AA5" i="278" s="1"/>
  <c r="BD4" i="278"/>
  <c r="BB4" i="278"/>
  <c r="AI4" i="278"/>
  <c r="AH4" i="278"/>
  <c r="AF4" i="278"/>
  <c r="AG4" i="278"/>
  <c r="AE4" i="278"/>
  <c r="AD4" i="278"/>
  <c r="AC4" i="278"/>
  <c r="AB4" i="278"/>
  <c r="AA4" i="278"/>
  <c r="H4" i="278"/>
  <c r="BD3" i="278"/>
  <c r="BB3" i="278"/>
  <c r="AI3" i="278"/>
  <c r="AH3" i="278"/>
  <c r="AF3" i="278"/>
  <c r="AG3" i="278"/>
  <c r="AD3" i="278"/>
  <c r="AC3" i="278"/>
  <c r="AB3" i="278"/>
  <c r="AA3" i="278"/>
  <c r="H3" i="278"/>
  <c r="BD2" i="278"/>
  <c r="BB2" i="278"/>
  <c r="AI2" i="278"/>
  <c r="AH2" i="278"/>
  <c r="AF2" i="278"/>
  <c r="AG2" i="278"/>
  <c r="AD2" i="278"/>
  <c r="AC2" i="278"/>
  <c r="AB2" i="278"/>
  <c r="AA2" i="278"/>
  <c r="H2" i="278"/>
  <c r="E540" i="278"/>
  <c r="E539" i="278"/>
  <c r="E538" i="278"/>
  <c r="E537" i="278"/>
  <c r="E536" i="278"/>
  <c r="E535" i="278"/>
  <c r="E534" i="278"/>
  <c r="E533" i="278"/>
  <c r="E532" i="278"/>
  <c r="E531" i="278"/>
  <c r="E530" i="278"/>
  <c r="E529" i="278"/>
  <c r="E528" i="278"/>
  <c r="E527" i="278"/>
  <c r="E526" i="278"/>
  <c r="E525" i="278"/>
  <c r="E524" i="278"/>
  <c r="E523" i="278"/>
  <c r="E522" i="278"/>
  <c r="E521" i="278"/>
  <c r="E520" i="278"/>
  <c r="E519" i="278"/>
  <c r="E518" i="278"/>
  <c r="E517" i="278"/>
  <c r="E516" i="278"/>
  <c r="E515" i="278"/>
  <c r="E514" i="278"/>
  <c r="E513" i="278"/>
  <c r="E512" i="278"/>
  <c r="E511" i="278"/>
  <c r="E510" i="278"/>
  <c r="E509" i="278"/>
  <c r="E508" i="278"/>
  <c r="E507" i="278"/>
  <c r="E506" i="278"/>
  <c r="E505" i="278"/>
  <c r="E504" i="278"/>
  <c r="E503" i="278"/>
  <c r="E502" i="278"/>
  <c r="E501" i="278"/>
  <c r="E500" i="278"/>
  <c r="E499" i="278"/>
  <c r="E498" i="278"/>
  <c r="E497" i="278"/>
  <c r="E496" i="278"/>
  <c r="E495" i="278"/>
  <c r="E494" i="278"/>
  <c r="E493" i="278"/>
  <c r="E492" i="278"/>
  <c r="E491" i="278"/>
  <c r="E490" i="278"/>
  <c r="E489" i="278"/>
  <c r="E488" i="278"/>
  <c r="E487" i="278"/>
  <c r="E486" i="278"/>
  <c r="E485" i="278"/>
  <c r="E484" i="278"/>
  <c r="E483" i="278"/>
  <c r="E482" i="278"/>
  <c r="E481" i="278"/>
  <c r="E480" i="278"/>
  <c r="E479" i="278"/>
  <c r="E478" i="278"/>
  <c r="E477" i="278"/>
  <c r="E476" i="278"/>
  <c r="E475" i="278"/>
  <c r="E474" i="278"/>
  <c r="E473" i="278"/>
  <c r="E472" i="278"/>
  <c r="E471" i="278"/>
  <c r="E470" i="278"/>
  <c r="E469" i="278"/>
  <c r="E468" i="278"/>
  <c r="E467" i="278"/>
  <c r="E466" i="278"/>
  <c r="E465" i="278"/>
  <c r="E464" i="278"/>
  <c r="E463" i="278"/>
  <c r="E462" i="278"/>
  <c r="E461" i="278"/>
  <c r="E460" i="278"/>
  <c r="E459" i="278"/>
  <c r="E458" i="278"/>
  <c r="E457" i="278"/>
  <c r="E456" i="278"/>
  <c r="E455" i="278"/>
  <c r="E454" i="278"/>
  <c r="E453" i="278"/>
  <c r="E452" i="278"/>
  <c r="E451" i="278"/>
  <c r="E450" i="278"/>
  <c r="E449" i="278"/>
  <c r="E448" i="278"/>
  <c r="E447" i="278"/>
  <c r="E446" i="278"/>
  <c r="E445" i="278"/>
  <c r="E444" i="278"/>
  <c r="E443" i="278"/>
  <c r="E442" i="278"/>
  <c r="E441" i="278"/>
  <c r="E440" i="278"/>
  <c r="E439" i="278"/>
  <c r="E438" i="278"/>
  <c r="E437" i="278"/>
  <c r="E436" i="278"/>
  <c r="E435" i="278"/>
  <c r="E434" i="278"/>
  <c r="E433" i="278"/>
  <c r="E432" i="278"/>
  <c r="E431" i="278"/>
  <c r="E430" i="278"/>
  <c r="E429" i="278"/>
  <c r="E428" i="278"/>
  <c r="E427" i="278"/>
  <c r="E426" i="278"/>
  <c r="E425" i="278"/>
  <c r="E424" i="278"/>
  <c r="E423" i="278"/>
  <c r="E422" i="278"/>
  <c r="E421" i="278"/>
  <c r="E420" i="278"/>
  <c r="E419" i="278"/>
  <c r="E418" i="278"/>
  <c r="E417" i="278"/>
  <c r="E416" i="278"/>
  <c r="E415" i="278"/>
  <c r="E414" i="278"/>
  <c r="E413" i="278"/>
  <c r="E412" i="278"/>
  <c r="E411" i="278"/>
  <c r="E410" i="278"/>
  <c r="E409" i="278"/>
  <c r="E408" i="278"/>
  <c r="E407" i="278"/>
  <c r="E406" i="278"/>
  <c r="E405" i="278"/>
  <c r="E404" i="278"/>
  <c r="E403" i="278"/>
  <c r="E402" i="278"/>
  <c r="E401" i="278"/>
  <c r="E400" i="278"/>
  <c r="E399" i="278"/>
  <c r="E398" i="278"/>
  <c r="E397" i="278"/>
  <c r="E396" i="278"/>
  <c r="E395" i="278"/>
  <c r="E394" i="278"/>
  <c r="E393" i="278"/>
  <c r="E392" i="278"/>
  <c r="E391" i="278"/>
  <c r="E390" i="278"/>
  <c r="E389" i="278"/>
  <c r="E388" i="278"/>
  <c r="E387" i="278"/>
  <c r="E386" i="278"/>
  <c r="E385" i="278"/>
  <c r="E384" i="278"/>
  <c r="E383" i="278"/>
  <c r="E382" i="278"/>
  <c r="E381" i="278"/>
  <c r="E380" i="278"/>
  <c r="E379" i="278"/>
  <c r="E378" i="278"/>
  <c r="E377" i="278"/>
  <c r="E376" i="278"/>
  <c r="E375" i="278"/>
  <c r="E374" i="278"/>
  <c r="E373" i="278"/>
  <c r="E372" i="278"/>
  <c r="E371" i="278"/>
  <c r="E370" i="278"/>
  <c r="E369" i="278"/>
  <c r="E368" i="278"/>
  <c r="E367" i="278"/>
  <c r="E366" i="278"/>
  <c r="E365" i="278"/>
  <c r="E364" i="278"/>
  <c r="E363" i="278"/>
  <c r="E362" i="278"/>
  <c r="E361" i="278"/>
  <c r="E360" i="278"/>
  <c r="E359" i="278"/>
  <c r="E358" i="278"/>
  <c r="E357" i="278"/>
  <c r="E356" i="278"/>
  <c r="E355" i="278"/>
  <c r="E354" i="278"/>
  <c r="E353" i="278"/>
  <c r="E352" i="278"/>
  <c r="E351" i="278"/>
  <c r="E350" i="278"/>
  <c r="E349" i="278"/>
  <c r="E348" i="278"/>
  <c r="E347" i="278"/>
  <c r="E346" i="278"/>
  <c r="E345" i="278"/>
  <c r="E344" i="278"/>
  <c r="E343" i="278"/>
  <c r="E342" i="278"/>
  <c r="E341" i="278"/>
  <c r="E340" i="278"/>
  <c r="E339" i="278"/>
  <c r="E338" i="278"/>
  <c r="E337" i="278"/>
  <c r="E336" i="278"/>
  <c r="E335" i="278"/>
  <c r="E334" i="278"/>
  <c r="E333" i="278"/>
  <c r="E332" i="278"/>
  <c r="E331" i="278"/>
  <c r="E330" i="278"/>
  <c r="E329" i="278"/>
  <c r="E328" i="278"/>
  <c r="E327" i="278"/>
  <c r="E326" i="278"/>
  <c r="E325" i="278"/>
  <c r="E324" i="278"/>
  <c r="E323" i="278"/>
  <c r="E322" i="278"/>
  <c r="E321" i="278"/>
  <c r="E320" i="278"/>
  <c r="E319" i="278"/>
  <c r="E318" i="278"/>
  <c r="E317" i="278"/>
  <c r="E316" i="278"/>
  <c r="E315" i="278"/>
  <c r="E314" i="278"/>
  <c r="E313" i="278"/>
  <c r="E312" i="278"/>
  <c r="E311" i="278"/>
  <c r="E310" i="278"/>
  <c r="E309" i="278"/>
  <c r="E308" i="278"/>
  <c r="E307" i="278"/>
  <c r="E306" i="278"/>
  <c r="E305" i="278"/>
  <c r="E304" i="278"/>
  <c r="E303" i="278"/>
  <c r="E302" i="278"/>
  <c r="E301" i="278"/>
  <c r="E300" i="278"/>
  <c r="E299" i="278"/>
  <c r="E298" i="278"/>
  <c r="E297" i="278"/>
  <c r="E296" i="278"/>
  <c r="E295" i="278"/>
  <c r="E294" i="278"/>
  <c r="E293" i="278"/>
  <c r="E292" i="278"/>
  <c r="E291" i="278"/>
  <c r="E290" i="278"/>
  <c r="E289" i="278"/>
  <c r="E288" i="278"/>
  <c r="E287" i="278"/>
  <c r="E286" i="278"/>
  <c r="E285" i="278"/>
  <c r="E284" i="278"/>
  <c r="E283" i="278"/>
  <c r="E282" i="278"/>
  <c r="E281" i="278"/>
  <c r="E280" i="278"/>
  <c r="E279" i="278"/>
  <c r="E278" i="278"/>
  <c r="E277" i="278"/>
  <c r="E276" i="278"/>
  <c r="E275" i="278"/>
  <c r="E274" i="278"/>
  <c r="E273" i="278"/>
  <c r="E272" i="278"/>
  <c r="E271" i="278"/>
  <c r="E270" i="278"/>
  <c r="E269" i="278"/>
  <c r="E268" i="278"/>
  <c r="E267" i="278"/>
  <c r="E266" i="278"/>
  <c r="E265" i="278"/>
  <c r="E264" i="278"/>
  <c r="E263" i="278"/>
  <c r="E262" i="278"/>
  <c r="E261" i="278"/>
  <c r="E260" i="278"/>
  <c r="E259" i="278"/>
  <c r="E258" i="278"/>
  <c r="E257" i="278"/>
  <c r="E256" i="278"/>
  <c r="E255" i="278"/>
  <c r="E254" i="278"/>
  <c r="E253" i="278"/>
  <c r="E252" i="278"/>
  <c r="E251" i="278"/>
  <c r="E250" i="278"/>
  <c r="E249" i="278"/>
  <c r="E248" i="278"/>
  <c r="E247" i="278"/>
  <c r="E246" i="278"/>
  <c r="E245" i="278"/>
  <c r="E244" i="278"/>
  <c r="E243" i="278"/>
  <c r="E242" i="278"/>
  <c r="E241" i="278"/>
  <c r="E240" i="278"/>
  <c r="E239" i="278"/>
  <c r="E238" i="278"/>
  <c r="E237" i="278"/>
  <c r="E236" i="278"/>
  <c r="E235" i="278"/>
  <c r="E234" i="278"/>
  <c r="E233" i="278"/>
  <c r="E232" i="278"/>
  <c r="E231" i="278"/>
  <c r="E230" i="278"/>
  <c r="E229" i="278"/>
  <c r="E228" i="278"/>
  <c r="E227" i="278"/>
  <c r="E226" i="278"/>
  <c r="E225" i="278"/>
  <c r="E224" i="278"/>
  <c r="E223" i="278"/>
  <c r="E222" i="278"/>
  <c r="E221" i="278"/>
  <c r="E220" i="278"/>
  <c r="E219" i="278"/>
  <c r="E218" i="278"/>
  <c r="E217" i="278"/>
  <c r="E216" i="278"/>
  <c r="E215" i="278"/>
  <c r="E214" i="278"/>
  <c r="E213" i="278"/>
  <c r="E212" i="278"/>
  <c r="E211" i="278"/>
  <c r="E210" i="278"/>
  <c r="E209" i="278"/>
  <c r="E208" i="278"/>
  <c r="E207" i="278"/>
  <c r="E206" i="278"/>
  <c r="E205" i="278"/>
  <c r="E204" i="278"/>
  <c r="E203" i="278"/>
  <c r="E202" i="278"/>
  <c r="E201" i="278"/>
  <c r="E200" i="278"/>
  <c r="E199" i="278"/>
  <c r="E198" i="278"/>
  <c r="E197" i="278"/>
  <c r="E196" i="278"/>
  <c r="E195" i="278"/>
  <c r="E194" i="278"/>
  <c r="E193" i="278"/>
  <c r="E192" i="278"/>
  <c r="E191" i="278"/>
  <c r="E190" i="278"/>
  <c r="E189" i="278"/>
  <c r="E188" i="278"/>
  <c r="E187" i="278"/>
  <c r="E186" i="278"/>
  <c r="E185" i="278"/>
  <c r="E184" i="278"/>
  <c r="E183" i="278"/>
  <c r="E182" i="278"/>
  <c r="E181" i="278"/>
  <c r="E180" i="278"/>
  <c r="E179" i="278"/>
  <c r="E178" i="278"/>
  <c r="E177" i="278"/>
  <c r="E176" i="278"/>
  <c r="E175" i="278"/>
  <c r="E174" i="278"/>
  <c r="E173" i="278"/>
  <c r="E172" i="278"/>
  <c r="E171" i="278"/>
  <c r="E170" i="278"/>
  <c r="E169" i="278"/>
  <c r="E168" i="278"/>
  <c r="E167" i="278"/>
  <c r="E166" i="278"/>
  <c r="E165" i="278"/>
  <c r="E164" i="278"/>
  <c r="E163" i="278"/>
  <c r="E162" i="278"/>
  <c r="E161" i="278"/>
  <c r="E160" i="278"/>
  <c r="E159" i="278"/>
  <c r="E158" i="278"/>
  <c r="E157" i="278"/>
  <c r="E156" i="278"/>
  <c r="E155" i="278"/>
  <c r="E154" i="278"/>
  <c r="E153" i="278"/>
  <c r="E152" i="278"/>
  <c r="E151" i="278"/>
  <c r="E150" i="278"/>
  <c r="E149" i="278"/>
  <c r="E148" i="278"/>
  <c r="E147" i="278"/>
  <c r="E146" i="278"/>
  <c r="E145" i="278"/>
  <c r="E144" i="278"/>
  <c r="E143" i="278"/>
  <c r="E142" i="278"/>
  <c r="E141" i="278"/>
  <c r="E140" i="278"/>
  <c r="E139" i="278"/>
  <c r="E138" i="278"/>
  <c r="E137" i="278"/>
  <c r="E136" i="278"/>
  <c r="E135" i="278"/>
  <c r="E134" i="278"/>
  <c r="E133" i="278"/>
  <c r="E132" i="278"/>
  <c r="E131" i="278"/>
  <c r="E130" i="278"/>
  <c r="E129" i="278"/>
  <c r="E128" i="278"/>
  <c r="E127" i="278"/>
  <c r="E126" i="278"/>
  <c r="E125" i="278"/>
  <c r="E124" i="278"/>
  <c r="E123" i="278"/>
  <c r="E122" i="278"/>
  <c r="E121" i="278"/>
  <c r="E120" i="278"/>
  <c r="E119" i="278"/>
  <c r="E118" i="278"/>
  <c r="E117" i="278"/>
  <c r="E116" i="278"/>
  <c r="E115" i="278"/>
  <c r="E114" i="278"/>
  <c r="E113" i="278"/>
  <c r="E112" i="278"/>
  <c r="E111" i="278"/>
  <c r="E110" i="278"/>
  <c r="E109" i="278"/>
  <c r="E108" i="278"/>
  <c r="E107" i="278"/>
  <c r="E106" i="278"/>
  <c r="E105" i="278"/>
  <c r="E104" i="278"/>
  <c r="E103" i="278"/>
  <c r="E102" i="278"/>
  <c r="E101" i="278"/>
  <c r="E100" i="278"/>
  <c r="E99" i="278"/>
  <c r="E98" i="278"/>
  <c r="E97" i="278"/>
  <c r="E96" i="278"/>
  <c r="E95" i="278"/>
  <c r="E94" i="278"/>
  <c r="E93" i="278"/>
  <c r="E92" i="278"/>
  <c r="E91" i="278"/>
  <c r="E90" i="278"/>
  <c r="E89" i="278"/>
  <c r="E88" i="278"/>
  <c r="E87" i="278"/>
  <c r="E86" i="278"/>
  <c r="E85" i="278"/>
  <c r="E84" i="278"/>
  <c r="E83" i="278"/>
  <c r="E82" i="278"/>
  <c r="E81" i="278"/>
  <c r="E80" i="278"/>
  <c r="E79" i="278"/>
  <c r="E78" i="278"/>
  <c r="E77" i="278"/>
  <c r="E76" i="278"/>
  <c r="E75" i="278"/>
  <c r="E74" i="278"/>
  <c r="E73" i="278"/>
  <c r="E72" i="278"/>
  <c r="E71" i="278"/>
  <c r="E70" i="278"/>
  <c r="E69" i="278"/>
  <c r="E68" i="278"/>
  <c r="E67" i="278"/>
  <c r="E66" i="278"/>
  <c r="E65" i="278"/>
  <c r="E64" i="278"/>
  <c r="E63" i="278"/>
  <c r="E62" i="278"/>
  <c r="E61" i="278"/>
  <c r="E60" i="278"/>
  <c r="E59" i="278"/>
  <c r="E58" i="278"/>
  <c r="E57" i="278"/>
  <c r="E56" i="278"/>
  <c r="E55" i="278"/>
  <c r="E54" i="278"/>
  <c r="E53" i="278"/>
  <c r="E52" i="278"/>
  <c r="E51" i="278"/>
  <c r="E50" i="278"/>
  <c r="E49" i="278"/>
  <c r="E48" i="278"/>
  <c r="E47" i="278"/>
  <c r="E46" i="278"/>
  <c r="E45" i="278"/>
  <c r="E44" i="278"/>
  <c r="E43" i="278"/>
  <c r="E42" i="278"/>
  <c r="E41" i="278"/>
  <c r="E40" i="278"/>
  <c r="E39" i="278"/>
  <c r="E38" i="278"/>
  <c r="E37" i="278"/>
  <c r="E36" i="278"/>
  <c r="E35" i="278"/>
  <c r="E34" i="278"/>
  <c r="E33" i="278"/>
  <c r="E32" i="278"/>
  <c r="E31" i="278"/>
  <c r="E30" i="278"/>
  <c r="E29" i="278"/>
  <c r="E28" i="278"/>
  <c r="E27" i="278"/>
  <c r="E26" i="278"/>
  <c r="E25" i="278"/>
  <c r="E24" i="278"/>
  <c r="E23" i="278"/>
  <c r="E22" i="278"/>
  <c r="E21" i="278"/>
  <c r="E20" i="278"/>
  <c r="E19" i="278"/>
  <c r="E18" i="278"/>
  <c r="E17" i="278"/>
  <c r="E16" i="278"/>
  <c r="E15" i="278"/>
  <c r="E14" i="278"/>
  <c r="E13" i="278"/>
  <c r="E12" i="278"/>
  <c r="E11" i="278"/>
  <c r="E10" i="278"/>
  <c r="E9" i="278"/>
  <c r="E8" i="278"/>
  <c r="E7" i="278"/>
  <c r="E6" i="278"/>
  <c r="E5" i="278"/>
  <c r="E4" i="278"/>
  <c r="E3" i="278"/>
  <c r="E2" i="278"/>
  <c r="H2" i="192"/>
  <c r="N2" i="192"/>
  <c r="H505" i="278" l="1"/>
  <c r="AA505" i="278" s="1"/>
  <c r="H525" i="278"/>
  <c r="AA525" i="278" s="1"/>
  <c r="AC525" i="278" s="1"/>
  <c r="AG5" i="278"/>
  <c r="AD5" i="278"/>
  <c r="AB5" i="278"/>
  <c r="AF5" i="278" s="1"/>
  <c r="AC5" i="278"/>
  <c r="AG540" i="278"/>
  <c r="AC540" i="278"/>
  <c r="AD540" i="278"/>
  <c r="AB540" i="278"/>
  <c r="AG530" i="278"/>
  <c r="AB530" i="278"/>
  <c r="AB535" i="278"/>
  <c r="AG535" i="278"/>
  <c r="AC535" i="278"/>
  <c r="AC530" i="278"/>
  <c r="AD530" i="278"/>
  <c r="H490" i="278"/>
  <c r="AA490" i="278" s="1"/>
  <c r="AD490" i="278" s="1"/>
  <c r="AB525" i="278"/>
  <c r="AG525" i="278"/>
  <c r="AD525" i="278"/>
  <c r="AD520" i="278"/>
  <c r="AB520" i="278"/>
  <c r="AG520" i="278"/>
  <c r="AC520" i="278"/>
  <c r="H480" i="278"/>
  <c r="AA480" i="278" s="1"/>
  <c r="AD480" i="278" s="1"/>
  <c r="AD515" i="278"/>
  <c r="AC515" i="278"/>
  <c r="AE515" i="278" s="1"/>
  <c r="AG515" i="278"/>
  <c r="AD510" i="278"/>
  <c r="AC510" i="278"/>
  <c r="AE510" i="278" s="1"/>
  <c r="AF510" i="278" s="1"/>
  <c r="AG510" i="278"/>
  <c r="AG505" i="278"/>
  <c r="AD505" i="278"/>
  <c r="AC505" i="278"/>
  <c r="AB505" i="278"/>
  <c r="H483" i="278"/>
  <c r="AA483" i="278" s="1"/>
  <c r="AC483" i="278" s="1"/>
  <c r="AG500" i="278"/>
  <c r="AC500" i="278"/>
  <c r="AB500" i="278"/>
  <c r="AD500" i="278"/>
  <c r="H493" i="278"/>
  <c r="AA493" i="278" s="1"/>
  <c r="AG493" i="278" s="1"/>
  <c r="AB490" i="278"/>
  <c r="AC490" i="278"/>
  <c r="H473" i="278"/>
  <c r="AA473" i="278" s="1"/>
  <c r="AC473" i="278" s="1"/>
  <c r="H475" i="278"/>
  <c r="AA475" i="278" s="1"/>
  <c r="AG475" i="278" s="1"/>
  <c r="H450" i="278"/>
  <c r="AA450" i="278" s="1"/>
  <c r="AG450" i="278" s="1"/>
  <c r="H469" i="278"/>
  <c r="AA469" i="278" s="1"/>
  <c r="AC469" i="278" s="1"/>
  <c r="H464" i="278"/>
  <c r="AA464" i="278" s="1"/>
  <c r="AC464" i="278" s="1"/>
  <c r="H459" i="278"/>
  <c r="AA459" i="278" s="1"/>
  <c r="AG459" i="278" s="1"/>
  <c r="H454" i="278"/>
  <c r="AA454" i="278" s="1"/>
  <c r="AG454" i="278" s="1"/>
  <c r="H430" i="278"/>
  <c r="AA430" i="278" s="1"/>
  <c r="AD430" i="278" s="1"/>
  <c r="H438" i="278"/>
  <c r="AA438" i="278" s="1"/>
  <c r="AC438" i="278" s="1"/>
  <c r="H445" i="278"/>
  <c r="AA445" i="278" s="1"/>
  <c r="AC445" i="278" s="1"/>
  <c r="H435" i="278"/>
  <c r="AA435" i="278" s="1"/>
  <c r="AD435" i="278" s="1"/>
  <c r="H425" i="278"/>
  <c r="AA425" i="278" s="1"/>
  <c r="AG425" i="278" s="1"/>
  <c r="H424" i="278"/>
  <c r="AA424" i="278" s="1"/>
  <c r="AG424" i="278" s="1"/>
  <c r="H419" i="278"/>
  <c r="AA419" i="278" s="1"/>
  <c r="AG419" i="278" s="1"/>
  <c r="H409" i="278"/>
  <c r="AA409" i="278" s="1"/>
  <c r="AC409" i="278" s="1"/>
  <c r="H414" i="278"/>
  <c r="AA414" i="278" s="1"/>
  <c r="AD414" i="278" s="1"/>
  <c r="H384" i="278"/>
  <c r="AA384" i="278" s="1"/>
  <c r="AD384" i="278" s="1"/>
  <c r="H404" i="278"/>
  <c r="AA404" i="278" s="1"/>
  <c r="AC404" i="278" s="1"/>
  <c r="H379" i="278"/>
  <c r="AA379" i="278" s="1"/>
  <c r="AG379" i="278" s="1"/>
  <c r="H399" i="278"/>
  <c r="AA399" i="278" s="1"/>
  <c r="AD399" i="278" s="1"/>
  <c r="H394" i="278"/>
  <c r="AA394" i="278" s="1"/>
  <c r="AB394" i="278" s="1"/>
  <c r="H389" i="278"/>
  <c r="AA389" i="278" s="1"/>
  <c r="AB389" i="278" s="1"/>
  <c r="H374" i="278"/>
  <c r="AA374" i="278" s="1"/>
  <c r="AD374" i="278" s="1"/>
  <c r="H369" i="278"/>
  <c r="AA369" i="278" s="1"/>
  <c r="AG369" i="278" s="1"/>
  <c r="H364" i="278"/>
  <c r="AA364" i="278" s="1"/>
  <c r="AD364" i="278" s="1"/>
  <c r="H355" i="278"/>
  <c r="AA355" i="278" s="1"/>
  <c r="AD355" i="278" s="1"/>
  <c r="H354" i="278"/>
  <c r="AA354" i="278" s="1"/>
  <c r="AD354" i="278" s="1"/>
  <c r="H349" i="278"/>
  <c r="AA349" i="278" s="1"/>
  <c r="AC349" i="278" s="1"/>
  <c r="H339" i="278"/>
  <c r="AA339" i="278" s="1"/>
  <c r="AC339" i="278" s="1"/>
  <c r="H344" i="278"/>
  <c r="AA344" i="278" s="1"/>
  <c r="AD344" i="278" s="1"/>
  <c r="H334" i="278"/>
  <c r="AA334" i="278" s="1"/>
  <c r="AB334" i="278" s="1"/>
  <c r="H325" i="278"/>
  <c r="AA325" i="278" s="1"/>
  <c r="AD325" i="278" s="1"/>
  <c r="H330" i="278"/>
  <c r="AA330" i="278" s="1"/>
  <c r="AG330" i="278" s="1"/>
  <c r="H320" i="278"/>
  <c r="AA320" i="278" s="1"/>
  <c r="AD320" i="278" s="1"/>
  <c r="H310" i="278"/>
  <c r="AA310" i="278" s="1"/>
  <c r="AG310" i="278" s="1"/>
  <c r="H294" i="278"/>
  <c r="AA294" i="278" s="1"/>
  <c r="AC294" i="278" s="1"/>
  <c r="H315" i="278"/>
  <c r="AA315" i="278" s="1"/>
  <c r="AB315" i="278" s="1"/>
  <c r="H304" i="278"/>
  <c r="AA304" i="278" s="1"/>
  <c r="AG304" i="278" s="1"/>
  <c r="H299" i="278"/>
  <c r="AA299" i="278" s="1"/>
  <c r="AG299" i="278" s="1"/>
  <c r="H289" i="278"/>
  <c r="AA289" i="278" s="1"/>
  <c r="AC289" i="278" s="1"/>
  <c r="H283" i="278"/>
  <c r="AA283" i="278" s="1"/>
  <c r="AD283" i="278" s="1"/>
  <c r="H281" i="278"/>
  <c r="AA281" i="278" s="1"/>
  <c r="AC281" i="278" s="1"/>
  <c r="H276" i="278"/>
  <c r="AA276" i="278" s="1"/>
  <c r="AD276" i="278" s="1"/>
  <c r="H271" i="278"/>
  <c r="AA271" i="278" s="1"/>
  <c r="AG271" i="278" s="1"/>
  <c r="H266" i="278"/>
  <c r="AA266" i="278" s="1"/>
  <c r="AG266" i="278" s="1"/>
  <c r="H261" i="278"/>
  <c r="AA261" i="278" s="1"/>
  <c r="AC261" i="278" s="1"/>
  <c r="H258" i="278"/>
  <c r="AA258" i="278" s="1"/>
  <c r="AG258" i="278" s="1"/>
  <c r="H255" i="278"/>
  <c r="AA255" i="278" s="1"/>
  <c r="AD255" i="278" s="1"/>
  <c r="H245" i="278"/>
  <c r="AA245" i="278" s="1"/>
  <c r="AG245" i="278" s="1"/>
  <c r="H250" i="278"/>
  <c r="AA250" i="278" s="1"/>
  <c r="AC250" i="278" s="1"/>
  <c r="H240" i="278"/>
  <c r="AA240" i="278" s="1"/>
  <c r="AC240" i="278" s="1"/>
  <c r="H234" i="278"/>
  <c r="AA234" i="278" s="1"/>
  <c r="AG234" i="278" s="1"/>
  <c r="H233" i="278"/>
  <c r="AA233" i="278" s="1"/>
  <c r="AD233" i="278" s="1"/>
  <c r="H237" i="278"/>
  <c r="AA237" i="278" s="1"/>
  <c r="AB237" i="278" s="1"/>
  <c r="H228" i="278"/>
  <c r="AA228" i="278" s="1"/>
  <c r="AC228" i="278" s="1"/>
  <c r="H223" i="278"/>
  <c r="AA223" i="278" s="1"/>
  <c r="AD223" i="278" s="1"/>
  <c r="H218" i="278"/>
  <c r="AA218" i="278" s="1"/>
  <c r="AB218" i="278" s="1"/>
  <c r="H213" i="278"/>
  <c r="AA213" i="278" s="1"/>
  <c r="AG213" i="278" s="1"/>
  <c r="H208" i="278"/>
  <c r="AA208" i="278" s="1"/>
  <c r="AG208" i="278" s="1"/>
  <c r="H198" i="278"/>
  <c r="AA198" i="278" s="1"/>
  <c r="AD198" i="278" s="1"/>
  <c r="H203" i="278"/>
  <c r="AA203" i="278" s="1"/>
  <c r="AG203" i="278" s="1"/>
  <c r="H191" i="278"/>
  <c r="AA191" i="278" s="1"/>
  <c r="AB191" i="278" s="1"/>
  <c r="H186" i="278"/>
  <c r="AA186" i="278" s="1"/>
  <c r="AC186" i="278" s="1"/>
  <c r="H181" i="278"/>
  <c r="AA181" i="278" s="1"/>
  <c r="AC181" i="278" s="1"/>
  <c r="H176" i="278"/>
  <c r="AA176" i="278" s="1"/>
  <c r="AG176" i="278" s="1"/>
  <c r="H171" i="278"/>
  <c r="AA171" i="278" s="1"/>
  <c r="AD171" i="278" s="1"/>
  <c r="H164" i="278"/>
  <c r="AA164" i="278" s="1"/>
  <c r="AB164" i="278" s="1"/>
  <c r="H161" i="278"/>
  <c r="AA161" i="278" s="1"/>
  <c r="AC161" i="278" s="1"/>
  <c r="H156" i="278"/>
  <c r="AA156" i="278" s="1"/>
  <c r="AB156" i="278" s="1"/>
  <c r="H153" i="278"/>
  <c r="AA153" i="278" s="1"/>
  <c r="AC153" i="278" s="1"/>
  <c r="H145" i="278"/>
  <c r="AA145" i="278" s="1"/>
  <c r="AG145" i="278" s="1"/>
  <c r="H150" i="278"/>
  <c r="AA150" i="278" s="1"/>
  <c r="AC150" i="278" s="1"/>
  <c r="H140" i="278"/>
  <c r="AA140" i="278" s="1"/>
  <c r="AD140" i="278" s="1"/>
  <c r="H125" i="278"/>
  <c r="AA125" i="278" s="1"/>
  <c r="AD125" i="278" s="1"/>
  <c r="H135" i="278"/>
  <c r="AA135" i="278" s="1"/>
  <c r="AG135" i="278" s="1"/>
  <c r="H130" i="278"/>
  <c r="AA130" i="278" s="1"/>
  <c r="AC130" i="278" s="1"/>
  <c r="H120" i="278"/>
  <c r="AA120" i="278" s="1"/>
  <c r="AG120" i="278" s="1"/>
  <c r="H95" i="278"/>
  <c r="AA95" i="278" s="1"/>
  <c r="AD95" i="278" s="1"/>
  <c r="H115" i="278"/>
  <c r="AA115" i="278" s="1"/>
  <c r="AG115" i="278" s="1"/>
  <c r="H110" i="278"/>
  <c r="AA110" i="278" s="1"/>
  <c r="AB110" i="278" s="1"/>
  <c r="H100" i="278"/>
  <c r="AA100" i="278" s="1"/>
  <c r="AB100" i="278" s="1"/>
  <c r="H105" i="278"/>
  <c r="AA105" i="278" s="1"/>
  <c r="AB105" i="278" s="1"/>
  <c r="H90" i="278"/>
  <c r="AA90" i="278" s="1"/>
  <c r="AC90" i="278" s="1"/>
  <c r="H85" i="278"/>
  <c r="AA85" i="278" s="1"/>
  <c r="AC85" i="278" s="1"/>
  <c r="H75" i="278"/>
  <c r="AA75" i="278" s="1"/>
  <c r="AB75" i="278" s="1"/>
  <c r="H80" i="278"/>
  <c r="AA80" i="278" s="1"/>
  <c r="AG80" i="278" s="1"/>
  <c r="H70" i="278"/>
  <c r="AA70" i="278" s="1"/>
  <c r="AG70" i="278" s="1"/>
  <c r="H60" i="278"/>
  <c r="AA60" i="278" s="1"/>
  <c r="AD60" i="278" s="1"/>
  <c r="H65" i="278"/>
  <c r="AA65" i="278" s="1"/>
  <c r="AB65" i="278" s="1"/>
  <c r="H55" i="278"/>
  <c r="AA55" i="278" s="1"/>
  <c r="AC55" i="278" s="1"/>
  <c r="H29" i="278"/>
  <c r="AA29" i="278" s="1"/>
  <c r="AD29" i="278" s="1"/>
  <c r="H45" i="278"/>
  <c r="AA45" i="278" s="1"/>
  <c r="AG45" i="278" s="1"/>
  <c r="H50" i="278"/>
  <c r="AA50" i="278" s="1"/>
  <c r="AD50" i="278" s="1"/>
  <c r="H44" i="278"/>
  <c r="AA44" i="278" s="1"/>
  <c r="AG44" i="278" s="1"/>
  <c r="H39" i="278"/>
  <c r="AA39" i="278" s="1"/>
  <c r="AD39" i="278" s="1"/>
  <c r="H25" i="278"/>
  <c r="AA25" i="278" s="1"/>
  <c r="AB25" i="278" s="1"/>
  <c r="H34" i="278"/>
  <c r="AA34" i="278" s="1"/>
  <c r="AC34" i="278" s="1"/>
  <c r="H17" i="278"/>
  <c r="AA17" i="278" s="1"/>
  <c r="AC17" i="278" s="1"/>
  <c r="H13" i="278"/>
  <c r="AA13" i="278" s="1"/>
  <c r="AG13" i="278" s="1"/>
  <c r="H7" i="278"/>
  <c r="AA7" i="278" s="1"/>
  <c r="AC7" i="278" s="1"/>
  <c r="J2" i="192"/>
  <c r="K2" i="192"/>
  <c r="L2" i="192"/>
  <c r="M2" i="192"/>
  <c r="AH5" i="278" l="1"/>
  <c r="AI5" i="278" s="1"/>
  <c r="BB5" i="278" s="1"/>
  <c r="P6" i="278" s="1"/>
  <c r="H6" i="278" s="1"/>
  <c r="AA6" i="278" s="1"/>
  <c r="AG6" i="278" s="1"/>
  <c r="AE540" i="278"/>
  <c r="AF540" i="278" s="1"/>
  <c r="AH540" i="278" s="1"/>
  <c r="AI540" i="278" s="1"/>
  <c r="BB540" i="278" s="1"/>
  <c r="AE530" i="278"/>
  <c r="AF530" i="278" s="1"/>
  <c r="AH530" i="278" s="1"/>
  <c r="AI530" i="278" s="1"/>
  <c r="BB530" i="278" s="1"/>
  <c r="AE535" i="278"/>
  <c r="AF535" i="278" s="1"/>
  <c r="AH535" i="278" s="1"/>
  <c r="AI535" i="278" s="1"/>
  <c r="BB535" i="278" s="1"/>
  <c r="AG480" i="278"/>
  <c r="AB493" i="278"/>
  <c r="AB480" i="278"/>
  <c r="AE480" i="278" s="1"/>
  <c r="AF480" i="278" s="1"/>
  <c r="AG490" i="278"/>
  <c r="AC480" i="278"/>
  <c r="AE525" i="278"/>
  <c r="AE520" i="278"/>
  <c r="AB473" i="278"/>
  <c r="AF473" i="278" s="1"/>
  <c r="AF515" i="278"/>
  <c r="AH515" i="278" s="1"/>
  <c r="AI515" i="278" s="1"/>
  <c r="BB515" i="278" s="1"/>
  <c r="AB430" i="278"/>
  <c r="AD483" i="278"/>
  <c r="AB483" i="278"/>
  <c r="AE483" i="278" s="1"/>
  <c r="AF483" i="278" s="1"/>
  <c r="AB450" i="278"/>
  <c r="AC450" i="278"/>
  <c r="AD450" i="278"/>
  <c r="AH510" i="278"/>
  <c r="AI510" i="278" s="1"/>
  <c r="BB510" i="278" s="1"/>
  <c r="AG483" i="278"/>
  <c r="AB438" i="278"/>
  <c r="AE438" i="278" s="1"/>
  <c r="AF438" i="278" s="1"/>
  <c r="AB464" i="278"/>
  <c r="AE464" i="278" s="1"/>
  <c r="AF464" i="278" s="1"/>
  <c r="AD493" i="278"/>
  <c r="AE505" i="278"/>
  <c r="AF505" i="278" s="1"/>
  <c r="AB469" i="278"/>
  <c r="AE469" i="278" s="1"/>
  <c r="AF469" i="278" s="1"/>
  <c r="AC454" i="278"/>
  <c r="AD469" i="278"/>
  <c r="AG469" i="278"/>
  <c r="AB454" i="278"/>
  <c r="AE454" i="278" s="1"/>
  <c r="AF454" i="278" s="1"/>
  <c r="AH454" i="278" s="1"/>
  <c r="AI454" i="278" s="1"/>
  <c r="BB454" i="278" s="1"/>
  <c r="AE500" i="278"/>
  <c r="AF500" i="278" s="1"/>
  <c r="AH500" i="278" s="1"/>
  <c r="AI500" i="278" s="1"/>
  <c r="BB500" i="278" s="1"/>
  <c r="AF493" i="278"/>
  <c r="AC493" i="278"/>
  <c r="AG430" i="278"/>
  <c r="AD454" i="278"/>
  <c r="AG473" i="278"/>
  <c r="AD464" i="278"/>
  <c r="AB475" i="278"/>
  <c r="AC475" i="278"/>
  <c r="AD475" i="278"/>
  <c r="AE490" i="278"/>
  <c r="AF490" i="278" s="1"/>
  <c r="AD459" i="278"/>
  <c r="AG464" i="278"/>
  <c r="AB424" i="278"/>
  <c r="AB459" i="278"/>
  <c r="AB445" i="278"/>
  <c r="AE445" i="278" s="1"/>
  <c r="AF445" i="278" s="1"/>
  <c r="AB435" i="278"/>
  <c r="AC459" i="278"/>
  <c r="AC430" i="278"/>
  <c r="AC435" i="278"/>
  <c r="AD438" i="278"/>
  <c r="AG438" i="278"/>
  <c r="AB425" i="278"/>
  <c r="AF425" i="278" s="1"/>
  <c r="AC425" i="278"/>
  <c r="AB419" i="278"/>
  <c r="AD445" i="278"/>
  <c r="AB409" i="278"/>
  <c r="AE409" i="278" s="1"/>
  <c r="AF409" i="278" s="1"/>
  <c r="AD425" i="278"/>
  <c r="AG445" i="278"/>
  <c r="AC424" i="278"/>
  <c r="AG435" i="278"/>
  <c r="AD424" i="278"/>
  <c r="AB414" i="278"/>
  <c r="AC389" i="278"/>
  <c r="AE389" i="278" s="1"/>
  <c r="AF389" i="278" s="1"/>
  <c r="AD409" i="278"/>
  <c r="AD419" i="278"/>
  <c r="AG399" i="278"/>
  <c r="AB399" i="278"/>
  <c r="AC419" i="278"/>
  <c r="AG409" i="278"/>
  <c r="AC384" i="278"/>
  <c r="AB354" i="278"/>
  <c r="AG394" i="278"/>
  <c r="AC399" i="278"/>
  <c r="AG404" i="278"/>
  <c r="AB404" i="278"/>
  <c r="AE404" i="278" s="1"/>
  <c r="AD379" i="278"/>
  <c r="AD404" i="278"/>
  <c r="AB379" i="278"/>
  <c r="AB384" i="278"/>
  <c r="AG384" i="278"/>
  <c r="AG414" i="278"/>
  <c r="AC379" i="278"/>
  <c r="AC414" i="278"/>
  <c r="AB374" i="278"/>
  <c r="AD394" i="278"/>
  <c r="AC394" i="278"/>
  <c r="AE394" i="278" s="1"/>
  <c r="AF394" i="278" s="1"/>
  <c r="AB364" i="278"/>
  <c r="AB369" i="278"/>
  <c r="AG389" i="278"/>
  <c r="AG374" i="278"/>
  <c r="AD389" i="278"/>
  <c r="AG364" i="278"/>
  <c r="AB349" i="278"/>
  <c r="AE349" i="278" s="1"/>
  <c r="AF349" i="278" s="1"/>
  <c r="AC374" i="278"/>
  <c r="AD349" i="278"/>
  <c r="AC364" i="278"/>
  <c r="AB344" i="278"/>
  <c r="AB294" i="278"/>
  <c r="AE294" i="278" s="1"/>
  <c r="AF294" i="278" s="1"/>
  <c r="AG349" i="278"/>
  <c r="AC369" i="278"/>
  <c r="AD369" i="278"/>
  <c r="AB355" i="278"/>
  <c r="AF355" i="278" s="1"/>
  <c r="AG354" i="278"/>
  <c r="AC354" i="278"/>
  <c r="AB325" i="278"/>
  <c r="AC355" i="278"/>
  <c r="AG355" i="278"/>
  <c r="AG339" i="278"/>
  <c r="AB339" i="278"/>
  <c r="AE339" i="278" s="1"/>
  <c r="AF339" i="278" s="1"/>
  <c r="AB330" i="278"/>
  <c r="AD339" i="278"/>
  <c r="AG344" i="278"/>
  <c r="AC334" i="278"/>
  <c r="AE334" i="278" s="1"/>
  <c r="AF334" i="278" s="1"/>
  <c r="AC344" i="278"/>
  <c r="AB310" i="278"/>
  <c r="AB320" i="278"/>
  <c r="AG334" i="278"/>
  <c r="AD334" i="278"/>
  <c r="AG325" i="278"/>
  <c r="AC325" i="278"/>
  <c r="AB289" i="278"/>
  <c r="AE289" i="278" s="1"/>
  <c r="AB281" i="278"/>
  <c r="AE281" i="278" s="1"/>
  <c r="AF281" i="278" s="1"/>
  <c r="AC310" i="278"/>
  <c r="AD294" i="278"/>
  <c r="AC330" i="278"/>
  <c r="AD330" i="278"/>
  <c r="AD315" i="278"/>
  <c r="AG294" i="278"/>
  <c r="AC315" i="278"/>
  <c r="AE315" i="278" s="1"/>
  <c r="AF315" i="278" s="1"/>
  <c r="AG315" i="278"/>
  <c r="AG320" i="278"/>
  <c r="AC320" i="278"/>
  <c r="AB299" i="278"/>
  <c r="AD310" i="278"/>
  <c r="AB304" i="278"/>
  <c r="AD304" i="278"/>
  <c r="AB283" i="278"/>
  <c r="AB271" i="278"/>
  <c r="AC304" i="278"/>
  <c r="AB276" i="278"/>
  <c r="AG283" i="278"/>
  <c r="AD289" i="278"/>
  <c r="AG289" i="278"/>
  <c r="AC299" i="278"/>
  <c r="AD299" i="278"/>
  <c r="AB266" i="278"/>
  <c r="AG276" i="278"/>
  <c r="AG281" i="278"/>
  <c r="AD281" i="278"/>
  <c r="AB255" i="278"/>
  <c r="AC271" i="278"/>
  <c r="AC283" i="278"/>
  <c r="AG255" i="278"/>
  <c r="AB258" i="278"/>
  <c r="AD271" i="278"/>
  <c r="AD261" i="278"/>
  <c r="AC276" i="278"/>
  <c r="AC255" i="278"/>
  <c r="AC266" i="278"/>
  <c r="AB250" i="278"/>
  <c r="AE250" i="278" s="1"/>
  <c r="AF250" i="278" s="1"/>
  <c r="AB261" i="278"/>
  <c r="AE261" i="278" s="1"/>
  <c r="AF261" i="278" s="1"/>
  <c r="AB245" i="278"/>
  <c r="AG261" i="278"/>
  <c r="AD258" i="278"/>
  <c r="AD266" i="278"/>
  <c r="AB228" i="278"/>
  <c r="AE228" i="278" s="1"/>
  <c r="AF228" i="278" s="1"/>
  <c r="AC245" i="278"/>
  <c r="AC258" i="278"/>
  <c r="AD250" i="278"/>
  <c r="AB234" i="278"/>
  <c r="AF234" i="278" s="1"/>
  <c r="AB233" i="278"/>
  <c r="AD245" i="278"/>
  <c r="AG240" i="278"/>
  <c r="AG250" i="278"/>
  <c r="AB240" i="278"/>
  <c r="AE240" i="278" s="1"/>
  <c r="AF240" i="278" s="1"/>
  <c r="AC234" i="278"/>
  <c r="AD240" i="278"/>
  <c r="AD234" i="278"/>
  <c r="AG223" i="278"/>
  <c r="AB223" i="278"/>
  <c r="AD237" i="278"/>
  <c r="AG233" i="278"/>
  <c r="AG228" i="278"/>
  <c r="AD228" i="278"/>
  <c r="AC233" i="278"/>
  <c r="AC218" i="278"/>
  <c r="AE218" i="278" s="1"/>
  <c r="AF218" i="278" s="1"/>
  <c r="AC237" i="278"/>
  <c r="AE237" i="278" s="1"/>
  <c r="AG237" i="278"/>
  <c r="AG218" i="278"/>
  <c r="AC223" i="278"/>
  <c r="AB208" i="278"/>
  <c r="AB213" i="278"/>
  <c r="AD218" i="278"/>
  <c r="AB186" i="278"/>
  <c r="AE186" i="278" s="1"/>
  <c r="AF186" i="278" s="1"/>
  <c r="AC213" i="278"/>
  <c r="AD213" i="278"/>
  <c r="AC208" i="278"/>
  <c r="AG198" i="278"/>
  <c r="AB203" i="278"/>
  <c r="AD208" i="278"/>
  <c r="AB198" i="278"/>
  <c r="AC198" i="278"/>
  <c r="AB181" i="278"/>
  <c r="AE181" i="278" s="1"/>
  <c r="AF181" i="278" s="1"/>
  <c r="AC191" i="278"/>
  <c r="AE191" i="278" s="1"/>
  <c r="AF191" i="278" s="1"/>
  <c r="AC203" i="278"/>
  <c r="AD203" i="278"/>
  <c r="AD186" i="278"/>
  <c r="AB161" i="278"/>
  <c r="AE161" i="278" s="1"/>
  <c r="AB171" i="278"/>
  <c r="AG191" i="278"/>
  <c r="AB176" i="278"/>
  <c r="AD191" i="278"/>
  <c r="AG186" i="278"/>
  <c r="AD181" i="278"/>
  <c r="AC171" i="278"/>
  <c r="AG181" i="278"/>
  <c r="AG171" i="278"/>
  <c r="AC176" i="278"/>
  <c r="AG161" i="278"/>
  <c r="AD161" i="278"/>
  <c r="AD176" i="278"/>
  <c r="AC164" i="278"/>
  <c r="AE164" i="278" s="1"/>
  <c r="AF164" i="278" s="1"/>
  <c r="AB140" i="278"/>
  <c r="AB115" i="278"/>
  <c r="AG164" i="278"/>
  <c r="AB120" i="278"/>
  <c r="AD164" i="278"/>
  <c r="AB150" i="278"/>
  <c r="AE150" i="278" s="1"/>
  <c r="AF150" i="278" s="1"/>
  <c r="AC156" i="278"/>
  <c r="AE156" i="278" s="1"/>
  <c r="AF156" i="278" s="1"/>
  <c r="AB130" i="278"/>
  <c r="AE130" i="278" s="1"/>
  <c r="AF130" i="278" s="1"/>
  <c r="AB145" i="278"/>
  <c r="AG156" i="278"/>
  <c r="AD156" i="278"/>
  <c r="AB153" i="278"/>
  <c r="AE153" i="278" s="1"/>
  <c r="AF153" i="278" s="1"/>
  <c r="AD153" i="278"/>
  <c r="AB135" i="278"/>
  <c r="AC145" i="278"/>
  <c r="AG153" i="278"/>
  <c r="AD145" i="278"/>
  <c r="AG150" i="278"/>
  <c r="AG140" i="278"/>
  <c r="AD150" i="278"/>
  <c r="AC140" i="278"/>
  <c r="AG125" i="278"/>
  <c r="AB125" i="278"/>
  <c r="AC125" i="278"/>
  <c r="AD120" i="278"/>
  <c r="AD130" i="278"/>
  <c r="AC135" i="278"/>
  <c r="AD135" i="278"/>
  <c r="AC120" i="278"/>
  <c r="AG130" i="278"/>
  <c r="AB95" i="278"/>
  <c r="AB60" i="278"/>
  <c r="AB70" i="278"/>
  <c r="AB85" i="278"/>
  <c r="AE85" i="278" s="1"/>
  <c r="AF85" i="278" s="1"/>
  <c r="AC105" i="278"/>
  <c r="AE105" i="278" s="1"/>
  <c r="AF105" i="278" s="1"/>
  <c r="AG95" i="278"/>
  <c r="AC115" i="278"/>
  <c r="AD115" i="278"/>
  <c r="AD110" i="278"/>
  <c r="AC95" i="278"/>
  <c r="AC110" i="278"/>
  <c r="AE110" i="278" s="1"/>
  <c r="AF110" i="278" s="1"/>
  <c r="AG110" i="278"/>
  <c r="AG100" i="278"/>
  <c r="AB55" i="278"/>
  <c r="AE55" i="278" s="1"/>
  <c r="AF55" i="278" s="1"/>
  <c r="AD100" i="278"/>
  <c r="AB90" i="278"/>
  <c r="AE90" i="278" s="1"/>
  <c r="AF90" i="278" s="1"/>
  <c r="AC100" i="278"/>
  <c r="AE100" i="278" s="1"/>
  <c r="AF100" i="278" s="1"/>
  <c r="AG105" i="278"/>
  <c r="AD105" i="278"/>
  <c r="AD85" i="278"/>
  <c r="AG90" i="278"/>
  <c r="AD90" i="278"/>
  <c r="AB39" i="278"/>
  <c r="AC70" i="278"/>
  <c r="AG85" i="278"/>
  <c r="AC80" i="278"/>
  <c r="AD70" i="278"/>
  <c r="AB7" i="278"/>
  <c r="AF7" i="278" s="1"/>
  <c r="AC60" i="278"/>
  <c r="AG60" i="278"/>
  <c r="AB45" i="278"/>
  <c r="AF45" i="278" s="1"/>
  <c r="AD75" i="278"/>
  <c r="AC75" i="278"/>
  <c r="AE75" i="278" s="1"/>
  <c r="AF75" i="278" s="1"/>
  <c r="AB80" i="278"/>
  <c r="AC65" i="278"/>
  <c r="AE65" i="278" s="1"/>
  <c r="AF65" i="278" s="1"/>
  <c r="AG75" i="278"/>
  <c r="AD80" i="278"/>
  <c r="AG65" i="278"/>
  <c r="AB29" i="278"/>
  <c r="AD55" i="278"/>
  <c r="AG55" i="278"/>
  <c r="AD65" i="278"/>
  <c r="AG39" i="278"/>
  <c r="AC29" i="278"/>
  <c r="AD45" i="278"/>
  <c r="AC45" i="278"/>
  <c r="AG29" i="278"/>
  <c r="AB6" i="278"/>
  <c r="AB17" i="278"/>
  <c r="AF17" i="278" s="1"/>
  <c r="AG50" i="278"/>
  <c r="AB50" i="278"/>
  <c r="AC50" i="278"/>
  <c r="AD44" i="278"/>
  <c r="AB44" i="278"/>
  <c r="AB34" i="278"/>
  <c r="AE34" i="278" s="1"/>
  <c r="AF34" i="278" s="1"/>
  <c r="AC39" i="278"/>
  <c r="AC44" i="278"/>
  <c r="AD25" i="278"/>
  <c r="AC25" i="278"/>
  <c r="AE25" i="278" s="1"/>
  <c r="AF25" i="278" s="1"/>
  <c r="AG25" i="278"/>
  <c r="AB13" i="278"/>
  <c r="AF13" i="278" s="1"/>
  <c r="AD34" i="278"/>
  <c r="AG34" i="278"/>
  <c r="AD17" i="278"/>
  <c r="AG17" i="278"/>
  <c r="AC13" i="278"/>
  <c r="AD13" i="278"/>
  <c r="AD7" i="278"/>
  <c r="AG7" i="278"/>
  <c r="AD6" i="278"/>
  <c r="AC6" i="278"/>
  <c r="AF525" i="278" l="1"/>
  <c r="AH525" i="278" s="1"/>
  <c r="AI525" i="278" s="1"/>
  <c r="BB525" i="278" s="1"/>
  <c r="AF520" i="278"/>
  <c r="AH520" i="278" s="1"/>
  <c r="AI520" i="278" s="1"/>
  <c r="BB520" i="278" s="1"/>
  <c r="AD473" i="278"/>
  <c r="AH473" i="278" s="1"/>
  <c r="AI473" i="278" s="1"/>
  <c r="BB473" i="278" s="1"/>
  <c r="AH469" i="278"/>
  <c r="AI469" i="278" s="1"/>
  <c r="BB469" i="278" s="1"/>
  <c r="AE430" i="278"/>
  <c r="AF430" i="278" s="1"/>
  <c r="AE459" i="278"/>
  <c r="AF459" i="278" s="1"/>
  <c r="AH459" i="278" s="1"/>
  <c r="AI459" i="278" s="1"/>
  <c r="BB459" i="278" s="1"/>
  <c r="AE450" i="278"/>
  <c r="AF450" i="278" s="1"/>
  <c r="AH450" i="278" s="1"/>
  <c r="AI450" i="278" s="1"/>
  <c r="BB450" i="278" s="1"/>
  <c r="AH505" i="278"/>
  <c r="AI505" i="278" s="1"/>
  <c r="BB505" i="278" s="1"/>
  <c r="AE384" i="278"/>
  <c r="AF384" i="278" s="1"/>
  <c r="AH384" i="278" s="1"/>
  <c r="AI384" i="278" s="1"/>
  <c r="BB384" i="278" s="1"/>
  <c r="AH464" i="278"/>
  <c r="AI464" i="278" s="1"/>
  <c r="BB464" i="278" s="1"/>
  <c r="AE475" i="278"/>
  <c r="AF475" i="278" s="1"/>
  <c r="AE435" i="278"/>
  <c r="AF435" i="278" s="1"/>
  <c r="AH435" i="278" s="1"/>
  <c r="AI435" i="278" s="1"/>
  <c r="BB435" i="278" s="1"/>
  <c r="AH490" i="278"/>
  <c r="AI490" i="278" s="1"/>
  <c r="BB490" i="278" s="1"/>
  <c r="AH445" i="278"/>
  <c r="AI445" i="278" s="1"/>
  <c r="BB445" i="278" s="1"/>
  <c r="AE424" i="278"/>
  <c r="AF424" i="278" s="1"/>
  <c r="AH483" i="278"/>
  <c r="AI483" i="278" s="1"/>
  <c r="BB483" i="278" s="1"/>
  <c r="AH480" i="278"/>
  <c r="AI480" i="278" s="1"/>
  <c r="BB480" i="278" s="1"/>
  <c r="AE419" i="278"/>
  <c r="AF419" i="278" s="1"/>
  <c r="AH419" i="278" s="1"/>
  <c r="AI419" i="278" s="1"/>
  <c r="BB419" i="278" s="1"/>
  <c r="AH425" i="278"/>
  <c r="AI425" i="278" s="1"/>
  <c r="BB425" i="278" s="1"/>
  <c r="AH409" i="278"/>
  <c r="AI409" i="278" s="1"/>
  <c r="BB409" i="278" s="1"/>
  <c r="AE414" i="278"/>
  <c r="AF414" i="278" s="1"/>
  <c r="AH414" i="278" s="1"/>
  <c r="AI414" i="278" s="1"/>
  <c r="BB414" i="278" s="1"/>
  <c r="AH438" i="278"/>
  <c r="AI438" i="278" s="1"/>
  <c r="BB438" i="278" s="1"/>
  <c r="AE399" i="278"/>
  <c r="AF399" i="278" s="1"/>
  <c r="AH399" i="278" s="1"/>
  <c r="AI399" i="278" s="1"/>
  <c r="BB399" i="278" s="1"/>
  <c r="AE354" i="278"/>
  <c r="AF354" i="278" s="1"/>
  <c r="AE379" i="278"/>
  <c r="AF379" i="278" s="1"/>
  <c r="AH394" i="278"/>
  <c r="AI394" i="278" s="1"/>
  <c r="BB394" i="278" s="1"/>
  <c r="AE374" i="278"/>
  <c r="AF374" i="278" s="1"/>
  <c r="AE364" i="278"/>
  <c r="AF364" i="278" s="1"/>
  <c r="AH364" i="278" s="1"/>
  <c r="AI364" i="278" s="1"/>
  <c r="BB364" i="278" s="1"/>
  <c r="AE369" i="278"/>
  <c r="AF369" i="278" s="1"/>
  <c r="AH349" i="278"/>
  <c r="AI349" i="278" s="1"/>
  <c r="BB349" i="278" s="1"/>
  <c r="AH389" i="278"/>
  <c r="AI389" i="278" s="1"/>
  <c r="BB389" i="278" s="1"/>
  <c r="AF404" i="278"/>
  <c r="AH404" i="278" s="1"/>
  <c r="AI404" i="278" s="1"/>
  <c r="BB404" i="278" s="1"/>
  <c r="AE325" i="278"/>
  <c r="AF325" i="278" s="1"/>
  <c r="AE344" i="278"/>
  <c r="AF344" i="278" s="1"/>
  <c r="AH355" i="278"/>
  <c r="AI355" i="278" s="1"/>
  <c r="BB355" i="278" s="1"/>
  <c r="AE304" i="278"/>
  <c r="AF304" i="278" s="1"/>
  <c r="AH339" i="278"/>
  <c r="AI339" i="278" s="1"/>
  <c r="BB339" i="278" s="1"/>
  <c r="AE330" i="278"/>
  <c r="AF330" i="278" s="1"/>
  <c r="AE310" i="278"/>
  <c r="AF310" i="278" s="1"/>
  <c r="AH310" i="278" s="1"/>
  <c r="AI310" i="278" s="1"/>
  <c r="BB310" i="278" s="1"/>
  <c r="AE320" i="278"/>
  <c r="AF320" i="278" s="1"/>
  <c r="AH320" i="278" s="1"/>
  <c r="AI320" i="278" s="1"/>
  <c r="BB320" i="278" s="1"/>
  <c r="AH334" i="278"/>
  <c r="AI334" i="278" s="1"/>
  <c r="BB334" i="278" s="1"/>
  <c r="AE271" i="278"/>
  <c r="AF271" i="278" s="1"/>
  <c r="AH271" i="278" s="1"/>
  <c r="AI271" i="278" s="1"/>
  <c r="BB271" i="278" s="1"/>
  <c r="AH261" i="278"/>
  <c r="AI261" i="278" s="1"/>
  <c r="BB261" i="278" s="1"/>
  <c r="AE255" i="278"/>
  <c r="AF255" i="278" s="1"/>
  <c r="AH255" i="278" s="1"/>
  <c r="AI255" i="278" s="1"/>
  <c r="BB255" i="278" s="1"/>
  <c r="AE299" i="278"/>
  <c r="AF299" i="278" s="1"/>
  <c r="AE266" i="278"/>
  <c r="AF266" i="278" s="1"/>
  <c r="AE283" i="278"/>
  <c r="AF283" i="278" s="1"/>
  <c r="AH315" i="278"/>
  <c r="AI315" i="278" s="1"/>
  <c r="BB315" i="278" s="1"/>
  <c r="AE276" i="278"/>
  <c r="AF276" i="278" s="1"/>
  <c r="AH276" i="278" s="1"/>
  <c r="AI276" i="278" s="1"/>
  <c r="BB276" i="278" s="1"/>
  <c r="AH281" i="278"/>
  <c r="AI281" i="278" s="1"/>
  <c r="BB281" i="278" s="1"/>
  <c r="AE258" i="278"/>
  <c r="AF258" i="278" s="1"/>
  <c r="AE245" i="278"/>
  <c r="AF245" i="278" s="1"/>
  <c r="AH294" i="278"/>
  <c r="AI294" i="278" s="1"/>
  <c r="BB294" i="278" s="1"/>
  <c r="AF289" i="278"/>
  <c r="AH289" i="278" s="1"/>
  <c r="AI289" i="278" s="1"/>
  <c r="BB289" i="278" s="1"/>
  <c r="AH250" i="278"/>
  <c r="AI250" i="278" s="1"/>
  <c r="BB250" i="278" s="1"/>
  <c r="AE233" i="278"/>
  <c r="AF233" i="278" s="1"/>
  <c r="AH233" i="278" s="1"/>
  <c r="AI233" i="278" s="1"/>
  <c r="BB233" i="278" s="1"/>
  <c r="AH234" i="278"/>
  <c r="AI234" i="278" s="1"/>
  <c r="BB234" i="278" s="1"/>
  <c r="AE198" i="278"/>
  <c r="AF198" i="278" s="1"/>
  <c r="AH198" i="278" s="1"/>
  <c r="AI198" i="278" s="1"/>
  <c r="BB198" i="278" s="1"/>
  <c r="AE223" i="278"/>
  <c r="AF223" i="278" s="1"/>
  <c r="AH223" i="278" s="1"/>
  <c r="AI223" i="278" s="1"/>
  <c r="BB223" i="278" s="1"/>
  <c r="AH228" i="278"/>
  <c r="AI228" i="278" s="1"/>
  <c r="BB228" i="278" s="1"/>
  <c r="AH218" i="278"/>
  <c r="AI218" i="278" s="1"/>
  <c r="BB218" i="278" s="1"/>
  <c r="AF237" i="278"/>
  <c r="AH237" i="278" s="1"/>
  <c r="AI237" i="278" s="1"/>
  <c r="BB237" i="278" s="1"/>
  <c r="AE208" i="278"/>
  <c r="AF208" i="278" s="1"/>
  <c r="AH240" i="278"/>
  <c r="AI240" i="278" s="1"/>
  <c r="BB240" i="278" s="1"/>
  <c r="AE213" i="278"/>
  <c r="AF213" i="278" s="1"/>
  <c r="AH213" i="278" s="1"/>
  <c r="AI213" i="278" s="1"/>
  <c r="BB213" i="278" s="1"/>
  <c r="AE203" i="278"/>
  <c r="AF203" i="278" s="1"/>
  <c r="AH203" i="278" s="1"/>
  <c r="AI203" i="278" s="1"/>
  <c r="BB203" i="278" s="1"/>
  <c r="AH164" i="278"/>
  <c r="AI164" i="278" s="1"/>
  <c r="BB164" i="278" s="1"/>
  <c r="AH191" i="278"/>
  <c r="AI191" i="278" s="1"/>
  <c r="BB191" i="278" s="1"/>
  <c r="AH181" i="278"/>
  <c r="AI181" i="278" s="1"/>
  <c r="BB181" i="278" s="1"/>
  <c r="AE171" i="278"/>
  <c r="AF171" i="278" s="1"/>
  <c r="AH171" i="278" s="1"/>
  <c r="AI171" i="278" s="1"/>
  <c r="BB171" i="278" s="1"/>
  <c r="AH186" i="278"/>
  <c r="AI186" i="278" s="1"/>
  <c r="BB186" i="278" s="1"/>
  <c r="AE176" i="278"/>
  <c r="AF176" i="278" s="1"/>
  <c r="AH176" i="278" s="1"/>
  <c r="AI176" i="278" s="1"/>
  <c r="BB176" i="278" s="1"/>
  <c r="AE125" i="278"/>
  <c r="AF125" i="278" s="1"/>
  <c r="AE140" i="278"/>
  <c r="AF140" i="278" s="1"/>
  <c r="AE115" i="278"/>
  <c r="AF115" i="278" s="1"/>
  <c r="AE120" i="278"/>
  <c r="AF120" i="278" s="1"/>
  <c r="AE145" i="278"/>
  <c r="AF145" i="278" s="1"/>
  <c r="AH145" i="278" s="1"/>
  <c r="AI145" i="278" s="1"/>
  <c r="BB145" i="278" s="1"/>
  <c r="AE29" i="278"/>
  <c r="AF29" i="278" s="1"/>
  <c r="AH29" i="278" s="1"/>
  <c r="AI29" i="278" s="1"/>
  <c r="BB29" i="278" s="1"/>
  <c r="AH156" i="278"/>
  <c r="AI156" i="278" s="1"/>
  <c r="BB156" i="278" s="1"/>
  <c r="AE135" i="278"/>
  <c r="AF135" i="278" s="1"/>
  <c r="AH150" i="278"/>
  <c r="AI150" i="278" s="1"/>
  <c r="BB150" i="278" s="1"/>
  <c r="AH130" i="278"/>
  <c r="AI130" i="278" s="1"/>
  <c r="BB130" i="278" s="1"/>
  <c r="AF161" i="278"/>
  <c r="AH161" i="278" s="1"/>
  <c r="AI161" i="278" s="1"/>
  <c r="BB161" i="278" s="1"/>
  <c r="AH153" i="278"/>
  <c r="AI153" i="278" s="1"/>
  <c r="BB153" i="278" s="1"/>
  <c r="AE95" i="278"/>
  <c r="AF95" i="278" s="1"/>
  <c r="AH95" i="278" s="1"/>
  <c r="AI95" i="278" s="1"/>
  <c r="BB95" i="278" s="1"/>
  <c r="AE60" i="278"/>
  <c r="AF60" i="278" s="1"/>
  <c r="AE70" i="278"/>
  <c r="AF70" i="278" s="1"/>
  <c r="AH110" i="278"/>
  <c r="AI110" i="278" s="1"/>
  <c r="BB110" i="278" s="1"/>
  <c r="AE80" i="278"/>
  <c r="AF80" i="278" s="1"/>
  <c r="AH105" i="278"/>
  <c r="AI105" i="278" s="1"/>
  <c r="BB105" i="278" s="1"/>
  <c r="AH100" i="278"/>
  <c r="AI100" i="278" s="1"/>
  <c r="BB100" i="278" s="1"/>
  <c r="AH90" i="278"/>
  <c r="AI90" i="278" s="1"/>
  <c r="BB90" i="278" s="1"/>
  <c r="AE39" i="278"/>
  <c r="AF39" i="278" s="1"/>
  <c r="AH75" i="278"/>
  <c r="AI75" i="278" s="1"/>
  <c r="BB75" i="278" s="1"/>
  <c r="AH55" i="278"/>
  <c r="AI55" i="278" s="1"/>
  <c r="BB55" i="278" s="1"/>
  <c r="AH65" i="278"/>
  <c r="AI65" i="278" s="1"/>
  <c r="BB65" i="278" s="1"/>
  <c r="AH85" i="278"/>
  <c r="AI85" i="278" s="1"/>
  <c r="BB85" i="278" s="1"/>
  <c r="AH45" i="278"/>
  <c r="AI45" i="278" s="1"/>
  <c r="BB45" i="278" s="1"/>
  <c r="AE6" i="278"/>
  <c r="AF6" i="278" s="1"/>
  <c r="AE50" i="278"/>
  <c r="AF50" i="278" s="1"/>
  <c r="AH50" i="278" s="1"/>
  <c r="AI50" i="278" s="1"/>
  <c r="BB50" i="278" s="1"/>
  <c r="AE44" i="278"/>
  <c r="AF44" i="278" s="1"/>
  <c r="AH34" i="278"/>
  <c r="AI34" i="278" s="1"/>
  <c r="BB34" i="278" s="1"/>
  <c r="AH25" i="278"/>
  <c r="AI25" i="278" s="1"/>
  <c r="BB25" i="278" s="1"/>
  <c r="AH17" i="278"/>
  <c r="AI17" i="278" s="1"/>
  <c r="BB17" i="278" s="1"/>
  <c r="AH13" i="278"/>
  <c r="AI13" i="278" s="1"/>
  <c r="BB13" i="278" s="1"/>
  <c r="AH7" i="278"/>
  <c r="AI7" i="278" s="1"/>
  <c r="BB7" i="278" s="1"/>
  <c r="AH430" i="278" l="1"/>
  <c r="AI430" i="278" s="1"/>
  <c r="BB430" i="278" s="1"/>
  <c r="AH475" i="278"/>
  <c r="AI475" i="278" s="1"/>
  <c r="BB475" i="278" s="1"/>
  <c r="AH424" i="278"/>
  <c r="AI424" i="278" s="1"/>
  <c r="BB424" i="278" s="1"/>
  <c r="AH354" i="278"/>
  <c r="AI354" i="278" s="1"/>
  <c r="BB354" i="278" s="1"/>
  <c r="AH379" i="278"/>
  <c r="AI379" i="278" s="1"/>
  <c r="BB379" i="278" s="1"/>
  <c r="AH374" i="278"/>
  <c r="AI374" i="278" s="1"/>
  <c r="BB374" i="278" s="1"/>
  <c r="AH369" i="278"/>
  <c r="AI369" i="278" s="1"/>
  <c r="BB369" i="278" s="1"/>
  <c r="AH344" i="278"/>
  <c r="AI344" i="278" s="1"/>
  <c r="BB344" i="278" s="1"/>
  <c r="AH325" i="278"/>
  <c r="AI325" i="278" s="1"/>
  <c r="BB325" i="278" s="1"/>
  <c r="AH304" i="278"/>
  <c r="AI304" i="278" s="1"/>
  <c r="BB304" i="278" s="1"/>
  <c r="AH330" i="278"/>
  <c r="AI330" i="278" s="1"/>
  <c r="BB330" i="278" s="1"/>
  <c r="AH299" i="278"/>
  <c r="AI299" i="278" s="1"/>
  <c r="BB299" i="278" s="1"/>
  <c r="AH283" i="278"/>
  <c r="AI283" i="278" s="1"/>
  <c r="BB283" i="278" s="1"/>
  <c r="AH266" i="278"/>
  <c r="AI266" i="278" s="1"/>
  <c r="BB266" i="278" s="1"/>
  <c r="AH258" i="278"/>
  <c r="AI258" i="278" s="1"/>
  <c r="BB258" i="278" s="1"/>
  <c r="AH245" i="278"/>
  <c r="AI245" i="278" s="1"/>
  <c r="BB245" i="278" s="1"/>
  <c r="AH208" i="278"/>
  <c r="AI208" i="278" s="1"/>
  <c r="BB208" i="278" s="1"/>
  <c r="AH115" i="278"/>
  <c r="AI115" i="278" s="1"/>
  <c r="BB115" i="278" s="1"/>
  <c r="AH120" i="278"/>
  <c r="AI120" i="278" s="1"/>
  <c r="BB120" i="278" s="1"/>
  <c r="AH125" i="278"/>
  <c r="AI125" i="278" s="1"/>
  <c r="BB125" i="278" s="1"/>
  <c r="AH140" i="278"/>
  <c r="AI140" i="278" s="1"/>
  <c r="BB140" i="278" s="1"/>
  <c r="AH135" i="278"/>
  <c r="AI135" i="278" s="1"/>
  <c r="BB135" i="278" s="1"/>
  <c r="AH60" i="278"/>
  <c r="AI60" i="278" s="1"/>
  <c r="BB60" i="278" s="1"/>
  <c r="AH70" i="278"/>
  <c r="AI70" i="278" s="1"/>
  <c r="BB70" i="278" s="1"/>
  <c r="AH80" i="278"/>
  <c r="AI80" i="278" s="1"/>
  <c r="BB80" i="278" s="1"/>
  <c r="AH39" i="278"/>
  <c r="AI39" i="278" s="1"/>
  <c r="BB39" i="278" s="1"/>
  <c r="AH6" i="278"/>
  <c r="AI6" i="278" s="1"/>
  <c r="BB6" i="278" s="1"/>
  <c r="AH44" i="278"/>
  <c r="AI44" i="278" s="1"/>
  <c r="BB44" i="278" s="1"/>
</calcChain>
</file>

<file path=xl/sharedStrings.xml><?xml version="1.0" encoding="utf-8"?>
<sst xmlns="http://schemas.openxmlformats.org/spreadsheetml/2006/main" count="26247" uniqueCount="11778">
  <si>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</si>
  <si>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</si>
  <si>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</si>
  <si>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</si>
  <si>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</si>
  <si>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</si>
  <si>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</si>
  <si>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</si>
  <si>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</si>
  <si>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</si>
  <si>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</si>
  <si>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</si>
  <si>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</si>
  <si>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</si>
  <si>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</si>
  <si>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</si>
  <si>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</si>
  <si>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</si>
  <si>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</si>
  <si>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</si>
  <si>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</si>
  <si>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</si>
  <si>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</si>
  <si>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</si>
  <si>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</si>
  <si>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</si>
  <si>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</si>
  <si>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</si>
  <si>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</si>
  <si>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</si>
  <si>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</si>
  <si>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</si>
  <si>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</si>
  <si>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</si>
  <si>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</si>
  <si>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</si>
  <si>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</si>
  <si>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</si>
  <si>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</si>
  <si>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</si>
  <si>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</si>
  <si>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</si>
  <si>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</si>
  <si>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</si>
  <si>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</si>
  <si>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</si>
  <si>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</si>
  <si>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</si>
  <si>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</si>
  <si>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</si>
  <si>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</si>
  <si>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</si>
  <si>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</si>
  <si>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</si>
  <si>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</si>
  <si>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</si>
  <si>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</si>
  <si>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</si>
  <si>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</si>
  <si>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</si>
  <si>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</si>
  <si>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</si>
  <si>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</si>
  <si>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</si>
  <si>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</si>
  <si>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</si>
  <si>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</si>
  <si>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</si>
  <si>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</si>
  <si>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</si>
  <si>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</si>
  <si>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</si>
  <si>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</si>
  <si>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</si>
  <si>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</si>
  <si>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</si>
  <si>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</si>
  <si>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</si>
  <si>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</si>
  <si>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</si>
  <si>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</si>
  <si>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</si>
  <si>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</si>
  <si>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</si>
  <si>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</si>
  <si>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</si>
  <si>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</si>
  <si>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</si>
  <si>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</si>
  <si>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</si>
  <si>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</si>
  <si>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</si>
  <si>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</si>
  <si>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</si>
  <si>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</si>
  <si>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</si>
  <si>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</si>
  <si>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</si>
  <si>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</si>
  <si>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</si>
  <si>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</si>
  <si>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</si>
  <si>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</si>
  <si>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</si>
  <si>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</si>
  <si>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</si>
  <si>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</si>
  <si>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</si>
  <si>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</si>
  <si>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</si>
  <si>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</si>
  <si>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</si>
  <si>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</si>
  <si>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</si>
  <si>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</si>
  <si>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</si>
  <si>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</si>
  <si>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</si>
  <si>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</si>
  <si>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</si>
  <si>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</si>
  <si>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</si>
  <si>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</si>
  <si>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</si>
  <si>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</si>
  <si>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</si>
  <si>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</si>
  <si>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</si>
  <si>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</si>
  <si>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</si>
  <si>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</si>
  <si>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</si>
  <si>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</si>
  <si>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</si>
  <si>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</si>
  <si>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</si>
  <si>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</si>
  <si>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</si>
  <si>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</si>
  <si>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</si>
  <si>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</si>
  <si>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</si>
  <si>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</si>
  <si>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</si>
  <si>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</si>
  <si>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</si>
  <si>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</si>
  <si>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</si>
  <si>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</si>
  <si>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</si>
  <si>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</si>
  <si>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</si>
  <si>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</si>
  <si>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</si>
  <si>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</si>
  <si>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</si>
  <si>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</si>
  <si>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</si>
  <si>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</si>
  <si>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</si>
  <si>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</si>
  <si>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</si>
  <si>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</si>
  <si>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</si>
  <si>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</si>
  <si>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</si>
  <si>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</si>
  <si>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</si>
  <si>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</si>
  <si>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</si>
  <si>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</si>
  <si>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</si>
  <si>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</si>
  <si>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</si>
  <si>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</si>
  <si>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</si>
  <si>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</si>
  <si>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</si>
  <si>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</si>
  <si>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</si>
  <si>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</si>
  <si>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</si>
  <si>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</si>
  <si>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</si>
  <si>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</si>
  <si>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</si>
  <si>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</si>
  <si>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</si>
  <si>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</si>
  <si>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</si>
  <si>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</si>
  <si>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</si>
  <si>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</si>
  <si>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</si>
  <si>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</si>
  <si>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</si>
  <si>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</si>
  <si>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</si>
  <si>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</si>
  <si>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</si>
  <si>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</si>
  <si>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</si>
  <si>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</si>
  <si>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</si>
  <si>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</si>
  <si>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</si>
  <si>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</si>
  <si>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</si>
  <si>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</si>
  <si>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</si>
  <si>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</si>
  <si>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</si>
  <si>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</si>
  <si>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</si>
  <si>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</si>
  <si>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</si>
  <si>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</si>
  <si>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</si>
  <si>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</si>
  <si>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</si>
  <si>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</si>
  <si>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</si>
  <si>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</si>
  <si>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</si>
  <si>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</si>
  <si>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</si>
  <si>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</si>
  <si>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</si>
  <si>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</si>
  <si>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</si>
  <si>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</si>
  <si>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</si>
  <si>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</si>
  <si>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</si>
  <si>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</si>
  <si>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</si>
  <si>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</si>
  <si>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</si>
  <si>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</si>
  <si>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</si>
  <si>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</si>
  <si>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</si>
  <si>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</si>
  <si>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</si>
  <si>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</si>
  <si>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</si>
  <si>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</si>
  <si>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</si>
  <si>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</si>
  <si>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</si>
  <si>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</si>
  <si>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</si>
  <si>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</si>
  <si>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</si>
  <si>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</si>
  <si>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</si>
  <si>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</si>
  <si>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</si>
  <si>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</si>
  <si>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</si>
  <si>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</si>
  <si>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</si>
  <si>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</si>
  <si>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</si>
  <si>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</si>
  <si>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</si>
  <si>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</si>
  <si>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Custo NF</t>
  </si>
  <si>
    <t>IVA Alternativo</t>
  </si>
  <si>
    <t>Multiplicador Custo Real</t>
  </si>
  <si>
    <t>Multiplicador UF Real</t>
  </si>
  <si>
    <t>Custo Real</t>
  </si>
  <si>
    <t>Fator Custo Comercial</t>
  </si>
  <si>
    <t>Fator UF Comercial</t>
  </si>
  <si>
    <t>Custo Comercial</t>
  </si>
  <si>
    <t>IPI %</t>
  </si>
  <si>
    <t>ICMS %</t>
  </si>
  <si>
    <t>PIS COFINS %</t>
  </si>
  <si>
    <t>ICMS ST %</t>
  </si>
  <si>
    <t>Imposto Importação</t>
  </si>
  <si>
    <t>Data desde</t>
  </si>
  <si>
    <t>IPI</t>
  </si>
  <si>
    <t>Red BC ICMS</t>
  </si>
  <si>
    <t>Red BC ICMS ST</t>
  </si>
  <si>
    <t>ICMS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</si>
  <si>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</si>
  <si>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</si>
  <si>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</si>
  <si>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</si>
  <si>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</si>
  <si>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</si>
  <si>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</si>
  <si>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/>
  </si>
  <si>
    <t>HAWA</t>
  </si>
  <si>
    <t>600000000</t>
  </si>
  <si>
    <t>CORR. SUPER HC 5V-1120 GATES</t>
  </si>
  <si>
    <t>X</t>
  </si>
  <si>
    <t>09.01</t>
  </si>
  <si>
    <t>4010.39.00</t>
  </si>
  <si>
    <t>5</t>
  </si>
  <si>
    <t>IN</t>
  </si>
  <si>
    <t>1,00000</t>
  </si>
  <si>
    <t>BRL</t>
  </si>
  <si>
    <t>ZPC2</t>
  </si>
  <si>
    <t>933411201</t>
  </si>
  <si>
    <t>MBRUCH</t>
  </si>
  <si>
    <t>600000001</t>
  </si>
  <si>
    <t>CORR. SUPER HC 5V-1000 GATES</t>
  </si>
  <si>
    <t>933410001</t>
  </si>
  <si>
    <t>600000194</t>
  </si>
  <si>
    <t>CORR. ZS-34 (F-1350) GATES</t>
  </si>
  <si>
    <t>4010.31.00</t>
  </si>
  <si>
    <t>914410340</t>
  </si>
  <si>
    <t>600000204</t>
  </si>
  <si>
    <t>CORR. ZS-40 (F-1410) GATES</t>
  </si>
  <si>
    <t>914410400</t>
  </si>
  <si>
    <t>600000205</t>
  </si>
  <si>
    <t>CORR. ZS-42 (F-1430) GATES</t>
  </si>
  <si>
    <t>914410420</t>
  </si>
  <si>
    <t>4010.32.00</t>
  </si>
  <si>
    <t>600000207</t>
  </si>
  <si>
    <t>CORR. ZS-51 (F-1510) GATES</t>
  </si>
  <si>
    <t>0</t>
  </si>
  <si>
    <t>914410510</t>
  </si>
  <si>
    <t>600000213</t>
  </si>
  <si>
    <t>CORR. ZS-52 (F-1530) GATES</t>
  </si>
  <si>
    <t>914410520</t>
  </si>
  <si>
    <t>600000299</t>
  </si>
  <si>
    <t>CORR. SUPER HC 3V-1060 GATES</t>
  </si>
  <si>
    <t>933210601</t>
  </si>
  <si>
    <t>600000302</t>
  </si>
  <si>
    <t>CORR. SUPER HC 5V-1800 GATES</t>
  </si>
  <si>
    <t>933418001</t>
  </si>
  <si>
    <t>600000329</t>
  </si>
  <si>
    <t>CORR. SUPER HC 8V-2240 GATES</t>
  </si>
  <si>
    <t>933622401</t>
  </si>
  <si>
    <t>600000876</t>
  </si>
  <si>
    <t>CORR. SHC 3VX-430 SPZ1080 DENT GATES</t>
  </si>
  <si>
    <t>941204309</t>
  </si>
  <si>
    <t>600000907</t>
  </si>
  <si>
    <t>CORR. HI-POWER II B-300 GATES</t>
  </si>
  <si>
    <t>900313000</t>
  </si>
  <si>
    <t>600000908</t>
  </si>
  <si>
    <t>CORR. HI-POWER II B-315 GATES</t>
  </si>
  <si>
    <t>900313150</t>
  </si>
  <si>
    <t>600000909</t>
  </si>
  <si>
    <t>CORR. HI-POWER II B-360 GATES</t>
  </si>
  <si>
    <t>900313600</t>
  </si>
  <si>
    <t>600001005</t>
  </si>
  <si>
    <t>CORR. HI-POWER II C-158 GATES</t>
  </si>
  <si>
    <t>900411580</t>
  </si>
  <si>
    <t>600001006</t>
  </si>
  <si>
    <t>CORR. HI-POWER II C-173 GATES</t>
  </si>
  <si>
    <t>900411730</t>
  </si>
  <si>
    <t>600001008</t>
  </si>
  <si>
    <t>CORR. HI-POWER MN BXS-65 GATES</t>
  </si>
  <si>
    <t>914110650</t>
  </si>
  <si>
    <t>600001009</t>
  </si>
  <si>
    <t>CORR. HI-POWER MN BXS-67 GATES</t>
  </si>
  <si>
    <t>914110670</t>
  </si>
  <si>
    <t>600001017</t>
  </si>
  <si>
    <t>CORR. HI-POWER II C-183 GATES</t>
  </si>
  <si>
    <t>900411830</t>
  </si>
  <si>
    <t>600001027</t>
  </si>
  <si>
    <t>CORR. SHC 3VX-585 SPZ1475 DENT GATES</t>
  </si>
  <si>
    <t>941205859</t>
  </si>
  <si>
    <t>600001028</t>
  </si>
  <si>
    <t>CORR. SHC 3VX-710 XPZ1800 DENT GATES</t>
  </si>
  <si>
    <t>4010.34.00</t>
  </si>
  <si>
    <t>941207109</t>
  </si>
  <si>
    <t>600001031</t>
  </si>
  <si>
    <t>CORR. HI-POWER MN BXS-74 GATES</t>
  </si>
  <si>
    <t>914110740</t>
  </si>
  <si>
    <t>600001039</t>
  </si>
  <si>
    <t>CORR. SHC 3VX-765 SPZ1930 DENT GATES</t>
  </si>
  <si>
    <t>4010.33.00</t>
  </si>
  <si>
    <t>941207659</t>
  </si>
  <si>
    <t>600001041</t>
  </si>
  <si>
    <t>CORR. SHC 5VX-470 SPB1172 DENT GATES</t>
  </si>
  <si>
    <t>941404709</t>
  </si>
  <si>
    <t>600001042</t>
  </si>
  <si>
    <t>CORR. SHC 5VX-500 SPB1250 DENT GATES</t>
  </si>
  <si>
    <t>941405009</t>
  </si>
  <si>
    <t>600001043</t>
  </si>
  <si>
    <t>CORR. HI-POWER MN BXS-75 GATES</t>
  </si>
  <si>
    <t>914110750</t>
  </si>
  <si>
    <t>600001044</t>
  </si>
  <si>
    <t>CORR. HI-POWER MN BXS-84 GATES</t>
  </si>
  <si>
    <t>914110840</t>
  </si>
  <si>
    <t>600001045</t>
  </si>
  <si>
    <t>CORR. HI-POWER MN BXS-91 GATES</t>
  </si>
  <si>
    <t>914110910</t>
  </si>
  <si>
    <t>600001053</t>
  </si>
  <si>
    <t>CORR. HI-POWER MN CXS-100 GATES</t>
  </si>
  <si>
    <t>914211000</t>
  </si>
  <si>
    <t>1110</t>
  </si>
  <si>
    <t>600001054</t>
  </si>
  <si>
    <t>CORR. HI-POWER MN CXS-69 GATES</t>
  </si>
  <si>
    <t>914210690</t>
  </si>
  <si>
    <t>600001062</t>
  </si>
  <si>
    <t>CORR. HI-POWER II C-83 GATES</t>
  </si>
  <si>
    <t>900410830</t>
  </si>
  <si>
    <t>600001069</t>
  </si>
  <si>
    <t>CORR. HI-POWER II C-84 GATES</t>
  </si>
  <si>
    <t>900410840</t>
  </si>
  <si>
    <t>600001070</t>
  </si>
  <si>
    <t>CORR. HI-POWER II C-93 GATES</t>
  </si>
  <si>
    <t>900410930</t>
  </si>
  <si>
    <t>600001071</t>
  </si>
  <si>
    <t>CORR. HI-POWER II C-94 GATES</t>
  </si>
  <si>
    <t>900410940</t>
  </si>
  <si>
    <t>600001072</t>
  </si>
  <si>
    <t>CORR. HI-POWER MN CXS-75 GATES</t>
  </si>
  <si>
    <t>914210750</t>
  </si>
  <si>
    <t>600001073</t>
  </si>
  <si>
    <t>CORR. HI-POWER MN CXS-76 GATES</t>
  </si>
  <si>
    <t>914210760</t>
  </si>
  <si>
    <t>600001084</t>
  </si>
  <si>
    <t>CORR. HI-POWER II D-195 GATES</t>
  </si>
  <si>
    <t>900511950</t>
  </si>
  <si>
    <t>600001092</t>
  </si>
  <si>
    <t>CORR. METRIC POWER XPZ-2500 LW GATES</t>
  </si>
  <si>
    <t>942625009</t>
  </si>
  <si>
    <t>600001121</t>
  </si>
  <si>
    <t>CORR. HI-POWER MN AXS-34 GATES</t>
  </si>
  <si>
    <t>914010340</t>
  </si>
  <si>
    <t>600001122</t>
  </si>
  <si>
    <t>CORR. HI-POWER MN AXS-45 GATES</t>
  </si>
  <si>
    <t>914010450</t>
  </si>
  <si>
    <t>600001132</t>
  </si>
  <si>
    <t>CORR. HI-POWER MN AXS-50 GATES</t>
  </si>
  <si>
    <t>914010500</t>
  </si>
  <si>
    <t>600001133</t>
  </si>
  <si>
    <t>CORR. HI-POWER MN AXS-57 GATES</t>
  </si>
  <si>
    <t>914010570</t>
  </si>
  <si>
    <t>600001134</t>
  </si>
  <si>
    <t>CORR. HI-POWER MN AXS-59 GATES</t>
  </si>
  <si>
    <t>914010590</t>
  </si>
  <si>
    <t>600001135</t>
  </si>
  <si>
    <t>CORR. HI-POWER MN AXS-61 GATES</t>
  </si>
  <si>
    <t>914010610</t>
  </si>
  <si>
    <t>600001139</t>
  </si>
  <si>
    <t>CORR. HI-POWER MN AXS-64 GATES</t>
  </si>
  <si>
    <t>914010640</t>
  </si>
  <si>
    <t>600001140</t>
  </si>
  <si>
    <t>CORR. HI-POWER MN AXS-69 GATES</t>
  </si>
  <si>
    <t>914010690</t>
  </si>
  <si>
    <t>EB</t>
  </si>
  <si>
    <t>600001160</t>
  </si>
  <si>
    <t>CORR. HI-POWER II C-123 GATES</t>
  </si>
  <si>
    <t>900411230</t>
  </si>
  <si>
    <t>600001161</t>
  </si>
  <si>
    <t>CORR. HI-POWER II C-131 GATES</t>
  </si>
  <si>
    <t>900411310</t>
  </si>
  <si>
    <t>600001162</t>
  </si>
  <si>
    <t>CORR. HI-POWER II C-138 GATES</t>
  </si>
  <si>
    <t>900411380</t>
  </si>
  <si>
    <t>600001170</t>
  </si>
  <si>
    <t>CORR. HI-POWER MN BXS-105 GATES</t>
  </si>
  <si>
    <t>914111050</t>
  </si>
  <si>
    <t>600001171</t>
  </si>
  <si>
    <t>CORR. HI-POWER MN BXS-106 GATES</t>
  </si>
  <si>
    <t>914111060</t>
  </si>
  <si>
    <t>600001393</t>
  </si>
  <si>
    <t>CORR. HI-POWER II A-124 GATES</t>
  </si>
  <si>
    <t>900211240</t>
  </si>
  <si>
    <t>600001394</t>
  </si>
  <si>
    <t>CORR. HI-POWER II A-136 GATES</t>
  </si>
  <si>
    <t>900211360</t>
  </si>
  <si>
    <t>600001395</t>
  </si>
  <si>
    <t>CORR. HI-POWER II A-173 GATES</t>
  </si>
  <si>
    <t>900211730</t>
  </si>
  <si>
    <t>600001427</t>
  </si>
  <si>
    <t>CORR. DUPLO V BB-62 GATES</t>
  </si>
  <si>
    <t>905300620</t>
  </si>
  <si>
    <t>600001583</t>
  </si>
  <si>
    <t>CORR. HI-POWER II B-111 GATES</t>
  </si>
  <si>
    <t>900311110</t>
  </si>
  <si>
    <t>600001596</t>
  </si>
  <si>
    <t>CORR. HI-POWER II B-123 GATES</t>
  </si>
  <si>
    <t>900311230</t>
  </si>
  <si>
    <t>600001598</t>
  </si>
  <si>
    <t>CORR. HI-POWER II B-133 GATES</t>
  </si>
  <si>
    <t>900311330</t>
  </si>
  <si>
    <t>600001599</t>
  </si>
  <si>
    <t>CORR. HI-POWER II B-158 GATES</t>
  </si>
  <si>
    <t>900311580</t>
  </si>
  <si>
    <t>600001769</t>
  </si>
  <si>
    <t>CORR. SUPER HC 5V-1250 GATES</t>
  </si>
  <si>
    <t>933412501</t>
  </si>
  <si>
    <t>600001771</t>
  </si>
  <si>
    <t>CORR. SUPER HC 5V-3550 GATES</t>
  </si>
  <si>
    <t>933435501</t>
  </si>
  <si>
    <t>600001784</t>
  </si>
  <si>
    <t>CORR. SUPER HC 8V-1000 GATES</t>
  </si>
  <si>
    <t>933610001</t>
  </si>
  <si>
    <t>600001826</t>
  </si>
  <si>
    <t>CORR. ZS-23 GATES</t>
  </si>
  <si>
    <t>914410230</t>
  </si>
  <si>
    <t>600001827</t>
  </si>
  <si>
    <t>CORR. ZS-24 GATES</t>
  </si>
  <si>
    <t>914410240</t>
  </si>
  <si>
    <t>600001850</t>
  </si>
  <si>
    <t>CORR. SUPER HC 8V-3000 GATES</t>
  </si>
  <si>
    <t>933630001</t>
  </si>
  <si>
    <t>600002346</t>
  </si>
  <si>
    <t>CORR. SUPER HC 3V-375 BL GATES</t>
  </si>
  <si>
    <t>966240375</t>
  </si>
  <si>
    <t>600002347</t>
  </si>
  <si>
    <t>CORR. SUPER HC 5V-1180 GATES</t>
  </si>
  <si>
    <t>933411801</t>
  </si>
  <si>
    <t>600002360</t>
  </si>
  <si>
    <t>CORR. SUPER HC 8V-1400 GATES</t>
  </si>
  <si>
    <t>933614001</t>
  </si>
  <si>
    <t>600002665</t>
  </si>
  <si>
    <t>CORR. DUPLO V CC-158 GATES</t>
  </si>
  <si>
    <t>905415800</t>
  </si>
  <si>
    <t>600002675</t>
  </si>
  <si>
    <t>CORR. HI-POWER II A-102 GATES</t>
  </si>
  <si>
    <t>900211020</t>
  </si>
  <si>
    <t>600002677</t>
  </si>
  <si>
    <t>CORR. HI-POWER II A-128 GATES</t>
  </si>
  <si>
    <t>900211280</t>
  </si>
  <si>
    <t>600002678</t>
  </si>
  <si>
    <t>CORR. HI-POWER II A-158 GATES</t>
  </si>
  <si>
    <t>900211580</t>
  </si>
  <si>
    <t>600002705</t>
  </si>
  <si>
    <t>CORR. HI-POWER II A-94 GATES</t>
  </si>
  <si>
    <t>900210940</t>
  </si>
  <si>
    <t>600002706</t>
  </si>
  <si>
    <t>CORR. HI-POWER II B-102 GATES</t>
  </si>
  <si>
    <t>900311020</t>
  </si>
  <si>
    <t>600002707</t>
  </si>
  <si>
    <t>CORR. HI-POWER II B-108 GATES</t>
  </si>
  <si>
    <t>900311080</t>
  </si>
  <si>
    <t>600002716</t>
  </si>
  <si>
    <t>CORR. HI-POWER II B-110 GATES</t>
  </si>
  <si>
    <t>900311100</t>
  </si>
  <si>
    <t>600002718</t>
  </si>
  <si>
    <t>CORR. HI-POWER II B-124 GATES</t>
  </si>
  <si>
    <t>900311240</t>
  </si>
  <si>
    <t>600002719</t>
  </si>
  <si>
    <t>CORR. HI-POWER II B-132 GATES</t>
  </si>
  <si>
    <t>900311320</t>
  </si>
  <si>
    <t>600002730</t>
  </si>
  <si>
    <t>CORR. HI-POWER II B-141 GATES</t>
  </si>
  <si>
    <t>900311410</t>
  </si>
  <si>
    <t>600002731</t>
  </si>
  <si>
    <t>CORR. HI-POWER II B-148 GATES</t>
  </si>
  <si>
    <t>900311480</t>
  </si>
  <si>
    <t>600002732</t>
  </si>
  <si>
    <t>CORR. HI-POWER II B-152 GATES</t>
  </si>
  <si>
    <t>900311520</t>
  </si>
  <si>
    <t>600002733</t>
  </si>
  <si>
    <t>CORR. HI-POWER II B-173 GATES</t>
  </si>
  <si>
    <t>900311730</t>
  </si>
  <si>
    <t>600002757</t>
  </si>
  <si>
    <t>CORR. HI-POWER II A-180 GATES</t>
  </si>
  <si>
    <t>900211800</t>
  </si>
  <si>
    <t>600002771</t>
  </si>
  <si>
    <t>CORR. HI-POWER II B-210 GATES</t>
  </si>
  <si>
    <t>900312100</t>
  </si>
  <si>
    <t>600002776</t>
  </si>
  <si>
    <t>CORR. HI-POWER II B-51 GATES</t>
  </si>
  <si>
    <t>900310510</t>
  </si>
  <si>
    <t>600002806</t>
  </si>
  <si>
    <t>CORR. ZS-26 (F-1270) GATES</t>
  </si>
  <si>
    <t>914410260</t>
  </si>
  <si>
    <t>600002807</t>
  </si>
  <si>
    <t>CORR. ZS-29 (F-1300) GATES</t>
  </si>
  <si>
    <t>914410290</t>
  </si>
  <si>
    <t>600002817</t>
  </si>
  <si>
    <t>CORR. ZS-58 GATES</t>
  </si>
  <si>
    <t>914410580</t>
  </si>
  <si>
    <t>600002826</t>
  </si>
  <si>
    <t>CORR. SUPER HC 8V-3550 GATES</t>
  </si>
  <si>
    <t>933635501</t>
  </si>
  <si>
    <t>600002835</t>
  </si>
  <si>
    <t>CORR. HI-POWER II C-114 GATES</t>
  </si>
  <si>
    <t>900411140</t>
  </si>
  <si>
    <t>600002837</t>
  </si>
  <si>
    <t>CORR. HI-POWER II C-128 GATES</t>
  </si>
  <si>
    <t>900411280</t>
  </si>
  <si>
    <t>600002838</t>
  </si>
  <si>
    <t>CORR. HI-POWER II C-142 GATES</t>
  </si>
  <si>
    <t>900411420</t>
  </si>
  <si>
    <t>600002842</t>
  </si>
  <si>
    <t>CORR. HI-POWER II C-82 GATES</t>
  </si>
  <si>
    <t>900410820</t>
  </si>
  <si>
    <t>600002844</t>
  </si>
  <si>
    <t>CORR. HI-POWER II C-147 GATES</t>
  </si>
  <si>
    <t>900411470</t>
  </si>
  <si>
    <t>600002850</t>
  </si>
  <si>
    <t>CORR. HI-POWER II C-90 GATES</t>
  </si>
  <si>
    <t>900410900</t>
  </si>
  <si>
    <t>600002852</t>
  </si>
  <si>
    <t>CORR. HI-POWER II D-162 GATES</t>
  </si>
  <si>
    <t>900511620</t>
  </si>
  <si>
    <t>600002861</t>
  </si>
  <si>
    <t>CORR. HI-POWER II D-210 GATES</t>
  </si>
  <si>
    <t>900512100</t>
  </si>
  <si>
    <t>600002862</t>
  </si>
  <si>
    <t>CORR. HI-POWER II D-250 GATES</t>
  </si>
  <si>
    <t>900512500</t>
  </si>
  <si>
    <t>600002863</t>
  </si>
  <si>
    <t>CORR. HI-POWER II D-480 GATES</t>
  </si>
  <si>
    <t>900514800</t>
  </si>
  <si>
    <t>600002868</t>
  </si>
  <si>
    <t>CORR. HI-POWER II C-154 GATES</t>
  </si>
  <si>
    <t>900411540</t>
  </si>
  <si>
    <t>600002869</t>
  </si>
  <si>
    <t>CORR. HI-POWER II C-180 GATES</t>
  </si>
  <si>
    <t>900411800</t>
  </si>
  <si>
    <t>600002871</t>
  </si>
  <si>
    <t>CORR. HI-POWER II C-270 GATES</t>
  </si>
  <si>
    <t>900412700</t>
  </si>
  <si>
    <t>600002877</t>
  </si>
  <si>
    <t>CORR. HI-POWER MN AXS-37 GATES</t>
  </si>
  <si>
    <t>914010370</t>
  </si>
  <si>
    <t>600002894</t>
  </si>
  <si>
    <t>CORR. SHC 3VX-560 XPZ1420 DENT GATES</t>
  </si>
  <si>
    <t>941205609</t>
  </si>
  <si>
    <t>9017.80.90</t>
  </si>
  <si>
    <t>3926.90.21</t>
  </si>
  <si>
    <t>9031.80.99</t>
  </si>
  <si>
    <t>9031.20.90</t>
  </si>
  <si>
    <t>COD.NCM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</si>
  <si>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</si>
  <si>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</si>
  <si>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</si>
  <si>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</si>
  <si>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</si>
  <si>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</si>
  <si>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</si>
  <si>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</si>
  <si>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</si>
  <si>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</si>
  <si>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</si>
  <si>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</si>
  <si>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</si>
  <si>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</si>
  <si>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</si>
  <si>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</si>
  <si>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</si>
  <si>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</si>
  <si>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</si>
  <si>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</si>
  <si>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</si>
  <si>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</si>
  <si>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</si>
  <si>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</si>
  <si>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</si>
  <si>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</si>
  <si>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</si>
  <si>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</si>
  <si>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</si>
  <si>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</si>
  <si>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</si>
  <si>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</si>
  <si>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</si>
  <si>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</si>
  <si>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</si>
  <si>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</si>
  <si>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</si>
  <si>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</si>
  <si>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</si>
  <si>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</si>
  <si>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</si>
  <si>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</si>
  <si>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</si>
  <si>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</si>
  <si>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</si>
  <si>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</si>
  <si>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</si>
  <si>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</si>
  <si>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</si>
  <si>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</si>
  <si>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</si>
  <si>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</si>
  <si>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</si>
  <si>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</si>
  <si>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</si>
  <si>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</si>
  <si>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</si>
  <si>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</si>
  <si>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</si>
  <si>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</si>
  <si>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</si>
  <si>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</si>
  <si>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</si>
  <si>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</si>
  <si>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</si>
  <si>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</si>
  <si>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</si>
  <si>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</si>
  <si>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</si>
  <si>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</si>
  <si>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</si>
  <si>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</si>
  <si>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</si>
  <si>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</si>
  <si>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</si>
  <si>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</si>
  <si>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</si>
  <si>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</si>
  <si>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</si>
  <si>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</si>
  <si>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</si>
  <si>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</si>
  <si>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</si>
  <si>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</si>
  <si>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</si>
  <si>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</si>
  <si>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</si>
  <si>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</si>
  <si>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</si>
  <si>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</si>
  <si>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</si>
  <si>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</si>
  <si>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</si>
  <si>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</si>
  <si>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</si>
  <si>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</si>
  <si>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</si>
  <si>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</si>
  <si>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</si>
  <si>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</si>
  <si>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</si>
  <si>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</si>
  <si>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</si>
  <si>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</si>
  <si>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</si>
  <si>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</si>
  <si>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</si>
  <si>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</si>
  <si>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</si>
  <si>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</si>
  <si>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</si>
  <si>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</si>
  <si>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</si>
  <si>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</si>
  <si>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</si>
  <si>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</si>
  <si>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</si>
  <si>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</si>
  <si>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</si>
  <si>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</si>
  <si>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</si>
  <si>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</si>
  <si>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</si>
  <si>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</si>
  <si>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</si>
  <si>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</si>
  <si>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</si>
  <si>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</si>
  <si>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</si>
  <si>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</si>
  <si>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</si>
  <si>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</si>
  <si>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</si>
  <si>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</si>
  <si>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</si>
  <si>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</si>
  <si>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</si>
  <si>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</si>
  <si>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</si>
  <si>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</si>
  <si>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</si>
  <si>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</si>
  <si>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</si>
  <si>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</si>
  <si>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</si>
  <si>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</si>
  <si>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</si>
  <si>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</si>
  <si>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</si>
  <si>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</si>
  <si>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</si>
  <si>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</si>
  <si>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</si>
  <si>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</si>
  <si>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</si>
  <si>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</si>
  <si>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</si>
  <si>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</si>
  <si>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</si>
  <si>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</si>
  <si>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</si>
  <si>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</si>
  <si>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</si>
  <si>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</si>
  <si>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</si>
  <si>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</si>
  <si>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</si>
  <si>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</si>
  <si>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</si>
  <si>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</si>
  <si>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</si>
  <si>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</si>
  <si>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</si>
  <si>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</si>
  <si>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</si>
  <si>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</si>
  <si>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</si>
  <si>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</si>
  <si>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</si>
  <si>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</si>
  <si>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</si>
  <si>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</si>
  <si>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</si>
  <si>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</si>
  <si>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</si>
  <si>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</si>
  <si>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</si>
  <si>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</si>
  <si>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</si>
  <si>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</si>
  <si>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</si>
  <si>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</si>
  <si>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</si>
  <si>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</si>
  <si>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</si>
  <si>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</si>
  <si>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</si>
  <si>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</si>
  <si>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</si>
  <si>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</si>
  <si>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</si>
  <si>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</si>
  <si>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</si>
  <si>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</si>
  <si>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</si>
  <si>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</si>
  <si>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</si>
  <si>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</si>
  <si>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</si>
  <si>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</si>
  <si>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</si>
  <si>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</si>
  <si>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</si>
  <si>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</si>
  <si>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</si>
  <si>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</si>
  <si>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</si>
  <si>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</si>
  <si>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</si>
  <si>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</si>
  <si>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</si>
  <si>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</si>
  <si>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</si>
  <si>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</si>
  <si>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</si>
  <si>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</si>
  <si>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</si>
  <si>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</si>
  <si>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</si>
  <si>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</si>
  <si>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</si>
  <si>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</si>
  <si>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</si>
  <si>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</si>
  <si>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</si>
  <si>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</si>
  <si>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</si>
  <si>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</si>
  <si>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</si>
  <si>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</si>
  <si>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</si>
  <si>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</si>
  <si>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</si>
  <si>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</si>
  <si>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</si>
  <si>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</si>
  <si>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</si>
  <si>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</si>
  <si>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</si>
  <si>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</si>
  <si>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</si>
  <si>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</si>
  <si>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</si>
  <si>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</si>
  <si>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</si>
  <si>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</si>
  <si>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</si>
  <si>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</si>
  <si>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</si>
  <si>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</si>
  <si>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</si>
  <si>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</si>
  <si>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</si>
  <si>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</si>
  <si>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</si>
  <si>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</si>
  <si>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</si>
  <si>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</si>
  <si>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</si>
  <si>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</si>
  <si>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</si>
  <si>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</si>
  <si>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</si>
  <si>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</si>
  <si>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</si>
  <si>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</si>
  <si>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</si>
  <si>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</si>
  <si>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</si>
  <si>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</si>
  <si>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</si>
  <si>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</si>
  <si>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</si>
  <si>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</si>
  <si>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</si>
  <si>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</si>
  <si>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</si>
  <si>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</si>
  <si>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</si>
  <si>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</si>
  <si>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</si>
  <si>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</si>
  <si>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</si>
  <si>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</si>
  <si>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</si>
  <si>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</si>
  <si>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</si>
  <si>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</si>
  <si>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</si>
  <si>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</si>
  <si>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</si>
  <si>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</si>
  <si>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</si>
  <si>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</si>
  <si>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</si>
  <si>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</si>
  <si>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</si>
  <si>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</si>
  <si>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</si>
  <si>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</si>
  <si>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</si>
  <si>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</si>
  <si>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</si>
  <si>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</si>
  <si>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</si>
  <si>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</si>
  <si>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</si>
  <si>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</si>
  <si>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</si>
  <si>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</si>
  <si>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</si>
  <si>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</si>
  <si>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</si>
  <si>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</si>
  <si>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</si>
  <si>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</si>
  <si>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</si>
  <si>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</si>
  <si>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</si>
  <si>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</si>
  <si>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</si>
  <si>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</si>
  <si>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</si>
  <si>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</si>
  <si>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</si>
  <si>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</si>
  <si>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</si>
  <si>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</si>
  <si>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</si>
  <si>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</si>
  <si>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</si>
  <si>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</si>
  <si>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</si>
  <si>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</si>
  <si>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</si>
  <si>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</si>
  <si>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</si>
  <si>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</si>
  <si>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</si>
  <si>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</si>
  <si>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</si>
  <si>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</si>
  <si>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</si>
  <si>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</si>
  <si>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</si>
  <si>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</si>
  <si>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</si>
  <si>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</si>
  <si>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</si>
  <si>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</si>
  <si>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</si>
  <si>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</si>
  <si>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</si>
  <si>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</si>
  <si>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</si>
  <si>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</si>
  <si>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</si>
  <si>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</si>
  <si>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</si>
  <si>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</si>
  <si>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</si>
  <si>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</si>
  <si>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</si>
  <si>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</si>
  <si>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</si>
  <si>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</si>
  <si>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</si>
  <si>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</si>
  <si>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</si>
  <si>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</si>
  <si>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</si>
  <si>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</si>
  <si>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</si>
  <si>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</si>
  <si>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</si>
  <si>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</si>
  <si>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</si>
  <si>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</si>
  <si>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</si>
  <si>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</si>
  <si>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</si>
  <si>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</si>
  <si>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</si>
  <si>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</si>
  <si>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</si>
  <si>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</si>
  <si>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</si>
  <si>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</si>
  <si>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</si>
  <si>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</si>
  <si>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</si>
  <si>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</si>
  <si>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</si>
  <si>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</si>
  <si>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</si>
  <si>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</si>
  <si>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</si>
  <si>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</si>
  <si>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</si>
  <si>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</si>
  <si>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</si>
  <si>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</si>
  <si>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</si>
  <si>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</si>
  <si>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</si>
  <si>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</si>
  <si>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</si>
  <si>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</si>
  <si>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</si>
  <si>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</si>
  <si>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</si>
  <si>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</si>
  <si>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</si>
  <si>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</si>
  <si>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</si>
  <si>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</si>
  <si>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</si>
  <si>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</si>
  <si>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</si>
  <si>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</si>
  <si>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</si>
  <si>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</si>
  <si>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</si>
  <si>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</si>
  <si>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</si>
  <si>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</si>
  <si>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</si>
  <si>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</si>
  <si>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</si>
  <si>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</si>
  <si>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</si>
  <si>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</si>
  <si>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</si>
  <si>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</si>
  <si>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</si>
  <si>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</si>
  <si>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</si>
  <si>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</si>
  <si>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</si>
  <si>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</si>
  <si>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</si>
  <si>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</si>
  <si>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</si>
  <si>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</si>
  <si>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</si>
  <si>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</si>
  <si>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</si>
  <si>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</si>
  <si>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</si>
  <si>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</si>
  <si>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</si>
  <si>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</si>
  <si>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</si>
  <si>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</si>
  <si>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</si>
  <si>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</si>
  <si>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</si>
  <si>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</si>
  <si>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</si>
  <si>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</si>
  <si>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</si>
  <si>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</si>
  <si>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</si>
  <si>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</si>
  <si>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</si>
  <si>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</si>
  <si>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</si>
  <si>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</si>
  <si>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</si>
  <si>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</si>
  <si>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</si>
  <si>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</si>
  <si>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</si>
  <si>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</si>
  <si>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</si>
  <si>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</si>
  <si>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</si>
  <si>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</si>
  <si>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</si>
  <si>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</si>
  <si>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</si>
  <si>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</si>
  <si>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</si>
  <si>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</si>
  <si>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</si>
  <si>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</si>
  <si>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</si>
  <si>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</si>
  <si>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</si>
  <si>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</si>
  <si>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</si>
  <si>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</si>
  <si>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</si>
  <si>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</si>
  <si>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</si>
  <si>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</si>
  <si>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</si>
  <si>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</si>
  <si>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</si>
  <si>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</si>
  <si>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</si>
  <si>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</si>
  <si>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</si>
  <si>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</si>
  <si>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</si>
  <si>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</si>
  <si>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</si>
  <si>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</si>
  <si>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</si>
  <si>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</si>
  <si>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</si>
  <si>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</si>
  <si>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</si>
  <si>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</si>
  <si>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</si>
  <si>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</si>
  <si>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</si>
  <si>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</si>
  <si>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</si>
  <si>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</si>
  <si>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</si>
  <si>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</si>
  <si>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</si>
  <si>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</si>
  <si>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</si>
  <si>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</si>
  <si>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</si>
  <si>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</si>
  <si>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</si>
  <si>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</si>
  <si>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</si>
  <si>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</si>
  <si>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</si>
  <si>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</si>
  <si>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</si>
  <si>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</si>
  <si>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</si>
  <si>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</si>
  <si>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</si>
  <si>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</si>
  <si>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</si>
  <si>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</si>
  <si>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</si>
  <si>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</si>
  <si>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</si>
  <si>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</si>
  <si>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</si>
  <si>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</si>
  <si>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</si>
  <si>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</si>
  <si>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</si>
  <si>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</si>
  <si>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</si>
  <si>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</si>
  <si>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</si>
  <si>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</si>
  <si>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</si>
  <si>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</si>
  <si>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</si>
  <si>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</si>
  <si>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</si>
  <si>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</si>
  <si>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</si>
  <si>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</si>
  <si>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</si>
  <si>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</si>
  <si>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</si>
  <si>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</si>
  <si>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</si>
  <si>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</si>
  <si>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</si>
  <si>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</si>
  <si>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</si>
  <si>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</si>
  <si>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</si>
  <si>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</si>
  <si>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</si>
  <si>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</si>
  <si>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</si>
  <si>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</si>
  <si>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</si>
  <si>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</si>
  <si>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</si>
  <si>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</si>
  <si>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</si>
  <si>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</si>
  <si>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</si>
  <si>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</si>
  <si>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</si>
  <si>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</si>
  <si>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</si>
  <si>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</si>
  <si>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</si>
  <si>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</si>
  <si>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</si>
  <si>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</si>
  <si>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</si>
  <si>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</si>
  <si>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</si>
  <si>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</si>
  <si>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</si>
  <si>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</si>
  <si>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</si>
  <si>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</si>
  <si>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</si>
  <si>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</si>
  <si>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</si>
  <si>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</si>
  <si>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</si>
  <si>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</si>
  <si>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</si>
  <si>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</si>
  <si>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</si>
  <si>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</si>
  <si>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</si>
  <si>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</si>
  <si>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</si>
  <si>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</si>
  <si>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</si>
  <si>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</si>
  <si>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</si>
  <si>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</si>
  <si>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</si>
  <si>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</si>
  <si>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</si>
  <si>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</si>
  <si>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</si>
  <si>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</si>
  <si>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</si>
  <si>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</si>
  <si>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</si>
  <si>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</si>
  <si>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</si>
  <si>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</si>
  <si>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</si>
  <si>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</si>
  <si>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</si>
  <si>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</si>
  <si>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</si>
  <si>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</si>
  <si>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</si>
  <si>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</si>
  <si>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</si>
  <si>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</si>
  <si>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</si>
  <si>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</si>
  <si>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</si>
  <si>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</si>
  <si>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</si>
  <si>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</si>
  <si>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</si>
  <si>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</si>
  <si>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</si>
  <si>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</si>
  <si>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</si>
  <si>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</si>
  <si>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</si>
  <si>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</si>
  <si>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</si>
  <si>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</si>
  <si>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</si>
  <si>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</si>
  <si>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</si>
  <si>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</si>
  <si>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</si>
  <si>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</si>
  <si>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</si>
  <si>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</si>
  <si>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</si>
  <si>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</si>
  <si>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</si>
  <si>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</si>
  <si>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</si>
  <si>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</si>
  <si>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</si>
  <si>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</si>
  <si>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</si>
  <si>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</si>
  <si>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</si>
  <si>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</si>
  <si>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</si>
  <si>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</si>
  <si>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</si>
  <si>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</si>
  <si>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</si>
  <si>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</si>
  <si>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</si>
  <si>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</si>
  <si>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</si>
  <si>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</si>
  <si>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</si>
  <si>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</si>
  <si>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</si>
  <si>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</si>
  <si>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</si>
  <si>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</si>
  <si>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</si>
  <si>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</si>
  <si>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</si>
  <si>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</si>
  <si>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</si>
  <si>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</si>
  <si>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</si>
  <si>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</si>
  <si>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</si>
  <si>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</si>
  <si>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</si>
  <si>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</si>
  <si>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</si>
  <si>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</si>
  <si>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</si>
  <si>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</si>
  <si>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</si>
  <si>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</si>
  <si>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</si>
  <si>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</si>
  <si>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</si>
  <si>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</si>
  <si>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</si>
  <si>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</si>
  <si>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</si>
  <si>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</si>
  <si>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</si>
  <si>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</si>
  <si>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</si>
  <si>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</si>
  <si>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</si>
  <si>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</si>
  <si>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</si>
  <si>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</si>
  <si>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</si>
  <si>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</si>
  <si>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</si>
  <si>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</si>
  <si>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</si>
  <si>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</si>
  <si>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</si>
  <si>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</si>
  <si>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</si>
  <si>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</si>
  <si>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</si>
  <si>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</si>
  <si>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</si>
  <si>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</si>
  <si>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</si>
  <si>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</si>
  <si>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</si>
  <si>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</si>
  <si>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</si>
  <si>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</si>
  <si>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</si>
  <si>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</si>
  <si>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</si>
  <si>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</si>
  <si>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</si>
  <si>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</si>
  <si>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</si>
  <si>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</si>
  <si>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</si>
  <si>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</si>
  <si>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</si>
  <si>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</si>
  <si>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</si>
  <si>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</si>
  <si>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</si>
  <si>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</si>
  <si>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</si>
  <si>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</si>
  <si>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</si>
  <si>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</si>
  <si>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</si>
  <si>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</si>
  <si>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</si>
  <si>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</si>
  <si>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</si>
  <si>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</si>
  <si>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</si>
  <si>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</si>
  <si>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</si>
  <si>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</si>
  <si>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</si>
  <si>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</si>
  <si>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</si>
  <si>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</si>
  <si>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</si>
  <si>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</si>
  <si>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</si>
  <si>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</si>
  <si>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</si>
  <si>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</si>
  <si>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</si>
  <si>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</si>
  <si>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</si>
  <si>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</si>
  <si>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</si>
  <si>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</si>
  <si>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</si>
  <si>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</si>
  <si>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</si>
  <si>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</si>
  <si>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</si>
  <si>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</si>
  <si>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</si>
  <si>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</si>
  <si>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</si>
  <si>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</si>
  <si>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</si>
  <si>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</si>
  <si>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</si>
  <si>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</si>
  <si>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</si>
  <si>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</si>
  <si>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</si>
  <si>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</si>
  <si>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</si>
  <si>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</si>
  <si>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</si>
  <si>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</si>
  <si>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</si>
  <si>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</si>
  <si>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</si>
  <si>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</si>
  <si>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</si>
  <si>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</si>
  <si>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</si>
  <si>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</si>
  <si>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</si>
  <si>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</si>
  <si>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</si>
  <si>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</si>
  <si>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</si>
  <si>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</si>
  <si>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</si>
  <si>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</si>
  <si>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</si>
  <si>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</si>
  <si>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</si>
  <si>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</si>
  <si>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</si>
  <si>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</si>
  <si>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</si>
  <si>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</si>
  <si>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</si>
  <si>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</si>
  <si>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</si>
  <si>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</si>
  <si>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</si>
  <si>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</si>
  <si>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</si>
  <si>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</si>
  <si>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</si>
  <si>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</si>
  <si>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</si>
  <si>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</si>
  <si>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</si>
  <si>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</si>
  <si>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</si>
  <si>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</si>
  <si>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</si>
  <si>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</si>
  <si>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</si>
  <si>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</si>
  <si>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</si>
  <si>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</si>
  <si>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</si>
  <si>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</si>
  <si>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</si>
  <si>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</si>
  <si>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</si>
  <si>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</si>
  <si>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</si>
  <si>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</si>
  <si>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</si>
  <si>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</si>
  <si>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</si>
  <si>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</si>
  <si>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</si>
  <si>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</si>
  <si>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</si>
  <si>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</si>
  <si>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</si>
  <si>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</si>
  <si>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</si>
  <si>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</si>
  <si>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</si>
  <si>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</si>
  <si>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</si>
  <si>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</si>
  <si>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</si>
  <si>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</si>
  <si>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</si>
  <si>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</si>
  <si>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</si>
  <si>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</si>
  <si>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</si>
  <si>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</si>
  <si>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</si>
  <si>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</si>
  <si>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</si>
  <si>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</si>
  <si>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</si>
  <si>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</si>
  <si>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</si>
  <si>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</si>
  <si>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</si>
  <si>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</si>
  <si>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</si>
  <si>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</si>
  <si>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</si>
  <si>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</si>
  <si>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</si>
  <si>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</si>
  <si>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</si>
  <si>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</si>
  <si>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</si>
  <si>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</si>
  <si>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</si>
  <si>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</si>
  <si>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</si>
  <si>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</si>
  <si>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</si>
  <si>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</si>
  <si>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</si>
  <si>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</si>
  <si>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</si>
  <si>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</si>
  <si>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</si>
  <si>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</si>
  <si>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</si>
  <si>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</si>
  <si>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</si>
  <si>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</si>
  <si>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</si>
  <si>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</si>
  <si>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</si>
  <si>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</si>
  <si>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</si>
  <si>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</si>
  <si>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</si>
  <si>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</si>
  <si>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</si>
  <si>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</si>
  <si>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</si>
  <si>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</si>
  <si>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</si>
  <si>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</si>
  <si>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</si>
  <si>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</si>
  <si>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</si>
  <si>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</si>
  <si>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</si>
  <si>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</si>
  <si>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</si>
  <si>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</si>
  <si>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</si>
  <si>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</si>
  <si>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</si>
  <si>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</si>
  <si>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</si>
  <si>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</si>
  <si>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</si>
  <si>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</si>
  <si>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</si>
  <si>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</si>
  <si>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</si>
  <si>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</si>
  <si>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</si>
  <si>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</si>
  <si>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</si>
  <si>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</si>
  <si>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</si>
  <si>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</si>
  <si>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</si>
  <si>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</si>
  <si>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</si>
  <si>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</si>
  <si>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</si>
  <si>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</si>
  <si>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</si>
  <si>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</si>
  <si>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</si>
  <si>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</si>
  <si>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</si>
  <si>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</si>
  <si>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</si>
  <si>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</si>
  <si>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</si>
  <si>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</si>
  <si>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</si>
  <si>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</si>
  <si>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</si>
  <si>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</si>
  <si>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</si>
  <si>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</si>
  <si>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</si>
  <si>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</si>
  <si>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</si>
  <si>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</si>
  <si>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</si>
  <si>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</si>
  <si>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</si>
  <si>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</si>
  <si>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</si>
  <si>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</si>
  <si>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</si>
  <si>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</si>
  <si>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</si>
  <si>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</si>
  <si>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</si>
  <si>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</si>
  <si>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</si>
  <si>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</si>
  <si>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</si>
  <si>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</si>
  <si>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</si>
  <si>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</si>
  <si>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</si>
  <si>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</si>
  <si>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</si>
  <si>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</si>
  <si>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</si>
  <si>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</si>
  <si>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</si>
  <si>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</si>
  <si>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</si>
  <si>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</si>
  <si>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</si>
  <si>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</si>
  <si>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</si>
  <si>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</si>
  <si>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</si>
  <si>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</si>
  <si>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</si>
  <si>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</si>
  <si>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</si>
  <si>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</si>
  <si>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</si>
  <si>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</si>
  <si>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</si>
  <si>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</si>
  <si>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</si>
  <si>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</si>
  <si>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</si>
  <si>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</si>
  <si>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</si>
  <si>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</si>
  <si>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</si>
  <si>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</si>
  <si>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</si>
  <si>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</si>
  <si>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</si>
  <si>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</si>
  <si>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</si>
  <si>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</si>
  <si>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</si>
  <si>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</si>
  <si>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</si>
  <si>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</si>
  <si>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</si>
  <si>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</si>
  <si>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</si>
  <si>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</si>
  <si>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</si>
  <si>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</si>
  <si>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</si>
  <si>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</si>
  <si>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</si>
  <si>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</si>
  <si>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</si>
  <si>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</si>
  <si>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</si>
  <si>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</si>
  <si>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</si>
  <si>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</si>
  <si>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</si>
  <si>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</si>
  <si>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</si>
  <si>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</si>
  <si>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</si>
  <si>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</si>
  <si>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</si>
  <si>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</si>
  <si>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</si>
  <si>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</si>
  <si>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</si>
  <si>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</si>
  <si>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</si>
  <si>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</si>
  <si>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</si>
  <si>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</si>
  <si>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</si>
  <si>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</si>
  <si>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</si>
  <si>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</si>
  <si>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</si>
  <si>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</si>
  <si>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</si>
  <si>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</si>
  <si>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</si>
  <si>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</si>
  <si>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</si>
  <si>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</si>
  <si>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</si>
  <si>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</si>
  <si>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</si>
  <si>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</si>
  <si>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</si>
  <si>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</si>
  <si>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</si>
  <si>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</si>
  <si>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</si>
  <si>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</si>
  <si>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</si>
  <si>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</si>
  <si>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</si>
  <si>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</si>
  <si>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</si>
  <si>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</si>
  <si>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</si>
  <si>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</si>
  <si>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</si>
  <si>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</si>
  <si>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</si>
  <si>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</si>
  <si>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</si>
  <si>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</si>
  <si>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</si>
  <si>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</si>
  <si>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</si>
  <si>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</si>
  <si>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</si>
  <si>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</si>
  <si>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</si>
  <si>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</si>
  <si>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</si>
  <si>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</si>
  <si>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</si>
  <si>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</si>
  <si>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</si>
  <si>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</si>
  <si>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</si>
  <si>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</si>
  <si>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</si>
  <si>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</si>
  <si>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</si>
  <si>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</si>
  <si>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</si>
  <si>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</si>
  <si>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</si>
  <si>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</si>
  <si>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</si>
  <si>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</si>
  <si>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</si>
  <si>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</si>
  <si>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</si>
  <si>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</si>
  <si>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</si>
  <si>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</si>
  <si>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</si>
  <si>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</si>
  <si>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</si>
  <si>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</si>
  <si>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</si>
  <si>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</si>
  <si>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</si>
  <si>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</si>
  <si>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</si>
  <si>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</si>
  <si>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</si>
  <si>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</si>
  <si>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</si>
  <si>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</si>
  <si>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</si>
  <si>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</si>
  <si>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</si>
  <si>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</si>
  <si>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</si>
  <si>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</si>
  <si>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</si>
  <si>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</si>
  <si>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</si>
  <si>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</si>
  <si>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</si>
  <si>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</si>
  <si>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</si>
  <si>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</si>
  <si>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</si>
  <si>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</si>
  <si>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</si>
  <si>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</si>
  <si>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</si>
  <si>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</si>
  <si>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</si>
  <si>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</si>
  <si>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</si>
  <si>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</si>
  <si>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</si>
  <si>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</si>
  <si>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</si>
  <si>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</si>
  <si>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</si>
  <si>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</si>
  <si>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</si>
  <si>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</si>
  <si>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</si>
  <si>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</si>
  <si>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</si>
  <si>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</si>
  <si>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</si>
  <si>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</si>
  <si>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</si>
  <si>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</si>
  <si>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</si>
  <si>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</si>
  <si>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</si>
  <si>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</si>
  <si>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</si>
  <si>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</si>
  <si>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</si>
  <si>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</si>
  <si>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</si>
  <si>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</si>
  <si>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</si>
  <si>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</si>
  <si>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</si>
  <si>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</si>
  <si>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</si>
  <si>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</si>
  <si>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</si>
  <si>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</si>
  <si>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</si>
  <si>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</si>
  <si>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</si>
  <si>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</si>
  <si>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</si>
  <si>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</si>
  <si>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</si>
  <si>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</si>
  <si>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</si>
  <si>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</si>
  <si>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</si>
  <si>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</si>
  <si>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</si>
  <si>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</si>
  <si>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</si>
  <si>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</si>
  <si>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</si>
  <si>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</si>
  <si>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</si>
  <si>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</si>
  <si>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</si>
  <si>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</si>
  <si>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</si>
  <si>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</si>
  <si>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</si>
  <si>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</si>
  <si>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</si>
  <si>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</si>
  <si>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</si>
  <si>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</si>
  <si>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</si>
  <si>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</si>
  <si>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</si>
  <si>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</si>
  <si>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</si>
  <si>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</si>
  <si>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</si>
  <si>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</si>
  <si>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</si>
  <si>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</si>
  <si>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</si>
  <si>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</si>
  <si>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</si>
  <si>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</si>
  <si>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</si>
  <si>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</si>
  <si>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</si>
  <si>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</si>
  <si>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</si>
  <si>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</si>
  <si>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</si>
  <si>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</si>
  <si>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</si>
  <si>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</si>
  <si>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</si>
  <si>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</si>
  <si>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</si>
  <si>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</si>
  <si>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</si>
  <si>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</si>
  <si>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</si>
  <si>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</si>
  <si>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</si>
  <si>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</si>
  <si>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</si>
  <si>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</si>
  <si>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</si>
  <si>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</si>
  <si>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</si>
  <si>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</si>
  <si>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</si>
  <si>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</si>
  <si>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</si>
  <si>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</si>
  <si>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</si>
  <si>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</si>
  <si>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</si>
  <si>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</si>
  <si>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</si>
  <si>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</si>
  <si>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</si>
  <si>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</si>
  <si>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</si>
  <si>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</si>
  <si>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</si>
  <si>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</si>
  <si>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</si>
  <si>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</si>
  <si>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</si>
  <si>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</si>
  <si>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</si>
  <si>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</si>
  <si>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</si>
  <si>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</si>
  <si>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</si>
  <si>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</si>
  <si>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</si>
  <si>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</si>
  <si>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</si>
  <si>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</si>
  <si>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</si>
  <si>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</si>
  <si>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</si>
  <si>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</si>
  <si>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</si>
  <si>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</si>
  <si>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</si>
  <si>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</si>
  <si>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</si>
  <si>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</si>
  <si>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</si>
  <si>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</si>
  <si>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</si>
  <si>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</si>
  <si>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</si>
  <si>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</si>
  <si>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</si>
  <si>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</si>
  <si>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</si>
  <si>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</si>
  <si>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</si>
  <si>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</si>
  <si>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</si>
  <si>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</si>
  <si>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</si>
  <si>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</si>
  <si>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</si>
  <si>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</si>
  <si>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</si>
  <si>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</si>
  <si>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</si>
  <si>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</si>
  <si>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</si>
  <si>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</si>
  <si>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</si>
  <si>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</si>
  <si>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</si>
  <si>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</si>
  <si>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</si>
  <si>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</si>
  <si>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</si>
  <si>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</si>
  <si>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</si>
  <si>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</si>
  <si>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</si>
  <si>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</si>
  <si>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</si>
  <si>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</si>
  <si>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</si>
  <si>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</si>
  <si>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</si>
  <si>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</si>
  <si>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</si>
  <si>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</si>
  <si>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</si>
  <si>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</si>
  <si>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</si>
  <si>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</si>
  <si>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</si>
  <si>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</si>
  <si>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</si>
  <si>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</si>
  <si>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</si>
  <si>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</si>
  <si>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</si>
  <si>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</si>
  <si>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</si>
  <si>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</si>
  <si>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</si>
  <si>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</si>
  <si>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</si>
  <si>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</si>
  <si>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</si>
  <si>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</si>
  <si>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</si>
  <si>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</si>
  <si>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</si>
  <si>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</si>
  <si>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</si>
  <si>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</si>
  <si>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</si>
  <si>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</si>
  <si>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</si>
  <si>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</si>
  <si>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</si>
  <si>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</si>
  <si>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</si>
  <si>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</si>
  <si>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</si>
  <si>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</si>
  <si>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</si>
  <si>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</si>
  <si>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</si>
  <si>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</si>
  <si>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</si>
  <si>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</si>
  <si>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</si>
  <si>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</si>
  <si>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</si>
  <si>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</si>
  <si>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</si>
  <si>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</si>
  <si>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</si>
  <si>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</si>
  <si>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</si>
  <si>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</si>
  <si>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</si>
  <si>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</si>
  <si>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</si>
  <si>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</si>
  <si>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</si>
  <si>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</si>
  <si>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</si>
  <si>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</si>
  <si>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</si>
  <si>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</si>
  <si>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</si>
  <si>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</si>
  <si>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</si>
  <si>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</si>
  <si>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</si>
  <si>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</si>
  <si>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</si>
  <si>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</si>
  <si>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</si>
  <si>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</si>
  <si>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</si>
  <si>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</si>
  <si>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</si>
  <si>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</si>
  <si>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</si>
  <si>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</si>
  <si>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</si>
  <si>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</si>
  <si>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</si>
  <si>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</si>
  <si>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</si>
  <si>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</si>
  <si>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</si>
  <si>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</si>
  <si>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</si>
  <si>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</si>
  <si>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</si>
  <si>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</si>
  <si>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</si>
  <si>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</si>
  <si>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</si>
  <si>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</si>
  <si>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</si>
  <si>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</si>
  <si>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</si>
  <si>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</si>
  <si>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</si>
  <si>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</si>
  <si>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</si>
  <si>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</si>
  <si>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</si>
  <si>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</si>
  <si>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</si>
  <si>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</si>
  <si>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</si>
  <si>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</si>
  <si>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</si>
  <si>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</si>
  <si>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</si>
  <si>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</si>
  <si>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</si>
  <si>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</si>
  <si>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</si>
  <si>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</si>
  <si>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</si>
  <si>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</si>
  <si>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</si>
  <si>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</si>
  <si>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</si>
  <si>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</si>
  <si>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</si>
  <si>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</si>
  <si>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</si>
  <si>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</si>
  <si>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</si>
  <si>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</si>
  <si>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</si>
  <si>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</si>
  <si>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</si>
  <si>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</si>
  <si>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</si>
  <si>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</si>
  <si>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</si>
  <si>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</si>
  <si>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</si>
  <si>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</si>
  <si>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</si>
  <si>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</si>
  <si>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</si>
  <si>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</si>
  <si>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</si>
  <si>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</si>
  <si>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</si>
  <si>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</si>
  <si>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</si>
  <si>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</si>
  <si>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</si>
  <si>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</si>
  <si>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</si>
  <si>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</si>
  <si>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</si>
  <si>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</si>
  <si>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</si>
  <si>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</si>
  <si>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</si>
  <si>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</si>
  <si>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</si>
  <si>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</si>
  <si>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</si>
  <si>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</si>
  <si>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</si>
  <si>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</si>
  <si>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</si>
  <si>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</si>
  <si>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</si>
  <si>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</si>
  <si>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</si>
  <si>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</si>
  <si>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</si>
  <si>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</si>
  <si>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</si>
  <si>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</si>
  <si>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</si>
  <si>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</si>
  <si>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</si>
  <si>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</si>
  <si>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</si>
  <si>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</si>
  <si>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</si>
  <si>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</si>
  <si>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</si>
  <si>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</si>
  <si>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</si>
  <si>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</si>
  <si>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</si>
  <si>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</si>
  <si>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</si>
  <si>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</si>
  <si>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</si>
  <si>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</si>
  <si>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</si>
  <si>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</si>
  <si>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</si>
  <si>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</si>
  <si>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</si>
  <si>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</si>
  <si>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</si>
  <si>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</si>
  <si>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</si>
  <si>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</si>
  <si>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</si>
  <si>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</si>
  <si>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</si>
  <si>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</si>
  <si>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</si>
  <si>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</si>
  <si>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</si>
  <si>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</si>
  <si>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</si>
  <si>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</si>
  <si>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</si>
  <si>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</si>
  <si>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</si>
  <si>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</si>
  <si>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</si>
  <si>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</si>
  <si>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</si>
  <si>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</si>
  <si>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</si>
  <si>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</si>
  <si>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</si>
  <si>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</si>
  <si>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</si>
  <si>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</si>
  <si>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</si>
  <si>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</si>
  <si>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</si>
  <si>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</si>
  <si>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</si>
  <si>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</si>
  <si>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</si>
  <si>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</si>
  <si>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</si>
  <si>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</si>
  <si>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</si>
  <si>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</si>
  <si>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</si>
  <si>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</si>
  <si>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</si>
  <si>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</si>
  <si>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</si>
  <si>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</si>
  <si>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</si>
  <si>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</si>
  <si>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</si>
  <si>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</si>
  <si>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</si>
  <si>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</si>
  <si>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</si>
  <si>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</si>
  <si>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</si>
  <si>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</si>
  <si>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</si>
  <si>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</si>
  <si>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</si>
  <si>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</si>
  <si>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</si>
  <si>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</si>
  <si>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</si>
  <si>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</si>
  <si>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</si>
  <si>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</si>
  <si>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</si>
  <si>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</si>
  <si>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</si>
  <si>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</si>
  <si>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</si>
  <si>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</si>
  <si>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</si>
  <si>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</si>
  <si>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</si>
  <si>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</si>
  <si>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</si>
  <si>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</si>
  <si>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</si>
  <si>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</si>
  <si>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</si>
  <si>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</si>
  <si>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</si>
  <si>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</si>
  <si>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</si>
  <si>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</si>
  <si>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</si>
  <si>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</si>
  <si>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</si>
  <si>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</si>
  <si>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</si>
  <si>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</si>
  <si>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</si>
  <si>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</si>
  <si>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</si>
  <si>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</si>
  <si>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</si>
  <si>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</si>
  <si>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</si>
  <si>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</si>
  <si>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</si>
  <si>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</si>
  <si>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</si>
  <si>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</si>
  <si>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</si>
  <si>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</si>
  <si>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</si>
  <si>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</si>
  <si>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</si>
  <si>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</si>
  <si>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</si>
  <si>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</si>
  <si>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</si>
  <si>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</si>
  <si>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</si>
  <si>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</si>
  <si>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</si>
  <si>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</si>
  <si>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</si>
  <si>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</si>
  <si>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</si>
  <si>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</si>
  <si>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</si>
  <si>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</si>
  <si>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</si>
  <si>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</si>
  <si>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</si>
  <si>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</si>
  <si>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</si>
  <si>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</si>
  <si>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</si>
  <si>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</si>
  <si>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</si>
  <si>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</si>
  <si>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</si>
  <si>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</si>
  <si>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</si>
  <si>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</si>
  <si>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</si>
  <si>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</si>
  <si>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</si>
  <si>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</si>
  <si>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</si>
  <si>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</si>
  <si>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</si>
  <si>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</si>
  <si>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</si>
  <si>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</si>
  <si>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</si>
  <si>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</si>
  <si>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</si>
  <si>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</si>
  <si>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</si>
  <si>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</si>
  <si>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</si>
  <si>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</si>
  <si>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</si>
  <si>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</si>
  <si>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</si>
  <si>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</si>
  <si>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</si>
  <si>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</si>
  <si>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</si>
  <si>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</si>
  <si>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</si>
  <si>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</si>
  <si>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</si>
  <si>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</si>
  <si>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</si>
  <si>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</si>
  <si>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</si>
  <si>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</si>
  <si>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</si>
  <si>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</si>
  <si>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</si>
  <si>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</si>
  <si>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</si>
  <si>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</si>
  <si>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</si>
  <si>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</si>
  <si>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</si>
  <si>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</si>
  <si>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</si>
  <si>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</si>
  <si>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</si>
  <si>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</si>
  <si>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</si>
  <si>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</si>
  <si>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</si>
  <si>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</si>
  <si>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</si>
  <si>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</si>
  <si>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</si>
  <si>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</si>
  <si>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</si>
  <si>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</si>
  <si>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</si>
  <si>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</si>
  <si>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</si>
  <si>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</si>
  <si>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</si>
  <si>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</si>
  <si>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</si>
  <si>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</si>
  <si>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</si>
  <si>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</si>
  <si>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</si>
  <si>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</si>
  <si>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</si>
  <si>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</si>
  <si>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</si>
  <si>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</si>
  <si>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</si>
  <si>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</si>
  <si>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</si>
  <si>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</si>
  <si>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</si>
  <si>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</si>
  <si>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</si>
  <si>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</si>
  <si>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</si>
  <si>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</si>
  <si>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</si>
  <si>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</si>
  <si>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</si>
  <si>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</si>
  <si>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</si>
  <si>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</si>
  <si>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</si>
  <si>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</si>
  <si>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</si>
  <si>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</si>
  <si>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</si>
  <si>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</si>
  <si>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</si>
  <si>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</si>
  <si>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</si>
  <si>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</si>
  <si>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</si>
  <si>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</si>
  <si>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</si>
  <si>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</si>
  <si>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</si>
  <si>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</si>
  <si>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</si>
  <si>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</si>
  <si>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</si>
  <si>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</si>
  <si>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</si>
  <si>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</si>
  <si>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</si>
  <si>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</si>
  <si>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</si>
  <si>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</si>
  <si>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</si>
  <si>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</si>
  <si>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</si>
  <si>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</si>
  <si>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</si>
  <si>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</si>
  <si>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</si>
  <si>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</si>
  <si>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</si>
  <si>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</si>
  <si>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</si>
  <si>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</si>
  <si>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</si>
  <si>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</si>
  <si>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</si>
  <si>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</si>
  <si>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</si>
  <si>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</si>
  <si>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</si>
  <si>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</si>
  <si>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</si>
  <si>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</si>
  <si>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</si>
  <si>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</si>
  <si>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</si>
  <si>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</si>
  <si>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</si>
  <si>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</si>
  <si>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</si>
  <si>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</si>
  <si>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</si>
  <si>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</si>
  <si>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</si>
  <si>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</si>
  <si>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</si>
  <si>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</si>
  <si>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</si>
  <si>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</si>
  <si>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</si>
  <si>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</si>
  <si>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</si>
  <si>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</si>
  <si>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</si>
  <si>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</si>
  <si>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</si>
  <si>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</si>
  <si>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</si>
  <si>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</si>
  <si>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</si>
  <si>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</si>
  <si>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</si>
  <si>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</si>
  <si>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</si>
  <si>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</si>
  <si>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</si>
  <si>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</si>
  <si>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</si>
  <si>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</si>
  <si>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</si>
  <si>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</si>
  <si>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</si>
  <si>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</si>
  <si>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</si>
  <si>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</si>
  <si>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</si>
  <si>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</si>
  <si>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</si>
  <si>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</si>
  <si>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</si>
  <si>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</si>
  <si>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</si>
  <si>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</si>
  <si>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</si>
  <si>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</si>
  <si>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</si>
  <si>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</si>
  <si>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</si>
  <si>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</si>
  <si>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</si>
  <si>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</si>
  <si>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</si>
  <si>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</si>
  <si>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</si>
  <si>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</si>
  <si>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</si>
  <si>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</si>
  <si>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</si>
  <si>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</si>
  <si>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</si>
  <si>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</si>
  <si>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</si>
  <si>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</si>
  <si>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</si>
  <si>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</si>
  <si>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</si>
  <si>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</si>
  <si>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</si>
  <si>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</si>
  <si>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</si>
  <si>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</si>
  <si>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</si>
  <si>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</si>
  <si>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</si>
  <si>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</si>
  <si>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</si>
  <si>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</si>
  <si>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</si>
  <si>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</si>
  <si>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</si>
  <si>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</si>
  <si>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</si>
  <si>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</si>
  <si>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</si>
  <si>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</si>
  <si>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</si>
  <si>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</si>
  <si>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</si>
  <si>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</si>
  <si>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</si>
  <si>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</si>
  <si>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</si>
  <si>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</si>
  <si>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</si>
  <si>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</si>
  <si>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</si>
  <si>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</si>
  <si>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</si>
  <si>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</si>
  <si>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</si>
  <si>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</si>
  <si>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</si>
  <si>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</si>
  <si>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</si>
  <si>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</si>
  <si>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</si>
  <si>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</si>
  <si>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</si>
  <si>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</si>
  <si>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</si>
  <si>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</si>
  <si>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</si>
  <si>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</si>
  <si>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</si>
  <si>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</si>
  <si>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</si>
  <si>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</si>
  <si>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</si>
  <si>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</si>
  <si>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</si>
  <si>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</si>
  <si>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</si>
  <si>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</si>
  <si>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</si>
  <si>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</si>
  <si>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</si>
  <si>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</si>
  <si>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</si>
  <si>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</si>
  <si>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</si>
  <si>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</si>
  <si>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</si>
  <si>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</si>
  <si>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</si>
  <si>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</si>
  <si>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</si>
  <si>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</si>
  <si>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</si>
  <si>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</si>
  <si>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</si>
  <si>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</si>
  <si>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</si>
  <si>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</si>
  <si>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</si>
  <si>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</si>
  <si>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</si>
  <si>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</si>
  <si>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</si>
  <si>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</si>
  <si>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</si>
  <si>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</si>
  <si>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</si>
  <si>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</si>
  <si>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</si>
  <si>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</si>
  <si>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</si>
  <si>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</si>
  <si>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</si>
  <si>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</si>
  <si>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</si>
  <si>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</si>
  <si>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</si>
  <si>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</si>
  <si>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</si>
  <si>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</si>
  <si>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</si>
  <si>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</si>
  <si>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</si>
  <si>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</si>
  <si>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</si>
  <si>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</si>
  <si>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</si>
  <si>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</si>
  <si>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</si>
  <si>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</si>
  <si>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</si>
  <si>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</si>
  <si>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</si>
  <si>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</si>
  <si>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</si>
  <si>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</si>
  <si>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</si>
  <si>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</si>
  <si>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</si>
  <si>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</si>
  <si>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</si>
  <si>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</si>
  <si>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</si>
  <si>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</si>
  <si>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</si>
  <si>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</si>
  <si>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</si>
  <si>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</si>
  <si>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</si>
  <si>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</si>
  <si>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</si>
  <si>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</si>
  <si>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</si>
  <si>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</si>
  <si>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</si>
  <si>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</si>
  <si>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</si>
  <si>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</si>
  <si>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</si>
  <si>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</si>
  <si>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</si>
  <si>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</si>
  <si>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</si>
  <si>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</si>
  <si>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</si>
  <si>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</si>
  <si>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</si>
  <si>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</si>
  <si>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</si>
  <si>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</si>
  <si>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</si>
  <si>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</si>
  <si>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</si>
  <si>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</si>
  <si>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</si>
  <si>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</si>
  <si>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</si>
  <si>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</si>
  <si>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</si>
  <si>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</si>
  <si>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</si>
  <si>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</si>
  <si>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</si>
  <si>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</si>
  <si>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</si>
  <si>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</si>
  <si>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</si>
  <si>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</si>
  <si>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</si>
  <si>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</si>
  <si>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</si>
  <si>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</si>
  <si>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</si>
  <si>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</si>
  <si>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</si>
  <si>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</si>
  <si>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</si>
  <si>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</si>
  <si>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</si>
  <si>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</si>
  <si>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</si>
  <si>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</si>
  <si>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</si>
  <si>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</si>
  <si>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</si>
  <si>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</si>
  <si>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</si>
  <si>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</si>
  <si>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</si>
  <si>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</si>
  <si>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</si>
  <si>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</si>
  <si>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</si>
  <si>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</si>
  <si>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</si>
  <si>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</si>
  <si>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</si>
  <si>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</si>
  <si>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</si>
  <si>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</si>
  <si>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</si>
  <si>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</si>
  <si>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</si>
  <si>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</si>
  <si>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</si>
  <si>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</si>
  <si>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</si>
  <si>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</si>
  <si>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</si>
  <si>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</si>
  <si>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</si>
  <si>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</si>
  <si>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</si>
  <si>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</si>
  <si>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</si>
  <si>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</si>
  <si>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</si>
  <si>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</si>
  <si>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</si>
  <si>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</si>
  <si>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</si>
  <si>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</si>
  <si>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</si>
  <si>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</si>
  <si>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</si>
  <si>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</si>
  <si>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</si>
  <si>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</si>
  <si>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</si>
  <si>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</si>
  <si>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</si>
  <si>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</si>
  <si>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</si>
  <si>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</si>
  <si>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</si>
  <si>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</si>
  <si>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</si>
  <si>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</si>
  <si>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</si>
  <si>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</si>
  <si>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</si>
  <si>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</si>
  <si>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</si>
  <si>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</si>
  <si>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</si>
  <si>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</si>
  <si>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</si>
  <si>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</si>
  <si>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</si>
  <si>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</si>
  <si>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</si>
  <si>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</si>
  <si>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</si>
  <si>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</si>
  <si>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</si>
  <si>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</si>
  <si>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</si>
  <si>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</si>
  <si>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</si>
  <si>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</si>
  <si>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</si>
  <si>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</si>
  <si>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</si>
  <si>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</si>
  <si>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</si>
  <si>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</si>
  <si>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</si>
  <si>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</si>
  <si>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</si>
  <si>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</si>
  <si>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</si>
  <si>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</si>
  <si>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</si>
  <si>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</si>
  <si>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</si>
  <si>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</si>
  <si>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</si>
  <si>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</si>
  <si>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</si>
  <si>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</si>
  <si>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</si>
  <si>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</si>
  <si>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</si>
  <si>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</si>
  <si>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</si>
  <si>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</si>
  <si>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</si>
  <si>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</si>
  <si>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</si>
  <si>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</si>
  <si>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</si>
  <si>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</si>
  <si>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</si>
  <si>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</si>
  <si>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</si>
  <si>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</si>
  <si>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</si>
  <si>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</si>
  <si>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</si>
  <si>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</si>
  <si>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</si>
  <si>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</si>
  <si>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</si>
  <si>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</si>
  <si>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</si>
  <si>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</si>
  <si>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</si>
  <si>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</si>
  <si>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</si>
  <si>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</si>
  <si>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</si>
  <si>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</si>
  <si>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</si>
  <si>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</si>
  <si>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</si>
  <si>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</si>
  <si>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</si>
  <si>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</si>
  <si>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</si>
  <si>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</si>
  <si>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</si>
  <si>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</si>
  <si>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</si>
  <si>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</si>
  <si>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</si>
  <si>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</si>
  <si>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</si>
  <si>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</si>
  <si>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</si>
  <si>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</si>
  <si>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</si>
  <si>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</si>
  <si>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</si>
  <si>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</si>
  <si>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</si>
  <si>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</si>
  <si>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</si>
  <si>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</si>
  <si>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</si>
  <si>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</si>
  <si>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</si>
  <si>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</si>
  <si>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</si>
  <si>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</si>
  <si>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</si>
  <si>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</si>
  <si>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</si>
  <si>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</si>
  <si>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</si>
  <si>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</si>
  <si>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</si>
  <si>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</si>
  <si>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</si>
  <si>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</si>
  <si>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</si>
  <si>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</si>
  <si>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</si>
  <si>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</si>
  <si>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</si>
  <si>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</si>
  <si>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</si>
  <si>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</si>
  <si>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</si>
  <si>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</si>
  <si>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</si>
  <si>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</si>
  <si>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</si>
  <si>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</si>
  <si>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</si>
  <si>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</si>
  <si>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</si>
  <si>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</si>
  <si>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</si>
  <si>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</si>
  <si>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</si>
  <si>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</si>
  <si>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</si>
  <si>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</si>
  <si>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</si>
  <si>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</si>
  <si>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</si>
  <si>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</si>
  <si>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</si>
  <si>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</si>
  <si>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</si>
  <si>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</si>
  <si>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</si>
  <si>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</si>
  <si>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</si>
  <si>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</si>
  <si>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</si>
  <si>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</si>
  <si>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</si>
  <si>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</si>
  <si>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</si>
  <si>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</si>
  <si>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</si>
  <si>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</si>
  <si>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</si>
  <si>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</si>
  <si>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</si>
  <si>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</si>
  <si>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</si>
  <si>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</si>
  <si>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</si>
  <si>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</si>
  <si>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</si>
  <si>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</si>
  <si>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</si>
  <si>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</si>
  <si>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</si>
  <si>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</si>
  <si>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</si>
  <si>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</si>
  <si>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</si>
  <si>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</si>
  <si>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</si>
  <si>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</si>
  <si>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</si>
  <si>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</si>
  <si>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</si>
  <si>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</si>
  <si>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</si>
  <si>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</si>
  <si>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</si>
  <si>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</si>
  <si>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</si>
  <si>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</si>
  <si>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</si>
  <si>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</si>
  <si>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</si>
  <si>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</si>
  <si>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</si>
  <si>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</si>
  <si>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</si>
  <si>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</si>
  <si>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</si>
  <si>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</si>
  <si>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</si>
  <si>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</si>
  <si>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</si>
  <si>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</si>
  <si>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</si>
  <si>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</si>
  <si>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</si>
  <si>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</si>
  <si>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</si>
  <si>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</si>
  <si>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</si>
  <si>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</si>
  <si>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</si>
  <si>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</si>
  <si>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</si>
  <si>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</si>
  <si>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</si>
  <si>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</si>
  <si>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</si>
  <si>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</si>
  <si>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</si>
  <si>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</si>
  <si>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</si>
  <si>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</si>
  <si>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</si>
  <si>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</si>
  <si>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</si>
  <si>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</si>
  <si>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</si>
  <si>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</si>
  <si>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</si>
  <si>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</si>
  <si>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</si>
  <si>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</si>
  <si>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</si>
  <si>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</si>
  <si>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</si>
  <si>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</si>
  <si>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</si>
  <si>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</si>
  <si>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</si>
  <si>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</si>
  <si>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</si>
  <si>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</si>
  <si>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</si>
  <si>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</si>
  <si>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</si>
  <si>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</si>
  <si>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</si>
  <si>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</si>
  <si>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</si>
  <si>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</si>
  <si>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</si>
  <si>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</si>
  <si>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</si>
  <si>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</si>
  <si>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</si>
  <si>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</si>
  <si>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</si>
  <si>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</si>
  <si>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</si>
  <si>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</si>
  <si>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</si>
  <si>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</si>
  <si>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</si>
  <si>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</si>
  <si>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</si>
  <si>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</si>
  <si>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</si>
  <si>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</si>
  <si>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</si>
  <si>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</si>
  <si>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</si>
  <si>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</si>
  <si>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</si>
  <si>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</si>
  <si>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</si>
  <si>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</si>
  <si>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</si>
  <si>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</si>
  <si>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</si>
  <si>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</si>
  <si>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</si>
  <si>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</si>
  <si>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</si>
  <si>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</si>
  <si>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</si>
  <si>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</si>
  <si>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</si>
  <si>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</si>
  <si>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</si>
  <si>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</si>
  <si>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</si>
  <si>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</si>
  <si>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</si>
  <si>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</si>
  <si>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</si>
  <si>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</si>
  <si>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</si>
  <si>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</si>
  <si>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</si>
  <si>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</si>
  <si>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</si>
  <si>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</si>
  <si>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</si>
  <si>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</si>
  <si>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</si>
  <si>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</si>
  <si>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</si>
  <si>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</si>
  <si>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</si>
  <si>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</si>
  <si>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</si>
  <si>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</si>
  <si>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</si>
  <si>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</si>
  <si>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</si>
  <si>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</si>
  <si>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</si>
  <si>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</si>
  <si>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</si>
  <si>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</si>
  <si>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</si>
  <si>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</si>
  <si>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</si>
  <si>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</si>
  <si>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</si>
  <si>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</si>
  <si>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</si>
  <si>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</si>
  <si>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</si>
  <si>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</si>
  <si>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</si>
  <si>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</si>
  <si>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</si>
  <si>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</si>
  <si>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</si>
  <si>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</si>
  <si>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</si>
  <si>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</si>
  <si>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</si>
  <si>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</si>
  <si>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</si>
  <si>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</si>
  <si>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</si>
  <si>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</si>
  <si>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</si>
  <si>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</si>
  <si>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</si>
  <si>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</si>
  <si>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</si>
  <si>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</si>
  <si>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</si>
  <si>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</si>
  <si>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</si>
  <si>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</si>
  <si>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</si>
  <si>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</si>
  <si>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</si>
  <si>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</si>
  <si>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</si>
  <si>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</si>
  <si>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</si>
  <si>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</si>
  <si>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</si>
  <si>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</si>
  <si>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</si>
  <si>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</si>
  <si>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</si>
  <si>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</si>
  <si>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</si>
  <si>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</si>
  <si>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</si>
  <si>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</si>
  <si>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</si>
  <si>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</si>
  <si>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</si>
  <si>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</si>
  <si>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</si>
  <si>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</si>
  <si>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</si>
  <si>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</si>
  <si>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</si>
  <si>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</si>
  <si>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</si>
  <si>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</si>
  <si>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</si>
  <si>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</si>
  <si>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</si>
  <si>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</si>
  <si>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</si>
  <si>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</si>
  <si>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</si>
  <si>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</si>
  <si>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</si>
  <si>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</si>
  <si>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</si>
  <si>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</si>
  <si>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</si>
  <si>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</si>
  <si>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</si>
  <si>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</si>
  <si>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</si>
  <si>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</si>
  <si>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</si>
  <si>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</si>
  <si>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</si>
  <si>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</si>
  <si>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</si>
  <si>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</si>
  <si>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</si>
  <si>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</si>
  <si>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</si>
  <si>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</si>
  <si>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</si>
  <si>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</si>
  <si>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</si>
  <si>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</si>
  <si>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</si>
  <si>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</si>
  <si>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</si>
  <si>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</si>
  <si>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</si>
  <si>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</si>
  <si>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</si>
  <si>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</si>
  <si>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</si>
  <si>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</si>
  <si>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</si>
  <si>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</si>
  <si>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</si>
  <si>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</si>
  <si>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</si>
  <si>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</si>
  <si>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</si>
  <si>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</si>
  <si>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</si>
  <si>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</si>
  <si>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</si>
  <si>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</si>
  <si>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</si>
  <si>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</si>
  <si>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</si>
  <si>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</si>
  <si>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</si>
  <si>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</si>
  <si>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</si>
  <si>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</si>
  <si>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</si>
  <si>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</si>
  <si>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</si>
  <si>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</si>
  <si>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</si>
  <si>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</si>
  <si>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</si>
  <si>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</si>
  <si>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</si>
  <si>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</si>
  <si>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</si>
  <si>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</si>
  <si>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</si>
  <si>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</si>
  <si>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</si>
  <si>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</si>
  <si>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</si>
  <si>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</si>
  <si>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</si>
  <si>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</si>
  <si>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</si>
  <si>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</si>
  <si>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</si>
  <si>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</si>
  <si>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</si>
  <si>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</si>
  <si>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</si>
  <si>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</si>
  <si>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</si>
  <si>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</si>
  <si>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</si>
  <si>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</si>
  <si>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</si>
  <si>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</si>
  <si>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</si>
  <si>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</si>
  <si>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</si>
  <si>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</si>
  <si>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</si>
  <si>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</si>
  <si>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</si>
  <si>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</si>
  <si>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</si>
  <si>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</si>
  <si>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</si>
  <si>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</si>
  <si>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</si>
  <si>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</si>
  <si>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</si>
  <si>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</si>
  <si>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</si>
  <si>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</si>
  <si>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</si>
  <si>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</si>
  <si>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</si>
  <si>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</si>
  <si>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</si>
  <si>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</si>
  <si>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</si>
  <si>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</si>
  <si>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</si>
  <si>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</si>
  <si>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</si>
  <si>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</si>
  <si>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</si>
  <si>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</si>
  <si>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</si>
  <si>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</si>
  <si>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</si>
  <si>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</si>
  <si>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</si>
  <si>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</si>
  <si>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</si>
  <si>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</si>
  <si>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</si>
  <si>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</si>
  <si>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</si>
  <si>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</si>
  <si>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</si>
  <si>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</si>
  <si>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</si>
  <si>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</si>
  <si>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</si>
  <si>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</si>
  <si>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</si>
  <si>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</si>
  <si>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</si>
  <si>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</si>
  <si>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</si>
  <si>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</si>
  <si>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</si>
  <si>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</si>
  <si>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</si>
  <si>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</si>
  <si>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</si>
  <si>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</si>
  <si>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</si>
  <si>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</si>
  <si>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</si>
  <si>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</si>
  <si>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</si>
  <si>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</si>
  <si>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</si>
  <si>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</si>
  <si>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</si>
  <si>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</si>
  <si>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</si>
  <si>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</si>
  <si>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</si>
  <si>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</si>
  <si>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</si>
  <si>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</si>
  <si>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</si>
  <si>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</si>
  <si>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</si>
  <si>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</si>
  <si>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</si>
  <si>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</si>
  <si>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</si>
  <si>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</si>
  <si>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</si>
  <si>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</si>
  <si>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</si>
  <si>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</si>
  <si>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</si>
  <si>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</si>
  <si>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</si>
  <si>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</si>
  <si>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</si>
  <si>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</si>
  <si>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</si>
  <si>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</si>
  <si>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</si>
  <si>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</si>
  <si>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</si>
  <si>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</si>
  <si>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</si>
  <si>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</si>
  <si>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</si>
  <si>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</si>
  <si>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</si>
  <si>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</si>
  <si>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</si>
  <si>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</si>
  <si>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</si>
  <si>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</si>
  <si>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</si>
  <si>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</si>
  <si>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</si>
  <si>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</si>
  <si>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</si>
  <si>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</si>
  <si>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</si>
  <si>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</si>
  <si>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</si>
  <si>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</si>
  <si>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</si>
  <si>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</si>
  <si>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</si>
  <si>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</si>
  <si>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</si>
  <si>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</si>
  <si>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</si>
  <si>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</si>
  <si>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</si>
  <si>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</si>
  <si>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</si>
  <si>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</si>
  <si>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</si>
  <si>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</si>
  <si>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</si>
  <si>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</si>
  <si>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</si>
  <si>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</si>
  <si>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</si>
  <si>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</si>
  <si>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</si>
  <si>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</si>
  <si>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</si>
  <si>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</si>
  <si>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</si>
  <si>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</si>
  <si>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</si>
  <si>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</si>
  <si>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</si>
  <si>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</si>
  <si>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</si>
  <si>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</si>
  <si>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</si>
  <si>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</si>
  <si>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</si>
  <si>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</si>
  <si>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</si>
  <si>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</si>
  <si>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</si>
  <si>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</si>
  <si>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</si>
  <si>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</si>
  <si>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</si>
  <si>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</si>
  <si>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</si>
  <si>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</si>
  <si>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</si>
  <si>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</si>
  <si>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</si>
  <si>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</si>
  <si>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</si>
  <si>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</si>
  <si>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</si>
  <si>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</si>
  <si>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</si>
  <si>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</si>
  <si>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</si>
  <si>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</si>
  <si>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</si>
  <si>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</si>
  <si>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</si>
  <si>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</si>
  <si>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</si>
  <si>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</si>
  <si>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</si>
  <si>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</si>
  <si>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</si>
  <si>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</si>
  <si>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</si>
  <si>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</si>
  <si>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</si>
  <si>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</si>
  <si>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</si>
  <si>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</si>
  <si>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</si>
  <si>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</si>
  <si>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</si>
  <si>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</si>
  <si>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</si>
  <si>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</si>
  <si>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</si>
  <si>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</si>
  <si>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</si>
  <si>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</si>
  <si>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</si>
  <si>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</si>
  <si>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</si>
  <si>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</si>
  <si>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</si>
  <si>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</si>
  <si>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</si>
  <si>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</si>
  <si>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</si>
  <si>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</si>
  <si>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</si>
  <si>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</si>
  <si>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</si>
  <si>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</si>
  <si>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</si>
  <si>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</si>
  <si>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</si>
  <si>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</si>
  <si>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</si>
  <si>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</si>
  <si>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</si>
  <si>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</si>
  <si>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</si>
  <si>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</si>
  <si>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</si>
  <si>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</si>
  <si>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</si>
  <si>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</si>
  <si>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</si>
  <si>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</si>
  <si>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</si>
  <si>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</si>
  <si>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</si>
  <si>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</si>
  <si>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</si>
  <si>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</si>
  <si>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</si>
  <si>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</si>
  <si>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</si>
  <si>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</si>
  <si>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</si>
  <si>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</si>
  <si>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</si>
  <si>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</si>
  <si>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</si>
  <si>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</si>
  <si>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</si>
  <si>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</si>
  <si>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</si>
  <si>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</si>
  <si>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</si>
  <si>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</si>
  <si>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</si>
  <si>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</si>
  <si>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</si>
  <si>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</si>
  <si>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</si>
  <si>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</si>
  <si>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</si>
  <si>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</si>
  <si>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</si>
  <si>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</si>
  <si>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</si>
  <si>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</si>
  <si>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</si>
  <si>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</si>
  <si>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</si>
  <si>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</si>
  <si>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</si>
  <si>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</si>
  <si>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</si>
  <si>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</si>
  <si>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</si>
  <si>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</si>
  <si>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</si>
  <si>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</si>
  <si>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</si>
  <si>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</si>
  <si>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</si>
  <si>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</si>
  <si>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</si>
  <si>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</si>
  <si>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</si>
  <si>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</si>
  <si>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</si>
  <si>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</si>
  <si>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</si>
  <si>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</si>
  <si>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</si>
  <si>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</si>
  <si>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</si>
  <si>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</si>
  <si>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</si>
  <si>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</si>
  <si>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</si>
  <si>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</si>
  <si>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</si>
  <si>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</si>
  <si>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</si>
  <si>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</si>
  <si>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</si>
  <si>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</si>
  <si>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</si>
  <si>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</si>
  <si>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</si>
  <si>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</si>
  <si>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</si>
  <si>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</si>
  <si>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</si>
  <si>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</si>
  <si>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</si>
  <si>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</si>
  <si>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</si>
  <si>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</si>
  <si>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</si>
  <si>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</si>
  <si>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</si>
  <si>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</si>
  <si>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</si>
  <si>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</si>
  <si>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</si>
  <si>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</si>
  <si>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</si>
  <si>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</si>
  <si>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</si>
  <si>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</si>
  <si>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</si>
  <si>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</si>
  <si>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</si>
  <si>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</si>
  <si>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</si>
  <si>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</si>
  <si>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</si>
  <si>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</si>
  <si>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</si>
  <si>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</si>
  <si>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</si>
  <si>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</si>
  <si>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</si>
  <si>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</si>
  <si>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</si>
  <si>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</si>
  <si>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</si>
  <si>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</si>
  <si>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</si>
  <si>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</si>
  <si>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</si>
  <si>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</si>
  <si>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</si>
  <si>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</si>
  <si>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</si>
  <si>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</si>
  <si>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</si>
  <si>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</si>
  <si>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</si>
  <si>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</si>
  <si>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</si>
  <si>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</si>
  <si>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</si>
  <si>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</si>
  <si>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</si>
  <si>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</si>
  <si>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</si>
  <si>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</si>
  <si>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</si>
  <si>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</si>
  <si>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</si>
  <si>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</si>
  <si>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</si>
  <si>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</si>
  <si>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</si>
  <si>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</si>
  <si>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</si>
  <si>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</si>
  <si>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</si>
  <si>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</si>
  <si>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</si>
  <si>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</si>
  <si>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</si>
  <si>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</si>
  <si>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</si>
  <si>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</si>
  <si>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</si>
  <si>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</si>
  <si>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</si>
  <si>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</si>
  <si>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</si>
  <si>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</si>
  <si>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</si>
  <si>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</si>
  <si>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</si>
  <si>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</si>
  <si>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</si>
  <si>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</si>
  <si>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</si>
  <si>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</si>
  <si>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</si>
  <si>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</si>
  <si>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</si>
  <si>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</si>
  <si>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</si>
  <si>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</si>
  <si>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</si>
  <si>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</si>
  <si>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</si>
  <si>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</si>
  <si>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</si>
  <si>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</si>
  <si>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</si>
  <si>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</si>
  <si>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</si>
  <si>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</si>
  <si>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</si>
  <si>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</si>
  <si>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</si>
  <si>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</si>
  <si>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</si>
  <si>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</si>
  <si>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</si>
  <si>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</si>
  <si>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</si>
  <si>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</si>
  <si>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</si>
  <si>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</si>
  <si>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</si>
  <si>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</si>
  <si>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</si>
  <si>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</si>
  <si>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</si>
  <si>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</si>
  <si>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</si>
  <si>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</si>
  <si>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</si>
  <si>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</si>
  <si>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</si>
  <si>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</si>
  <si>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</si>
  <si>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</si>
  <si>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</si>
  <si>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</si>
  <si>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</si>
  <si>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</si>
  <si>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</si>
  <si>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</si>
  <si>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</si>
  <si>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</si>
  <si>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</si>
  <si>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</si>
  <si>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</si>
  <si>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</si>
  <si>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</si>
  <si>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</si>
  <si>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</si>
  <si>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</si>
  <si>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</si>
  <si>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</si>
  <si>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</si>
  <si>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</si>
  <si>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</si>
  <si>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</si>
  <si>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</si>
  <si>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</si>
  <si>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</si>
  <si>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</si>
  <si>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</si>
  <si>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</si>
  <si>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</si>
  <si>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</si>
  <si>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</si>
  <si>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</si>
  <si>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</si>
  <si>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</si>
  <si>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</si>
  <si>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</si>
  <si>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</si>
  <si>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</si>
  <si>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</si>
  <si>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</si>
  <si>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</si>
  <si>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</si>
  <si>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</si>
  <si>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</si>
  <si>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</si>
  <si>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</si>
  <si>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</si>
  <si>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</si>
  <si>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</si>
  <si>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</si>
  <si>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</si>
  <si>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</si>
  <si>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</si>
  <si>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</si>
  <si>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</si>
  <si>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</si>
  <si>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</si>
  <si>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</si>
  <si>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</si>
  <si>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</si>
  <si>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</si>
  <si>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</si>
  <si>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</si>
  <si>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</si>
  <si>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</si>
  <si>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</si>
  <si>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</si>
  <si>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</si>
  <si>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</si>
  <si>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</si>
  <si>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</si>
  <si>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</si>
  <si>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</si>
  <si>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</si>
  <si>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</si>
  <si>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</si>
  <si>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</si>
  <si>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</si>
  <si>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</si>
  <si>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</si>
  <si>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</si>
  <si>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</si>
  <si>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</si>
  <si>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</si>
  <si>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</si>
  <si>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</si>
  <si>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</si>
  <si>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</si>
  <si>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</si>
  <si>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</si>
  <si>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</si>
  <si>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</si>
  <si>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</si>
  <si>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</si>
  <si>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</si>
  <si>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</si>
  <si>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</si>
  <si>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</si>
  <si>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</si>
  <si>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</si>
  <si>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</si>
  <si>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</si>
  <si>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</si>
  <si>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</si>
  <si>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</si>
  <si>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</si>
  <si>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</si>
  <si>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</si>
  <si>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</si>
  <si>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</si>
  <si>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</si>
  <si>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</si>
  <si>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</si>
  <si>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</si>
  <si>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</si>
  <si>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</si>
  <si>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</si>
  <si>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</si>
  <si>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</si>
  <si>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</si>
  <si>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</si>
  <si>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</si>
  <si>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</si>
  <si>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</si>
  <si>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</si>
  <si>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</si>
  <si>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</si>
  <si>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</si>
  <si>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</si>
  <si>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</si>
  <si>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</si>
  <si>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</si>
  <si>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</si>
  <si>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</si>
  <si>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</si>
  <si>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</si>
  <si>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</si>
  <si>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</si>
  <si>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</si>
  <si>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</si>
  <si>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</si>
  <si>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</si>
  <si>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</si>
  <si>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</si>
  <si>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</si>
  <si>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</si>
  <si>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</si>
  <si>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</si>
  <si>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</si>
  <si>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</si>
  <si>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</si>
  <si>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</si>
  <si>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</si>
  <si>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</si>
  <si>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</si>
  <si>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</si>
  <si>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</si>
  <si>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</si>
  <si>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</si>
  <si>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</si>
  <si>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</si>
  <si>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</si>
  <si>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</si>
  <si>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</si>
  <si>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</si>
  <si>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</si>
  <si>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</si>
  <si>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</si>
  <si>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</si>
  <si>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</si>
  <si>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</si>
  <si>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</si>
  <si>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</si>
  <si>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</si>
  <si>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</si>
  <si>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</si>
  <si>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</si>
  <si>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</si>
  <si>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</si>
  <si>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</si>
  <si>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</si>
  <si>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</si>
  <si>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</si>
  <si>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</si>
  <si>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</si>
  <si>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</si>
  <si>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</si>
  <si>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</si>
  <si>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</si>
  <si>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</si>
  <si>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</si>
  <si>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</si>
  <si>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</si>
  <si>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</si>
  <si>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</si>
  <si>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</si>
  <si>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</si>
  <si>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</si>
  <si>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</si>
  <si>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</si>
  <si>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</si>
  <si>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</si>
  <si>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</si>
  <si>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</si>
  <si>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</si>
  <si>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</si>
  <si>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</si>
  <si>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</si>
  <si>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</si>
  <si>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</si>
  <si>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</si>
  <si>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</si>
  <si>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</si>
  <si>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</si>
  <si>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</si>
  <si>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</si>
  <si>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</si>
  <si>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</si>
  <si>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</si>
  <si>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</si>
  <si>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</si>
  <si>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</si>
  <si>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</si>
  <si>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</si>
  <si>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</si>
  <si>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</si>
  <si>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</si>
  <si>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</si>
  <si>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</si>
  <si>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</si>
  <si>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</si>
  <si>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</si>
  <si>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</si>
  <si>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</si>
  <si>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</si>
  <si>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</si>
  <si>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</si>
  <si>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</si>
  <si>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</si>
  <si>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</si>
  <si>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</si>
  <si>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</si>
  <si>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</si>
  <si>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</si>
  <si>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</si>
  <si>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</si>
  <si>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</si>
  <si>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</si>
  <si>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</si>
  <si>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</si>
  <si>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</si>
  <si>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</si>
  <si>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</si>
  <si>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</si>
  <si>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</si>
  <si>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</si>
  <si>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</si>
  <si>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</si>
  <si>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</si>
  <si>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</si>
  <si>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</si>
  <si>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</si>
  <si>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</si>
  <si>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</si>
  <si>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</si>
  <si>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</si>
  <si>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</si>
  <si>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</si>
  <si>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</si>
  <si>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</si>
  <si>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</si>
  <si>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</si>
  <si>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</si>
  <si>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</si>
  <si>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</si>
  <si>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</si>
  <si>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</si>
  <si>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</si>
  <si>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</si>
  <si>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</si>
  <si>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</si>
  <si>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</si>
  <si>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</si>
  <si>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</si>
  <si>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</si>
  <si>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</si>
  <si>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</si>
  <si>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</si>
  <si>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</si>
  <si>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</si>
  <si>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</si>
  <si>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</si>
  <si>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</si>
  <si>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</si>
  <si>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</si>
  <si>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</si>
  <si>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</si>
  <si>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</si>
  <si>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</si>
  <si>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</si>
  <si>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</si>
  <si>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</si>
  <si>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</si>
  <si>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</si>
  <si>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</si>
  <si>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</si>
  <si>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</si>
  <si>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</si>
  <si>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</si>
  <si>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</si>
  <si>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</si>
  <si>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</si>
  <si>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</si>
  <si>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</si>
  <si>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</si>
  <si>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</si>
  <si>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</si>
  <si>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</si>
  <si>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</si>
  <si>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</si>
  <si>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</si>
  <si>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</si>
  <si>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</si>
  <si>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</si>
  <si>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</si>
  <si>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</si>
  <si>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</si>
  <si>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</si>
  <si>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</si>
  <si>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</si>
  <si>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</si>
  <si>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</si>
  <si>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</si>
  <si>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</si>
  <si>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</si>
  <si>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</si>
  <si>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</si>
  <si>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</si>
  <si>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</si>
  <si>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</si>
  <si>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</si>
  <si>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</si>
  <si>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</si>
  <si>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</si>
  <si>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</si>
  <si>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</si>
  <si>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</si>
  <si>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</si>
  <si>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</si>
  <si>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</si>
  <si>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</si>
  <si>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</si>
  <si>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</si>
  <si>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</si>
  <si>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</si>
  <si>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</si>
  <si>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</si>
  <si>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</si>
  <si>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</si>
  <si>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</si>
  <si>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</si>
  <si>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</si>
  <si>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</si>
  <si>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</si>
  <si>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</si>
  <si>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</si>
  <si>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</si>
  <si>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</si>
  <si>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</si>
  <si>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</si>
  <si>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</si>
  <si>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</si>
  <si>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</si>
  <si>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</si>
  <si>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</si>
  <si>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</si>
  <si>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</si>
  <si>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</si>
  <si>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</si>
  <si>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</si>
  <si>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</si>
  <si>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</si>
  <si>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</si>
  <si>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</si>
  <si>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</si>
  <si>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</si>
  <si>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</si>
  <si>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</si>
  <si>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</si>
  <si>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</si>
  <si>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</si>
  <si>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</si>
  <si>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</si>
  <si>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</si>
  <si>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</si>
  <si>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</si>
  <si>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</si>
  <si>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</si>
  <si>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</si>
  <si>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</si>
  <si>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</si>
  <si>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</si>
  <si>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</si>
  <si>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</si>
  <si>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</si>
  <si>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</si>
  <si>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</si>
  <si>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</si>
  <si>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</si>
  <si>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</si>
  <si>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</si>
  <si>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</si>
  <si>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</si>
  <si>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</si>
  <si>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</si>
  <si>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</si>
  <si>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</si>
  <si>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</si>
  <si>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</si>
  <si>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</si>
  <si>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</si>
  <si>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</si>
  <si>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</si>
  <si>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</si>
  <si>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</si>
  <si>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</si>
  <si>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</si>
  <si>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</si>
  <si>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</si>
  <si>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</si>
  <si>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</si>
  <si>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</si>
  <si>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</si>
  <si>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</si>
  <si>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</si>
  <si>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</si>
  <si>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</si>
  <si>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</si>
  <si>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</si>
  <si>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</si>
  <si>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</si>
  <si>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</si>
  <si>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</si>
  <si>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</si>
  <si>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</si>
  <si>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</si>
  <si>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</si>
  <si>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</si>
  <si>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</si>
  <si>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</si>
  <si>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</si>
  <si>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</si>
  <si>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</si>
  <si>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</si>
  <si>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</si>
  <si>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</si>
  <si>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</si>
  <si>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</si>
  <si>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</si>
  <si>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</si>
  <si>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</si>
  <si>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</si>
  <si>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</si>
  <si>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</si>
  <si>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</si>
  <si>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</si>
  <si>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</si>
  <si>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</si>
  <si>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</si>
  <si>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</si>
  <si>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</si>
  <si>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</si>
  <si>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</si>
  <si>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</si>
  <si>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</si>
  <si>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</si>
  <si>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</si>
  <si>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</si>
  <si>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</si>
  <si>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</si>
  <si>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</si>
  <si>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</si>
  <si>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</si>
  <si>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</si>
  <si>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</si>
  <si>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</si>
  <si>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</si>
  <si>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</si>
  <si>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</si>
  <si>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</si>
  <si>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</si>
  <si>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</si>
  <si>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</si>
  <si>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</si>
  <si>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</si>
  <si>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</si>
  <si>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</si>
  <si>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</si>
  <si>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</si>
  <si>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</si>
  <si>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</si>
  <si>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</si>
  <si>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</si>
  <si>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</si>
  <si>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</si>
  <si>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</si>
  <si>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</si>
  <si>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</si>
  <si>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</si>
  <si>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</si>
  <si>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</si>
  <si>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</si>
  <si>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</si>
  <si>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</si>
  <si>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</si>
  <si>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</si>
  <si>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</si>
  <si>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</si>
  <si>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</si>
  <si>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</si>
  <si>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</si>
  <si>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</si>
  <si>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</si>
  <si>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</si>
  <si>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</si>
  <si>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</si>
  <si>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</si>
  <si>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</si>
  <si>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</si>
  <si>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</si>
  <si>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</si>
  <si>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</si>
  <si>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</si>
  <si>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</si>
  <si>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</si>
  <si>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</si>
  <si>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</si>
  <si>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</si>
  <si>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</si>
  <si>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</si>
  <si>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</si>
  <si>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</si>
  <si>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</si>
  <si>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</si>
  <si>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</si>
  <si>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</si>
  <si>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</si>
  <si>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</si>
  <si>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</si>
  <si>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</si>
  <si>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</si>
  <si>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</si>
  <si>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</si>
  <si>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</si>
  <si>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</si>
  <si>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</si>
  <si>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</si>
  <si>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</si>
  <si>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</si>
  <si>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</si>
  <si>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</si>
  <si>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</si>
  <si>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</si>
  <si>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</si>
  <si>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</si>
  <si>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</si>
  <si>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</si>
  <si>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</si>
  <si>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</si>
  <si>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</si>
  <si>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</si>
  <si>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</si>
  <si>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</si>
  <si>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</si>
  <si>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</si>
  <si>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</si>
  <si>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</si>
  <si>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</si>
  <si>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</si>
  <si>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</si>
  <si>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</si>
  <si>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</si>
  <si>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</si>
  <si>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</si>
  <si>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</si>
  <si>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</si>
  <si>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</si>
  <si>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</si>
  <si>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</si>
  <si>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</si>
  <si>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</si>
  <si>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</si>
  <si>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</si>
  <si>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</si>
  <si>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</si>
  <si>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</si>
  <si>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</si>
  <si>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</si>
  <si>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</si>
  <si>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</si>
  <si>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</si>
  <si>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</si>
  <si>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</si>
  <si>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</si>
  <si>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</si>
  <si>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</si>
  <si>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</si>
  <si>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</si>
  <si>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</si>
  <si>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</si>
  <si>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</si>
  <si>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</si>
  <si>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</si>
  <si>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</si>
  <si>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</si>
  <si>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</si>
  <si>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</si>
  <si>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</si>
  <si>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</si>
  <si>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</si>
  <si>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</si>
  <si>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</si>
  <si>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</si>
  <si>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</si>
  <si>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</si>
  <si>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</si>
  <si>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</si>
  <si>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</si>
  <si>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</si>
  <si>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</si>
  <si>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</si>
  <si>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</si>
  <si>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</si>
  <si>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</si>
  <si>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</si>
  <si>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</si>
  <si>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</si>
  <si>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</si>
  <si>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</si>
  <si>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</si>
  <si>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</si>
  <si>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</si>
  <si>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</si>
  <si>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</si>
  <si>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</si>
  <si>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</si>
  <si>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</si>
  <si>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</si>
  <si>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</si>
  <si>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</si>
  <si>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</si>
  <si>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</si>
  <si>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</si>
  <si>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</si>
  <si>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</si>
  <si>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</si>
  <si>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</si>
  <si>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</si>
  <si>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</si>
  <si>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</si>
  <si>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</si>
  <si>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</si>
  <si>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</si>
  <si>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</si>
  <si>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</si>
  <si>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</si>
  <si>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</si>
  <si>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</si>
  <si>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</si>
  <si>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</si>
  <si>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</si>
  <si>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</si>
  <si>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</si>
  <si>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</si>
  <si>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</si>
  <si>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</si>
  <si>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</si>
  <si>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</si>
  <si>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</si>
  <si>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</si>
  <si>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</si>
  <si>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</si>
  <si>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</si>
  <si>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</si>
  <si>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</si>
  <si>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</si>
  <si>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</si>
  <si>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</si>
  <si>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</si>
  <si>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</si>
  <si>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</si>
  <si>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</si>
  <si>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</si>
  <si>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</si>
  <si>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</si>
  <si>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</si>
  <si>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</si>
  <si>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</si>
  <si>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</si>
  <si>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</si>
  <si>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</si>
  <si>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</si>
  <si>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</si>
  <si>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</si>
  <si>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</si>
  <si>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</si>
  <si>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</si>
  <si>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</si>
  <si>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</si>
  <si>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</si>
  <si>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</si>
  <si>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</si>
  <si>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</si>
  <si>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</si>
  <si>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</si>
  <si>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</si>
  <si>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</si>
  <si>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</si>
  <si>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</si>
  <si>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</si>
  <si>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</si>
  <si>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</si>
  <si>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</si>
  <si>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</si>
  <si>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</si>
  <si>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</si>
  <si>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</si>
  <si>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</si>
  <si>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</si>
  <si>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</si>
  <si>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</si>
  <si>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</si>
  <si>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</si>
  <si>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</si>
  <si>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</si>
  <si>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</si>
  <si>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</si>
  <si>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</si>
  <si>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</si>
  <si>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</si>
  <si>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</si>
  <si>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</si>
  <si>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</si>
  <si>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</si>
  <si>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</si>
  <si>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</si>
  <si>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</si>
  <si>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</si>
  <si>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</si>
  <si>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</si>
  <si>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</si>
  <si>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</si>
  <si>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</si>
  <si>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</si>
  <si>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</si>
  <si>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</si>
  <si>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</si>
  <si>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</si>
  <si>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</si>
  <si>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</si>
  <si>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</si>
  <si>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</si>
  <si>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</si>
  <si>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</si>
  <si>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</si>
  <si>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</si>
  <si>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</si>
  <si>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</si>
  <si>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</si>
  <si>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</si>
  <si>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</si>
  <si>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</si>
  <si>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</si>
  <si>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</si>
  <si>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</si>
  <si>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</si>
  <si>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</si>
  <si>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</si>
  <si>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</si>
  <si>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</si>
  <si>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</si>
  <si>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</si>
  <si>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</si>
  <si>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</si>
  <si>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</si>
  <si>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</si>
  <si>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</si>
  <si>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</si>
  <si>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</si>
  <si>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</si>
  <si>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</si>
  <si>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</si>
  <si>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</si>
  <si>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</si>
  <si>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</si>
  <si>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</si>
  <si>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</si>
  <si>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</si>
  <si>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</si>
  <si>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</si>
  <si>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</si>
  <si>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</si>
  <si>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</si>
  <si>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</si>
  <si>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</si>
  <si>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</si>
  <si>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</si>
  <si>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</si>
  <si>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</si>
  <si>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</si>
  <si>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</si>
  <si>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</si>
  <si>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</si>
  <si>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</si>
  <si>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</si>
  <si>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</si>
  <si>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</si>
  <si>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</si>
  <si>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</si>
  <si>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</si>
  <si>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</si>
  <si>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</si>
  <si>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</si>
  <si>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</si>
  <si>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</si>
  <si>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</si>
  <si>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</si>
  <si>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</si>
  <si>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</si>
  <si>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</si>
  <si>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</si>
  <si>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</si>
  <si>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</si>
  <si>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</si>
  <si>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</si>
  <si>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</si>
  <si>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</si>
  <si>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</si>
  <si>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</si>
  <si>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</si>
  <si>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</si>
  <si>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</si>
  <si>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</si>
  <si>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</si>
  <si>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</si>
  <si>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</si>
  <si>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</si>
  <si>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</si>
  <si>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</si>
  <si>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</si>
  <si>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</si>
  <si>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</si>
  <si>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</si>
  <si>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</si>
  <si>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</si>
  <si>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</si>
  <si>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</si>
  <si>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</si>
  <si>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</si>
  <si>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</si>
  <si>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</si>
  <si>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</si>
  <si>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</si>
  <si>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</si>
  <si>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</si>
  <si>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</si>
  <si>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</si>
  <si>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</si>
  <si>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</si>
  <si>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</si>
  <si>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</si>
  <si>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</si>
  <si>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</si>
  <si>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</si>
  <si>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</si>
  <si>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</si>
  <si>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</si>
  <si>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</si>
  <si>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</si>
  <si>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</si>
  <si>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</si>
  <si>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</si>
  <si>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</si>
  <si>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</si>
  <si>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</si>
  <si>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</si>
  <si>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</si>
  <si>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</si>
  <si>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</si>
  <si>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</si>
  <si>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</si>
  <si>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</si>
  <si>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</si>
  <si>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</si>
  <si>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</si>
  <si>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</si>
  <si>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</si>
  <si>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</si>
  <si>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</si>
  <si>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</si>
  <si>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</si>
  <si>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</si>
  <si>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</si>
  <si>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</si>
  <si>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</si>
  <si>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</si>
  <si>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</si>
  <si>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</si>
  <si>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</si>
  <si>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</si>
  <si>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</si>
  <si>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</si>
  <si>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</si>
  <si>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</si>
  <si>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</si>
  <si>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</si>
  <si>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</si>
  <si>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</si>
  <si>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</si>
  <si>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</si>
  <si>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</si>
  <si>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</si>
  <si>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</si>
  <si>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</si>
  <si>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</si>
  <si>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</si>
  <si>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</si>
  <si>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</si>
  <si>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</si>
  <si>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</si>
  <si>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</si>
  <si>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</si>
  <si>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</si>
  <si>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</si>
  <si>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</si>
  <si>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</si>
  <si>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</si>
  <si>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</si>
  <si>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</si>
  <si>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</si>
  <si>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</si>
  <si>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</si>
  <si>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</si>
  <si>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</si>
  <si>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</si>
  <si>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</si>
  <si>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</si>
  <si>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</si>
  <si>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</si>
  <si>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</si>
  <si>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</si>
  <si>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</si>
  <si>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</si>
  <si>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</si>
  <si>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</si>
  <si>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</si>
  <si>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</si>
  <si>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</si>
  <si>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</si>
  <si>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</si>
  <si>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</si>
  <si>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</si>
  <si>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</si>
  <si>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</si>
  <si>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</si>
  <si>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</si>
  <si>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</si>
  <si>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</si>
  <si>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</si>
  <si>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</si>
  <si>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</si>
  <si>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</si>
  <si>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</si>
  <si>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</si>
  <si>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</si>
  <si>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</si>
  <si>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</si>
  <si>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</si>
  <si>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</si>
  <si>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</si>
  <si>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</si>
  <si>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</si>
  <si>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</si>
  <si>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</si>
  <si>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</si>
  <si>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</si>
  <si>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</si>
  <si>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</si>
  <si>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</si>
  <si>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</si>
  <si>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</si>
  <si>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</si>
  <si>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</si>
  <si>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</si>
  <si>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</si>
  <si>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</si>
  <si>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</si>
  <si>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</si>
  <si>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</si>
  <si>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</si>
  <si>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</si>
  <si>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</si>
  <si>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</si>
  <si>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</si>
  <si>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</si>
  <si>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</si>
  <si>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</si>
  <si>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</si>
  <si>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</si>
  <si>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</si>
  <si>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</si>
  <si>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</si>
  <si>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</si>
  <si>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</si>
  <si>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</si>
  <si>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</si>
  <si>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</si>
  <si>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</si>
  <si>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</si>
  <si>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</si>
  <si>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</si>
  <si>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</si>
  <si>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</si>
  <si>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</si>
  <si>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</si>
  <si>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</si>
  <si>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</si>
  <si>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</si>
  <si>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</si>
  <si>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</si>
  <si>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</si>
  <si>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</si>
  <si>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</si>
  <si>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</si>
  <si>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</si>
  <si>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</si>
  <si>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</si>
  <si>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</si>
  <si>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</si>
  <si>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</si>
  <si>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</si>
  <si>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</si>
  <si>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</si>
  <si>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</si>
  <si>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</si>
  <si>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</si>
  <si>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</si>
  <si>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</si>
  <si>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</si>
  <si>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</si>
  <si>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</si>
  <si>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</si>
  <si>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</si>
  <si>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</si>
  <si>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</si>
  <si>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</si>
  <si>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</si>
  <si>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</si>
  <si>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</si>
  <si>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</si>
  <si>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</si>
  <si>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</si>
  <si>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</si>
  <si>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</si>
  <si>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</si>
  <si>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</si>
  <si>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</si>
  <si>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</si>
  <si>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</si>
  <si>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</si>
  <si>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</si>
  <si>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</si>
  <si>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</si>
  <si>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</si>
  <si>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</si>
  <si>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</si>
  <si>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</si>
  <si>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</si>
  <si>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</si>
  <si>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</si>
  <si>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</si>
  <si>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</si>
  <si>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</si>
  <si>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</si>
  <si>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</si>
  <si>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</si>
  <si>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</si>
  <si>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</si>
  <si>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</si>
  <si>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</si>
  <si>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</si>
  <si>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</si>
  <si>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</si>
  <si>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</si>
  <si>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</si>
  <si>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</si>
  <si>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</si>
  <si>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</si>
  <si>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</si>
  <si>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</si>
  <si>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</si>
  <si>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</si>
  <si>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</si>
  <si>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</si>
  <si>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</si>
  <si>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</si>
  <si>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</si>
  <si>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</si>
  <si>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</si>
  <si>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</si>
  <si>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</si>
  <si>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</si>
  <si>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</si>
  <si>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</si>
  <si>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</si>
  <si>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</si>
  <si>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</si>
  <si>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</si>
  <si>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</si>
  <si>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</si>
  <si>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</si>
  <si>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</si>
  <si>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</si>
  <si>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</si>
  <si>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</si>
  <si>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</si>
  <si>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</si>
  <si>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</si>
  <si>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</si>
  <si>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</si>
  <si>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</si>
  <si>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</si>
  <si>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</si>
  <si>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</si>
  <si>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</si>
  <si>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</si>
  <si>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</si>
  <si>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</si>
  <si>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</si>
  <si>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</si>
  <si>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</si>
  <si>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</si>
  <si>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</si>
  <si>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</si>
  <si>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</si>
  <si>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</si>
  <si>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</si>
  <si>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</si>
  <si>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</si>
  <si>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</si>
  <si>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</si>
  <si>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</si>
  <si>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</si>
  <si>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</si>
  <si>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</si>
  <si>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</si>
  <si>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</si>
  <si>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</si>
  <si>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</si>
  <si>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</si>
  <si>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</si>
  <si>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</si>
  <si>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</si>
  <si>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</si>
  <si>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</si>
  <si>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</si>
  <si>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</si>
  <si>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</si>
  <si>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</si>
  <si>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</si>
  <si>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</si>
  <si>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</si>
  <si>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</si>
  <si>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</si>
  <si>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</si>
  <si>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</si>
  <si>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</si>
  <si>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</si>
  <si>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</si>
  <si>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</si>
  <si>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</si>
  <si>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</si>
  <si>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</si>
  <si>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</si>
  <si>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</si>
  <si>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</si>
  <si>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</si>
  <si>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</si>
  <si>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</si>
  <si>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</si>
  <si>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</si>
  <si>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</si>
  <si>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</si>
  <si>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</si>
  <si>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</si>
  <si>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</si>
  <si>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</si>
  <si>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</si>
  <si>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</si>
  <si>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</si>
  <si>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</si>
  <si>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</si>
  <si>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</si>
  <si>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</si>
  <si>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</si>
  <si>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</si>
  <si>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</si>
  <si>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</si>
  <si>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</si>
  <si>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</si>
  <si>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</si>
  <si>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</si>
  <si>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</si>
  <si>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</si>
  <si>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</si>
  <si>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</si>
  <si>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</si>
  <si>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</si>
  <si>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</si>
  <si>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</si>
  <si>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</si>
  <si>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</si>
  <si>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</si>
  <si>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</si>
  <si>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</si>
  <si>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</si>
  <si>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</si>
  <si>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</si>
  <si>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</si>
  <si>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</si>
  <si>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</si>
  <si>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</si>
  <si>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</si>
  <si>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</si>
  <si>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</si>
  <si>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</si>
  <si>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</si>
  <si>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</si>
  <si>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</si>
  <si>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</si>
  <si>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</si>
  <si>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</si>
  <si>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</si>
  <si>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</si>
  <si>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</si>
  <si>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</si>
  <si>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</si>
  <si>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</si>
  <si>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</si>
  <si>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</si>
  <si>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</si>
  <si>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</si>
  <si>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</si>
  <si>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</si>
  <si>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</si>
  <si>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</si>
  <si>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</si>
  <si>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</si>
  <si>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</si>
  <si>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</si>
  <si>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</si>
  <si>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</si>
  <si>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</si>
  <si>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</si>
  <si>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</si>
  <si>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</si>
  <si>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</si>
  <si>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</si>
  <si>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</si>
  <si>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</si>
  <si>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</si>
  <si>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</si>
  <si>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</si>
  <si>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</si>
  <si>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</si>
  <si>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</si>
  <si>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</si>
  <si>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</si>
  <si>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</si>
  <si>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</si>
  <si>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</si>
  <si>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</si>
  <si>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</si>
  <si>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</si>
  <si>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</si>
  <si>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</si>
  <si>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</si>
  <si>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</si>
  <si>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</si>
  <si>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</si>
  <si>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</si>
  <si>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</si>
  <si>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</si>
  <si>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</si>
  <si>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</si>
  <si>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</si>
  <si>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</si>
  <si>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</si>
  <si>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</si>
  <si>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</si>
  <si>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</si>
  <si>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</si>
  <si>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</si>
  <si>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</si>
  <si>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</si>
  <si>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</si>
  <si>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</si>
  <si>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</si>
  <si>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</si>
  <si>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</si>
  <si>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</si>
  <si>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</si>
  <si>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</si>
  <si>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</si>
  <si>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</si>
  <si>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</si>
  <si>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</si>
  <si>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</si>
  <si>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</si>
  <si>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</si>
  <si>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</si>
  <si>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</si>
  <si>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</si>
  <si>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</si>
  <si>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</si>
  <si>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</si>
  <si>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</si>
  <si>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</si>
  <si>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</si>
  <si>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</si>
  <si>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</si>
  <si>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</si>
  <si>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</si>
  <si>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</si>
  <si>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</si>
  <si>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</si>
  <si>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</si>
  <si>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</si>
  <si>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</si>
  <si>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</si>
  <si>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</si>
  <si>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</si>
  <si>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</si>
  <si>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</si>
  <si>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</si>
  <si>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</si>
  <si>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</si>
  <si>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</si>
  <si>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</si>
  <si>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</si>
  <si>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</si>
  <si>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</si>
  <si>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</si>
  <si>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</si>
  <si>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</si>
  <si>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</si>
  <si>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</si>
  <si>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</si>
  <si>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</si>
  <si>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</si>
  <si>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</si>
  <si>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</si>
  <si>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</si>
  <si>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</si>
  <si>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</si>
  <si>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</si>
  <si>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</si>
  <si>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</si>
  <si>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</si>
  <si>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</si>
  <si>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</si>
  <si>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</si>
  <si>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</si>
  <si>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</si>
  <si>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</si>
  <si>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</si>
  <si>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</si>
  <si>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</si>
  <si>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</si>
  <si>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</si>
  <si>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</si>
  <si>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</si>
  <si>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</si>
  <si>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</si>
  <si>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</si>
  <si>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</si>
  <si>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</si>
  <si>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</si>
  <si>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</si>
  <si>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</si>
  <si>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</si>
  <si>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</si>
  <si>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</si>
  <si>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</si>
  <si>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</si>
  <si>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</si>
  <si>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</si>
  <si>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</si>
  <si>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</si>
  <si>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</si>
  <si>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</si>
  <si>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</si>
  <si>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</si>
  <si>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</si>
  <si>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</si>
  <si>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</si>
  <si>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</si>
  <si>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</si>
  <si>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</si>
  <si>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</si>
  <si>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</si>
  <si>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</si>
  <si>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</si>
  <si>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</si>
  <si>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</si>
  <si>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</si>
  <si>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</si>
  <si>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</si>
  <si>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</si>
  <si>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</si>
  <si>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</si>
  <si>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</si>
  <si>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</si>
  <si>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</si>
  <si>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</si>
  <si>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</si>
  <si>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</si>
  <si>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</si>
  <si>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</si>
  <si>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</si>
  <si>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</si>
  <si>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</si>
  <si>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</si>
  <si>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</si>
  <si>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</si>
  <si>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</si>
  <si>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</si>
  <si>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</si>
  <si>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</si>
  <si>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</si>
  <si>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</si>
  <si>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</si>
  <si>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</si>
  <si>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</si>
  <si>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</si>
  <si>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</si>
  <si>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</si>
  <si>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</si>
  <si>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</si>
  <si>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</si>
  <si>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</si>
  <si>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</si>
  <si>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</si>
  <si>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</si>
  <si>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</si>
  <si>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</si>
  <si>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</si>
  <si>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</si>
  <si>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</si>
  <si>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</si>
  <si>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</si>
  <si>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</si>
  <si>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</si>
  <si>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</si>
  <si>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</si>
  <si>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</si>
  <si>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</si>
  <si>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</si>
  <si>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</si>
  <si>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</si>
  <si>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</si>
  <si>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</si>
  <si>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</si>
  <si>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</si>
  <si>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</si>
  <si>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</si>
  <si>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</si>
  <si>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</si>
  <si>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</si>
  <si>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</si>
  <si>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</si>
  <si>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</si>
  <si>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</si>
  <si>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</si>
  <si>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</si>
  <si>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</si>
  <si>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</si>
  <si>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</si>
  <si>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</si>
  <si>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</si>
  <si>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</si>
  <si>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</si>
  <si>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</si>
  <si>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</si>
  <si>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</si>
  <si>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</si>
  <si>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</si>
  <si>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</si>
  <si>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</si>
  <si>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</si>
  <si>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</si>
  <si>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</si>
  <si>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</si>
  <si>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</si>
  <si>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</si>
  <si>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</si>
  <si>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</si>
  <si>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</si>
  <si>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</si>
  <si>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</si>
  <si>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</si>
  <si>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</si>
  <si>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</si>
  <si>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</si>
  <si>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</si>
  <si>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</si>
  <si>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</si>
  <si>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</si>
  <si>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</si>
  <si>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</si>
  <si>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</si>
  <si>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</si>
  <si>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</si>
  <si>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</si>
  <si>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</si>
  <si>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</si>
  <si>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</si>
  <si>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</si>
  <si>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</si>
  <si>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</si>
  <si>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</si>
  <si>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</si>
  <si>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</si>
  <si>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</si>
  <si>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</si>
  <si>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</si>
  <si>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</si>
  <si>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</si>
  <si>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</si>
  <si>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</si>
  <si>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</si>
  <si>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</si>
  <si>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</si>
  <si>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</si>
  <si>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</si>
  <si>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</si>
  <si>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</si>
  <si>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</si>
  <si>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</si>
  <si>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</si>
  <si>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</si>
  <si>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</si>
  <si>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</si>
  <si>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</si>
  <si>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</si>
  <si>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</si>
  <si>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</si>
  <si>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</si>
  <si>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</si>
  <si>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</si>
  <si>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</si>
  <si>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</si>
  <si>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</si>
  <si>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</si>
  <si>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</si>
  <si>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</si>
  <si>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</si>
  <si>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</si>
  <si>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</si>
  <si>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</si>
  <si>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</si>
  <si>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</si>
  <si>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</si>
  <si>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</si>
  <si>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</si>
  <si>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</si>
  <si>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</si>
  <si>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</si>
  <si>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</si>
  <si>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</si>
  <si>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</si>
  <si>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</si>
  <si>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</si>
  <si>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</si>
  <si>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</si>
  <si>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</si>
  <si>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</si>
  <si>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</si>
  <si>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</si>
  <si>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</si>
  <si>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</si>
  <si>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</si>
  <si>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</si>
  <si>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</si>
  <si>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</si>
  <si>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</si>
  <si>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</si>
  <si>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</si>
  <si>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</si>
  <si>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</si>
  <si>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</si>
  <si>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</si>
  <si>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</si>
  <si>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</si>
  <si>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</si>
  <si>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</si>
  <si>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</si>
  <si>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</si>
  <si>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</si>
  <si>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</si>
  <si>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</si>
  <si>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</si>
  <si>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</si>
  <si>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</si>
  <si>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</si>
  <si>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</si>
  <si>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</si>
  <si>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</si>
  <si>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</si>
  <si>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</si>
  <si>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</si>
  <si>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</si>
  <si>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</si>
  <si>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</si>
  <si>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</si>
  <si>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</si>
  <si>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</si>
  <si>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</si>
  <si>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</si>
  <si>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</si>
  <si>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</si>
  <si>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</si>
  <si>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</si>
  <si>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</si>
  <si>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</si>
  <si>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</si>
  <si>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</si>
  <si>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</si>
  <si>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</si>
  <si>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</si>
  <si>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</si>
  <si>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</si>
  <si>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</si>
  <si>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</si>
  <si>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</si>
  <si>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</si>
  <si>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</si>
  <si>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</si>
  <si>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</si>
  <si>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</si>
  <si>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</si>
  <si>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</si>
  <si>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</si>
  <si>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</si>
  <si>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</si>
  <si>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</si>
  <si>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</si>
  <si>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</si>
  <si>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</si>
  <si>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</si>
  <si>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</si>
  <si>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</si>
  <si>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</si>
  <si>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</si>
  <si>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</si>
  <si>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</si>
  <si>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</si>
  <si>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</si>
  <si>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</si>
  <si>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</si>
  <si>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</si>
  <si>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</si>
  <si>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</si>
  <si>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</si>
  <si>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</si>
  <si>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</si>
  <si>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</si>
  <si>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</si>
  <si>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</si>
  <si>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</si>
  <si>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</si>
  <si>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</si>
  <si>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</si>
  <si>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</si>
  <si>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</si>
  <si>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</si>
  <si>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</si>
  <si>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</si>
  <si>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</si>
  <si>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</si>
  <si>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</si>
  <si>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</si>
  <si>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</si>
  <si>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</si>
  <si>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</si>
  <si>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</si>
  <si>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</si>
  <si>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</si>
  <si>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</si>
  <si>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</si>
  <si>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</si>
  <si>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</si>
  <si>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</si>
  <si>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</si>
  <si>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</si>
  <si>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</si>
  <si>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</si>
  <si>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</si>
  <si>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</si>
  <si>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</si>
  <si>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</si>
  <si>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</si>
  <si>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</si>
  <si>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</si>
  <si>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</si>
  <si>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</si>
  <si>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</si>
  <si>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</si>
  <si>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</si>
  <si>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</si>
  <si>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</si>
  <si>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</si>
  <si>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</si>
  <si>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</si>
  <si>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</si>
  <si>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</si>
  <si>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</si>
  <si>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</si>
  <si>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</si>
  <si>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</si>
  <si>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</si>
  <si>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</si>
  <si>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</si>
  <si>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</si>
  <si>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</si>
  <si>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</si>
  <si>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</si>
  <si>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</si>
  <si>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</si>
  <si>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</si>
  <si>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</si>
  <si>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</si>
  <si>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</si>
  <si>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</si>
  <si>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</si>
  <si>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</si>
  <si>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</si>
  <si>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</si>
  <si>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</si>
  <si>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</si>
  <si>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</si>
  <si>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</si>
  <si>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</si>
  <si>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</si>
  <si>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</si>
  <si>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</si>
  <si>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</si>
  <si>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</si>
  <si>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</si>
  <si>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</si>
  <si>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</si>
  <si>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</si>
  <si>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</si>
  <si>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</si>
  <si>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</si>
  <si>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</si>
  <si>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</si>
  <si>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</si>
  <si>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</si>
  <si>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</si>
  <si>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</si>
  <si>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</si>
  <si>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</si>
  <si>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</si>
  <si>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</si>
  <si>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</si>
  <si>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</si>
  <si>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</si>
  <si>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</si>
  <si>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</si>
  <si>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</si>
  <si>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</si>
  <si>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</si>
  <si>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</si>
  <si>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</si>
  <si>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</si>
  <si>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</si>
  <si>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</si>
  <si>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</si>
  <si>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</si>
  <si>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</si>
  <si>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</si>
  <si>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</si>
  <si>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</si>
  <si>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</si>
  <si>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</si>
  <si>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</si>
  <si>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</si>
  <si>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</si>
  <si>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</si>
  <si>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</si>
  <si>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</si>
  <si>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</si>
  <si>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</si>
  <si>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</si>
  <si>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</si>
  <si>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</si>
  <si>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</si>
  <si>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</si>
  <si>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</si>
  <si>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</si>
  <si>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</si>
  <si>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</si>
  <si>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</si>
  <si>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</si>
  <si>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</si>
  <si>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</si>
  <si>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</si>
  <si>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</si>
  <si>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</si>
  <si>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</si>
  <si>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</si>
  <si>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</si>
  <si>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</si>
  <si>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</si>
  <si>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</si>
  <si>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</si>
  <si>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</si>
  <si>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</si>
  <si>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</si>
  <si>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</si>
  <si>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</si>
  <si>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</si>
  <si>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</si>
  <si>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</si>
  <si>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</si>
  <si>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</si>
  <si>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</si>
  <si>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</si>
  <si>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</si>
  <si>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</si>
  <si>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</si>
  <si>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</si>
  <si>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</si>
  <si>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</si>
  <si>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</si>
  <si>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</si>
  <si>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</si>
  <si>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</si>
  <si>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</si>
  <si>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</si>
  <si>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</si>
  <si>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</si>
  <si>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</si>
  <si>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</si>
  <si>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</si>
  <si>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</si>
  <si>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</si>
  <si>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</si>
  <si>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</si>
  <si>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</si>
  <si>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</si>
  <si>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</si>
  <si>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</si>
  <si>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</si>
  <si>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</si>
  <si>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</si>
  <si>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</si>
  <si>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</si>
  <si>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</si>
  <si>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</si>
  <si>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</si>
  <si>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</si>
  <si>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</si>
  <si>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</si>
  <si>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</si>
  <si>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</si>
  <si>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</si>
  <si>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</si>
  <si>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</si>
  <si>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</si>
  <si>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</si>
  <si>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</si>
  <si>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</si>
  <si>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</si>
  <si>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</si>
  <si>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</si>
  <si>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</si>
  <si>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</si>
  <si>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</si>
  <si>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</si>
  <si>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</si>
  <si>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</si>
  <si>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</si>
  <si>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</si>
  <si>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</si>
  <si>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</si>
  <si>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</si>
  <si>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</si>
  <si>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</si>
  <si>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</si>
  <si>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</si>
  <si>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</si>
  <si>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</si>
  <si>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</si>
  <si>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</si>
  <si>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</si>
  <si>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</si>
  <si>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</si>
  <si>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</si>
  <si>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</si>
  <si>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</si>
  <si>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</si>
  <si>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</si>
  <si>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</si>
  <si>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</si>
  <si>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</si>
  <si>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</si>
  <si>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</si>
  <si>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</si>
  <si>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</si>
  <si>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</si>
  <si>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</si>
  <si>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</si>
  <si>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</si>
  <si>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</si>
  <si>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</si>
  <si>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</si>
  <si>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</si>
  <si>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</si>
  <si>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</si>
  <si>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</si>
  <si>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</si>
  <si>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</si>
  <si>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</si>
  <si>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</si>
  <si>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</si>
  <si>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</si>
  <si>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</si>
  <si>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</si>
  <si>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</si>
  <si>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</si>
  <si>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</si>
  <si>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</si>
  <si>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</si>
  <si>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</si>
  <si>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</si>
  <si>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</si>
  <si>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</si>
  <si>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</si>
  <si>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</si>
  <si>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</si>
  <si>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</si>
  <si>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</si>
  <si>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</si>
  <si>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</si>
  <si>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</si>
  <si>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</si>
  <si>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</si>
  <si>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</si>
  <si>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</si>
  <si>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</si>
  <si>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</si>
  <si>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</si>
  <si>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</si>
  <si>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</si>
  <si>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</si>
  <si>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</si>
  <si>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</si>
  <si>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</si>
  <si>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</si>
  <si>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</si>
  <si>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</si>
  <si>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</si>
  <si>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</si>
  <si>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</si>
  <si>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</si>
  <si>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</si>
  <si>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</si>
  <si>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</si>
  <si>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</si>
  <si>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</si>
  <si>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</si>
  <si>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</si>
  <si>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</si>
  <si>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</si>
  <si>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</si>
  <si>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</si>
  <si>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</si>
  <si>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</si>
  <si>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</si>
  <si>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</si>
  <si>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</si>
  <si>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</si>
  <si>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</si>
  <si>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</si>
  <si>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</si>
  <si>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</si>
  <si>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</si>
  <si>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</si>
  <si>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</si>
  <si>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</si>
  <si>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</si>
  <si>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</si>
  <si>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</si>
  <si>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</si>
  <si>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</si>
  <si>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</si>
  <si>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</si>
  <si>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</si>
  <si>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</si>
  <si>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</si>
  <si>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</si>
  <si>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</si>
  <si>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</si>
  <si>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</si>
  <si>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</si>
  <si>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</si>
  <si>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</si>
  <si>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</si>
  <si>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</si>
  <si>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</si>
  <si>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</si>
  <si>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</si>
  <si>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</si>
  <si>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</si>
  <si>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</si>
  <si>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</si>
  <si>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</si>
  <si>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</si>
  <si>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</si>
  <si>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</si>
  <si>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</si>
  <si>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</si>
  <si>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</si>
  <si>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</si>
  <si>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</si>
  <si>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</si>
  <si>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</si>
  <si>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</si>
  <si>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</si>
  <si>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</si>
  <si>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</si>
  <si>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</si>
  <si>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</si>
  <si>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</si>
  <si>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</si>
  <si>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</si>
  <si>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</si>
  <si>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</si>
  <si>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</si>
  <si>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</si>
  <si>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</si>
  <si>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</si>
  <si>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</si>
  <si>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</si>
  <si>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</si>
  <si>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</si>
  <si>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</si>
  <si>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</si>
  <si>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</si>
  <si>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</si>
  <si>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</si>
  <si>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</si>
  <si>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</si>
  <si>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</si>
  <si>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</si>
  <si>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</si>
  <si>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</si>
  <si>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</si>
  <si>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</si>
  <si>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</si>
  <si>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</si>
  <si>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</si>
  <si>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</si>
  <si>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</si>
  <si>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</si>
  <si>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</si>
  <si>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</si>
  <si>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</si>
  <si>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</si>
  <si>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</si>
  <si>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</si>
  <si>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</si>
  <si>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</si>
  <si>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</si>
  <si>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</si>
  <si>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</si>
  <si>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</si>
  <si>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</si>
  <si>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</si>
  <si>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</si>
  <si>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</si>
  <si>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</si>
  <si>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</si>
  <si>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</si>
  <si>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</si>
  <si>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</si>
  <si>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</si>
  <si>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</si>
  <si>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</si>
  <si>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</si>
  <si>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</si>
  <si>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</si>
  <si>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</si>
  <si>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</si>
  <si>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</si>
  <si>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</si>
  <si>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</si>
  <si>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</si>
  <si>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</si>
  <si>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</si>
  <si>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</si>
  <si>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</si>
  <si>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</si>
  <si>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</si>
  <si>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</si>
  <si>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</si>
  <si>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</si>
  <si>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</si>
  <si>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</si>
  <si>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</si>
  <si>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</si>
  <si>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</si>
  <si>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</si>
  <si>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</si>
  <si>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</si>
  <si>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</si>
  <si>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</si>
  <si>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</si>
  <si>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</si>
  <si>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</si>
  <si>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</si>
  <si>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</si>
  <si>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</si>
  <si>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</si>
  <si>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</si>
  <si>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</si>
  <si>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</si>
  <si>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</si>
  <si>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</si>
  <si>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</si>
  <si>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</si>
  <si>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</si>
  <si>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</si>
  <si>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</si>
  <si>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</si>
  <si>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</si>
  <si>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</si>
  <si>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</si>
  <si>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</si>
  <si>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</si>
  <si>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</si>
  <si>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</si>
  <si>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</si>
  <si>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</si>
  <si>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</si>
  <si>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</si>
  <si>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</si>
  <si>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</si>
  <si>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</si>
  <si>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</si>
  <si>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</si>
  <si>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</si>
  <si>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</si>
  <si>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</si>
  <si>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</si>
  <si>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</si>
  <si>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</si>
  <si>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</si>
  <si>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</si>
  <si>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</si>
  <si>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</si>
  <si>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</si>
  <si>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</si>
  <si>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</si>
  <si>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</si>
  <si>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</si>
  <si>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</si>
  <si>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</si>
  <si>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</si>
  <si>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</si>
  <si>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</si>
  <si>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</si>
  <si>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</si>
  <si>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</si>
  <si>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</si>
  <si>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</si>
  <si>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</si>
  <si>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</si>
  <si>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</si>
  <si>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</si>
  <si>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</si>
  <si>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</si>
  <si>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</si>
  <si>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</si>
  <si>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</si>
  <si>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</si>
  <si>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</si>
  <si>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</si>
  <si>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</si>
  <si>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</si>
  <si>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</si>
  <si>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</si>
  <si>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</si>
  <si>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</si>
  <si>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</si>
  <si>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</si>
  <si>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</si>
  <si>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</si>
  <si>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</si>
  <si>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</si>
  <si>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</si>
  <si>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</si>
  <si>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</si>
  <si>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</si>
  <si>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</si>
  <si>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</si>
  <si>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</si>
  <si>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</si>
  <si>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</si>
  <si>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</si>
  <si>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</si>
  <si>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</si>
  <si>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</si>
  <si>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</si>
  <si>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</si>
  <si>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</si>
  <si>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</si>
  <si>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</si>
  <si>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</si>
  <si>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</si>
  <si>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</si>
  <si>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</si>
  <si>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</si>
  <si>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</si>
  <si>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</si>
  <si>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</si>
  <si>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</si>
  <si>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</si>
  <si>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</si>
  <si>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</si>
  <si>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</si>
  <si>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</si>
  <si>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</si>
  <si>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</si>
  <si>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</si>
  <si>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</si>
  <si>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</si>
  <si>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</si>
  <si>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</si>
  <si>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</si>
  <si>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</si>
  <si>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</si>
  <si>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</si>
  <si>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</si>
  <si>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</si>
  <si>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</si>
  <si>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</si>
  <si>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</si>
  <si>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</si>
  <si>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</si>
  <si>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</si>
  <si>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</si>
  <si>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</si>
  <si>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</si>
  <si>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</si>
  <si>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</si>
  <si>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</si>
  <si>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</si>
  <si>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</si>
  <si>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</si>
  <si>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</si>
  <si>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</si>
  <si>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</si>
  <si>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</si>
  <si>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</si>
  <si>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</si>
  <si>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</si>
  <si>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</si>
  <si>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</si>
  <si>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</si>
  <si>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</si>
  <si>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</si>
  <si>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</si>
  <si>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</si>
  <si>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</si>
  <si>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</si>
  <si>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</si>
  <si>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</si>
  <si>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</si>
  <si>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</si>
  <si>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</si>
  <si>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</si>
  <si>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</si>
  <si>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</si>
  <si>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</si>
  <si>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</si>
  <si>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</si>
  <si>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</si>
  <si>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</si>
  <si>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</si>
  <si>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</si>
  <si>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</si>
  <si>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</si>
  <si>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</si>
  <si>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</si>
  <si>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</si>
  <si>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</si>
  <si>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</si>
  <si>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</si>
  <si>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</si>
  <si>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</si>
  <si>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</si>
  <si>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</si>
  <si>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</si>
  <si>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</si>
  <si>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</si>
  <si>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</si>
  <si>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</si>
  <si>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</si>
  <si>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</si>
  <si>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</si>
  <si>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</si>
  <si>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</si>
  <si>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</si>
  <si>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</si>
  <si>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</si>
  <si>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</si>
  <si>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</si>
  <si>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</si>
  <si>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</si>
  <si>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</si>
  <si>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</si>
  <si>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</si>
  <si>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</si>
  <si>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</si>
  <si>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</si>
  <si>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</si>
  <si>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</si>
  <si>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</si>
  <si>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</si>
  <si>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</si>
  <si>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</si>
  <si>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</si>
  <si>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</si>
  <si>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</si>
  <si>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</si>
  <si>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</si>
  <si>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</si>
  <si>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</si>
  <si>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</si>
  <si>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</si>
  <si>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</si>
  <si>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</si>
  <si>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</si>
  <si>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</si>
  <si>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</si>
  <si>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</si>
  <si>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</si>
  <si>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</si>
  <si>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</si>
  <si>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</si>
  <si>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</si>
  <si>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</si>
  <si>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</si>
  <si>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</si>
  <si>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</si>
  <si>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</si>
  <si>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</si>
  <si>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</si>
  <si>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</si>
  <si>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</si>
  <si>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</si>
  <si>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</si>
  <si>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</si>
  <si>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</si>
  <si>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</si>
  <si>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</si>
  <si>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</si>
  <si>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</si>
  <si>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</si>
  <si>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</si>
  <si>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</si>
  <si>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</si>
  <si>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</si>
  <si>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</si>
  <si>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</si>
  <si>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</si>
  <si>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</si>
  <si>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</si>
  <si>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</si>
  <si>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</si>
  <si>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</si>
  <si>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</si>
  <si>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</si>
  <si>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</si>
  <si>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</si>
  <si>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</si>
  <si>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</si>
  <si>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</si>
  <si>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</si>
  <si>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</si>
  <si>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</si>
  <si>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</si>
  <si>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</si>
  <si>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</si>
  <si>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</si>
  <si>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</si>
  <si>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</si>
  <si>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</si>
  <si>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</si>
  <si>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</si>
  <si>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</si>
  <si>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</si>
  <si>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</si>
  <si>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</si>
  <si>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</si>
  <si>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</si>
  <si>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</si>
  <si>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</si>
  <si>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</si>
  <si>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</si>
  <si>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</si>
  <si>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</si>
  <si>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</si>
  <si>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</si>
  <si>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</si>
  <si>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</si>
  <si>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</si>
  <si>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</si>
  <si>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</si>
  <si>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</si>
  <si>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</si>
  <si>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</si>
  <si>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</si>
  <si>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</si>
  <si>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</si>
  <si>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</si>
  <si>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</si>
  <si>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</si>
  <si>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</si>
  <si>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</si>
  <si>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</si>
  <si>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</si>
  <si>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</si>
  <si>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</si>
  <si>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</si>
  <si>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</si>
  <si>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</si>
  <si>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</si>
  <si>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</si>
  <si>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</si>
  <si>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</si>
  <si>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</si>
  <si>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</si>
  <si>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</si>
  <si>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</si>
  <si>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</si>
  <si>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</si>
  <si>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</si>
  <si>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</si>
  <si>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</si>
  <si>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</si>
  <si>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</si>
  <si>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</si>
  <si>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</si>
  <si>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</si>
  <si>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</si>
  <si>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</si>
  <si>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</si>
  <si>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</si>
  <si>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</si>
  <si>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</si>
  <si>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</si>
  <si>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</si>
  <si>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</si>
  <si>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</si>
  <si>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</si>
  <si>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</si>
  <si>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</si>
  <si>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</si>
  <si>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</si>
  <si>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</si>
  <si>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</si>
  <si>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</si>
  <si>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</si>
  <si>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</si>
  <si>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</si>
  <si>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</si>
  <si>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</si>
  <si>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</si>
  <si>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</si>
  <si>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</si>
  <si>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</si>
  <si>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</si>
  <si>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</si>
  <si>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</si>
  <si>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</si>
  <si>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</si>
  <si>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</si>
  <si>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</si>
  <si>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</si>
  <si>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</si>
  <si>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</si>
  <si>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</si>
  <si>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</si>
  <si>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</si>
  <si>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</si>
  <si>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</si>
  <si>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</si>
  <si>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</si>
  <si>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</si>
  <si>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</si>
  <si>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</si>
  <si>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</si>
  <si>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</si>
  <si>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</si>
  <si>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</si>
  <si>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</si>
  <si>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</si>
  <si>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</si>
  <si>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</si>
  <si>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</si>
  <si>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</si>
  <si>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</si>
  <si>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</si>
  <si>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</si>
  <si>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</si>
  <si>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</si>
  <si>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</si>
  <si>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</si>
  <si>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</si>
  <si>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</si>
  <si>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</si>
  <si>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</si>
  <si>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</si>
  <si>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</si>
  <si>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</si>
  <si>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</si>
  <si>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</si>
  <si>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</si>
  <si>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</si>
  <si>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</si>
  <si>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</si>
  <si>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</si>
  <si>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</si>
  <si>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</si>
  <si>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</si>
  <si>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</si>
  <si>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</si>
  <si>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</si>
  <si>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</si>
  <si>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</si>
  <si>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</si>
  <si>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</si>
  <si>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</si>
  <si>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</si>
  <si>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</si>
  <si>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</si>
  <si>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</si>
  <si>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</si>
  <si>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</si>
  <si>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</si>
  <si>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</si>
  <si>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</si>
  <si>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</si>
  <si>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</si>
  <si>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</si>
  <si>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</si>
  <si>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</si>
  <si>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</si>
  <si>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</si>
  <si>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</si>
  <si>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</si>
  <si>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</si>
  <si>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</si>
  <si>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</si>
  <si>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</si>
  <si>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</si>
  <si>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</si>
  <si>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</si>
  <si>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</si>
  <si>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</si>
  <si>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</si>
  <si>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</si>
  <si>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</si>
  <si>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</si>
  <si>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</si>
  <si>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</si>
  <si>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</si>
  <si>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</si>
  <si>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</si>
  <si>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</si>
  <si>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</si>
  <si>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</si>
  <si>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</si>
  <si>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</si>
  <si>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</si>
  <si>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</si>
  <si>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</si>
  <si>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</si>
  <si>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</si>
  <si>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</si>
  <si>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</si>
  <si>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</si>
  <si>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</si>
  <si>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</si>
  <si>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</si>
  <si>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</si>
  <si>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</si>
  <si>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</si>
  <si>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</si>
  <si>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</si>
  <si>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</si>
  <si>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</si>
  <si>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</si>
  <si>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</si>
  <si>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</si>
  <si>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</si>
  <si>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</si>
  <si>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</si>
  <si>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</si>
  <si>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</si>
  <si>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</si>
  <si>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</si>
  <si>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</si>
  <si>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</si>
  <si>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</si>
  <si>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</si>
  <si>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</si>
  <si>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</si>
  <si>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</si>
  <si>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</si>
  <si>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</si>
  <si>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</si>
  <si>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</si>
  <si>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</si>
  <si>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</si>
  <si>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</si>
  <si>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</si>
  <si>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</si>
  <si>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</si>
  <si>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</si>
  <si>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</si>
  <si>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</si>
  <si>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</si>
  <si>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</si>
  <si>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</si>
  <si>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</si>
  <si>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</si>
  <si>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</si>
  <si>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</si>
  <si>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</si>
  <si>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</si>
  <si>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</si>
  <si>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</si>
  <si>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</si>
  <si>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</si>
  <si>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</si>
  <si>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</si>
  <si>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</si>
  <si>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</si>
  <si>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</si>
  <si>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</si>
  <si>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</si>
  <si>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</si>
  <si>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</si>
  <si>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</si>
  <si>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</si>
  <si>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</si>
  <si>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</si>
  <si>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</si>
  <si>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</si>
  <si>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</si>
  <si>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</si>
  <si>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</si>
  <si>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</si>
  <si>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</si>
  <si>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</si>
  <si>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</si>
  <si>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</si>
  <si>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</si>
  <si>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</si>
  <si>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</si>
  <si>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</si>
  <si>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</si>
  <si>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</si>
  <si>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</si>
  <si>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</si>
  <si>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</si>
  <si>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</si>
  <si>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</si>
  <si>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</si>
  <si>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</si>
  <si>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</si>
  <si>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</si>
  <si>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</si>
  <si>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</si>
  <si>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</si>
  <si>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</si>
  <si>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</si>
  <si>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</si>
  <si>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</si>
  <si>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</si>
  <si>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</si>
  <si>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</si>
  <si>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</si>
  <si>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</si>
  <si>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</si>
  <si>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</si>
  <si>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</si>
  <si>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</si>
  <si>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</si>
  <si>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</si>
  <si>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</si>
  <si>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</si>
  <si>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</si>
  <si>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</si>
  <si>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</si>
  <si>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</si>
  <si>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</si>
  <si>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</si>
  <si>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</si>
  <si>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</si>
  <si>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</si>
  <si>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</si>
  <si>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</si>
  <si>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</si>
  <si>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</si>
  <si>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</si>
  <si>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</si>
  <si>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</si>
  <si>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</si>
  <si>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</si>
  <si>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</si>
  <si>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</si>
  <si>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</si>
  <si>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</si>
  <si>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</si>
  <si>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</si>
  <si>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</si>
  <si>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</si>
  <si>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</si>
  <si>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</si>
  <si>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</si>
  <si>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</si>
  <si>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</si>
  <si>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</si>
  <si>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</si>
  <si>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</si>
  <si>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</si>
  <si>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</si>
  <si>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</si>
  <si>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</si>
  <si>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</si>
  <si>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</si>
  <si>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</si>
  <si>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</si>
  <si>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</si>
  <si>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</si>
  <si>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</si>
  <si>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</si>
  <si>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</si>
  <si>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</si>
  <si>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</si>
  <si>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</si>
  <si>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</si>
  <si>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</si>
  <si>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</si>
  <si>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</si>
  <si>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</si>
  <si>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</si>
  <si>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</si>
  <si>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</si>
  <si>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</si>
  <si>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</si>
  <si>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</si>
  <si>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</si>
  <si>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</si>
  <si>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</si>
  <si>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</si>
  <si>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</si>
  <si>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</si>
  <si>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</si>
  <si>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</si>
  <si>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</si>
  <si>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</si>
  <si>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</si>
  <si>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</si>
  <si>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</si>
  <si>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</si>
  <si>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</si>
  <si>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</si>
  <si>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</si>
  <si>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</si>
  <si>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</si>
  <si>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</si>
  <si>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</si>
  <si>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</si>
  <si>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</si>
  <si>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</si>
  <si>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</si>
  <si>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</si>
  <si>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</si>
  <si>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</si>
  <si>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</si>
  <si>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</si>
  <si>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</si>
  <si>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</si>
  <si>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</si>
  <si>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</si>
  <si>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</si>
  <si>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</si>
  <si>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</si>
  <si>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</si>
  <si>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</si>
  <si>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</si>
  <si>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</si>
  <si>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</si>
  <si>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</si>
  <si>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</si>
  <si>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</si>
  <si>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</si>
  <si>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</si>
  <si>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</si>
  <si>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</si>
  <si>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</si>
  <si>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</si>
  <si>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</si>
  <si>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</si>
  <si>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</si>
  <si>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</si>
  <si>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</si>
  <si>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</si>
  <si>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</si>
  <si>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</si>
  <si>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</si>
  <si>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</si>
  <si>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</si>
  <si>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</si>
  <si>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</si>
  <si>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</si>
  <si>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</si>
  <si>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</si>
  <si>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</si>
  <si>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</si>
  <si>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</si>
  <si>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</si>
  <si>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</si>
  <si>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</si>
  <si>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</si>
  <si>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</si>
  <si>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</si>
  <si>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</si>
  <si>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</si>
  <si>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</si>
  <si>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</si>
  <si>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</si>
  <si>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</si>
  <si>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</si>
  <si>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</si>
  <si>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</si>
  <si>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</si>
  <si>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</si>
  <si>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</si>
  <si>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</si>
  <si>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</si>
  <si>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</si>
  <si>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</si>
  <si>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</si>
  <si>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</si>
  <si>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</si>
  <si>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</si>
  <si>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</si>
  <si>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</si>
  <si>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</si>
  <si>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</si>
  <si>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</si>
  <si>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</si>
  <si>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</si>
  <si>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</si>
  <si>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</si>
  <si>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</si>
  <si>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</si>
  <si>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</si>
  <si>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</si>
  <si>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</si>
  <si>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</si>
  <si>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</si>
  <si>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</si>
  <si>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</si>
  <si>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</si>
  <si>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</si>
  <si>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</si>
  <si>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</si>
  <si>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</si>
  <si>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</si>
  <si>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</si>
  <si>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</si>
  <si>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</si>
  <si>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</si>
  <si>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</si>
  <si>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</si>
  <si>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</si>
  <si>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</si>
  <si>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</si>
  <si>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</si>
  <si>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</si>
  <si>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</si>
  <si>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</si>
  <si>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</si>
  <si>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</si>
  <si>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</si>
  <si>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</si>
  <si>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</si>
  <si>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</si>
  <si>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</si>
  <si>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</si>
  <si>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</si>
  <si>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</si>
  <si>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</si>
  <si>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</si>
  <si>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</si>
  <si>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</si>
  <si>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</si>
  <si>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</si>
  <si>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</si>
  <si>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</si>
  <si>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</si>
  <si>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</si>
  <si>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</si>
  <si>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</si>
  <si>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</si>
  <si>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</si>
  <si>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</si>
  <si>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</si>
  <si>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</si>
  <si>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</si>
  <si>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</si>
  <si>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</si>
  <si>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</si>
  <si>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</si>
  <si>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</si>
  <si>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</si>
  <si>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</si>
  <si>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</si>
  <si>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</si>
  <si>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</si>
  <si>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</si>
  <si>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</si>
  <si>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</si>
  <si>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</si>
  <si>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</si>
  <si>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</si>
  <si>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</si>
  <si>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</si>
  <si>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</si>
  <si>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</si>
  <si>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</si>
  <si>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</si>
  <si>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</si>
  <si>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</si>
  <si>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</si>
  <si>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</si>
  <si>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</si>
  <si>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</si>
  <si>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</si>
  <si>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</si>
  <si>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</si>
  <si>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</si>
  <si>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</si>
  <si>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</si>
  <si>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</si>
  <si>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</si>
  <si>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</si>
  <si>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</si>
  <si>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</si>
  <si>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</si>
  <si>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</si>
  <si>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</si>
  <si>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</si>
  <si>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</si>
  <si>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</si>
  <si>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</si>
  <si>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</si>
  <si>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</si>
  <si>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</si>
  <si>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</si>
  <si>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</si>
  <si>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</si>
  <si>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</si>
  <si>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</si>
  <si>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</si>
  <si>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</si>
  <si>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</si>
  <si>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</si>
  <si>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</si>
  <si>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</si>
  <si>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</si>
  <si>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</si>
  <si>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</si>
  <si>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</si>
  <si>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</si>
  <si>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</si>
  <si>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</si>
  <si>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</si>
  <si>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</si>
  <si>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</si>
  <si>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</si>
  <si>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</si>
  <si>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</si>
  <si>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</si>
  <si>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</si>
  <si>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</si>
  <si>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</si>
  <si>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</si>
  <si>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</si>
  <si>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</si>
  <si>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</si>
  <si>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</si>
  <si>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</si>
  <si>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</si>
  <si>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</si>
  <si>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</si>
  <si>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</si>
  <si>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</si>
  <si>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</si>
  <si>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</si>
  <si>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</si>
  <si>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</si>
  <si>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</si>
  <si>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</si>
  <si>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</si>
  <si>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</si>
  <si>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</si>
  <si>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</si>
  <si>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</si>
  <si>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</si>
  <si>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</si>
  <si>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</si>
  <si>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</si>
  <si>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</si>
  <si>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</si>
  <si>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</si>
  <si>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</si>
  <si>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</si>
  <si>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</si>
  <si>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</si>
  <si>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</si>
  <si>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</si>
  <si>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</si>
  <si>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</si>
  <si>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</si>
  <si>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</si>
  <si>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</si>
  <si>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</si>
  <si>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</si>
  <si>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</si>
  <si>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</si>
  <si>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</si>
  <si>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</si>
  <si>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</si>
  <si>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</si>
  <si>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</si>
  <si>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</si>
  <si>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</si>
  <si>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</si>
  <si>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</si>
  <si>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</si>
  <si>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</si>
  <si>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</si>
  <si>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</si>
  <si>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</si>
  <si>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</si>
  <si>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</si>
  <si>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</si>
  <si>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</si>
  <si>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</si>
  <si>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</si>
  <si>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</si>
  <si>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</si>
  <si>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</si>
  <si>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</si>
  <si>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</si>
  <si>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</si>
  <si>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</si>
  <si>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</si>
  <si>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</si>
  <si>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</si>
  <si>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</si>
  <si>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</si>
  <si>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</si>
  <si>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</si>
  <si>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</si>
  <si>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</si>
  <si>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</si>
  <si>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</si>
  <si>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</si>
  <si>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</si>
  <si>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</si>
  <si>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</si>
  <si>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</si>
  <si>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</si>
  <si>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</si>
  <si>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</si>
  <si>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</si>
  <si>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</si>
  <si>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</si>
  <si>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</si>
  <si>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</si>
  <si>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</si>
  <si>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</si>
  <si>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</si>
  <si>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</si>
  <si>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</si>
  <si>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</si>
  <si>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</si>
  <si>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</si>
  <si>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</si>
  <si>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</si>
  <si>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</si>
  <si>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</si>
  <si>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</si>
  <si>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</si>
  <si>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</si>
  <si>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</si>
  <si>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</si>
  <si>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</si>
  <si>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</si>
  <si>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</si>
  <si>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</si>
  <si>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</si>
  <si>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</si>
  <si>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</si>
  <si>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</si>
  <si>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</si>
  <si>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</si>
  <si>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</si>
  <si>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</si>
  <si>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</si>
  <si>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</si>
  <si>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</si>
  <si>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</si>
  <si>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</si>
  <si>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</si>
  <si>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</si>
  <si>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</si>
  <si>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</si>
  <si>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</si>
  <si>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</si>
  <si>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</si>
  <si>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</si>
  <si>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</si>
  <si>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</si>
  <si>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</si>
  <si>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</si>
  <si>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</si>
  <si>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</si>
  <si>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</si>
  <si>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</si>
  <si>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</si>
  <si>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</si>
  <si>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</si>
  <si>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</si>
  <si>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</si>
  <si>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</si>
  <si>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</si>
  <si>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</si>
  <si>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</si>
  <si>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</si>
  <si>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</si>
  <si>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</si>
  <si>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</si>
  <si>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</si>
  <si>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</si>
  <si>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</si>
  <si>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</si>
  <si>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</si>
  <si>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</si>
  <si>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</si>
  <si>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</si>
  <si>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</si>
  <si>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</si>
  <si>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</si>
  <si>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</si>
  <si>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</si>
  <si>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</si>
  <si>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</si>
  <si>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</si>
  <si>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</si>
  <si>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</si>
  <si>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</si>
  <si>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</si>
  <si>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</si>
  <si>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</si>
  <si>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</si>
  <si>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</si>
  <si>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</si>
  <si>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</si>
  <si>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</si>
  <si>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</si>
  <si>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</si>
  <si>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</si>
  <si>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</si>
  <si>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</si>
  <si>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</si>
  <si>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</si>
  <si>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</si>
  <si>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</si>
  <si>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</si>
  <si>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</si>
  <si>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</si>
  <si>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</si>
  <si>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</si>
  <si>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</si>
  <si>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</si>
  <si>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</si>
  <si>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</si>
  <si>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</si>
  <si>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</si>
  <si>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</si>
  <si>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</si>
  <si>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</si>
  <si>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</si>
  <si>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</si>
  <si>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</si>
  <si>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</si>
  <si>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</si>
  <si>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</si>
  <si>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</si>
  <si>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</si>
  <si>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</si>
  <si>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</si>
  <si>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</si>
  <si>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</si>
  <si>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</si>
  <si>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</si>
  <si>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</si>
  <si>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</si>
  <si>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</si>
  <si>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</si>
  <si>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</si>
  <si>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</si>
  <si>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</si>
  <si>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</si>
  <si>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</si>
  <si>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</si>
  <si>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</si>
  <si>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</si>
  <si>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</si>
  <si>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</si>
  <si>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</si>
  <si>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</si>
  <si>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</si>
  <si>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</si>
  <si>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</si>
  <si>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</si>
  <si>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</si>
  <si>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</si>
  <si>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</si>
  <si>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</si>
  <si>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</si>
  <si>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</si>
  <si>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</si>
  <si>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</si>
  <si>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</si>
  <si>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</si>
  <si>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</si>
  <si>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</si>
  <si>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</si>
  <si>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</si>
  <si>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</si>
  <si>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</si>
  <si>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</si>
  <si>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</si>
  <si>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</si>
  <si>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</si>
  <si>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</si>
  <si>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</si>
  <si>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</si>
  <si>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</si>
  <si>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</si>
  <si>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</si>
  <si>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</si>
  <si>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</si>
  <si>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</si>
  <si>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</si>
  <si>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</si>
  <si>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</si>
  <si>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</si>
  <si>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</si>
  <si>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</si>
  <si>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</si>
  <si>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</si>
  <si>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</si>
  <si>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</si>
  <si>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</si>
  <si>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</si>
  <si>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</si>
  <si>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</si>
  <si>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</si>
  <si>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</si>
  <si>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</si>
  <si>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</si>
  <si>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</si>
  <si>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</si>
  <si>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</si>
  <si>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</si>
  <si>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</si>
  <si>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</si>
  <si>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</si>
  <si>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</si>
  <si>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</si>
  <si>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</si>
  <si>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</si>
  <si>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</si>
  <si>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</si>
  <si>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</si>
  <si>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</si>
  <si>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</si>
  <si>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</si>
  <si>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</si>
  <si>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</si>
  <si>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</si>
  <si>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</si>
  <si>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</si>
  <si>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</si>
  <si>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</si>
  <si>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</si>
  <si>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</si>
  <si>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</si>
  <si>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</si>
  <si>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</si>
  <si>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</si>
  <si>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</si>
  <si>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</si>
  <si>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</si>
  <si>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</si>
  <si>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</si>
  <si>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</si>
  <si>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</si>
  <si>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</si>
  <si>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</si>
  <si>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</si>
  <si>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</si>
  <si>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</si>
  <si>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</si>
  <si>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</si>
  <si>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</si>
  <si>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</si>
  <si>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</si>
  <si>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</si>
  <si>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</si>
  <si>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</si>
  <si>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</si>
  <si>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</si>
  <si>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</si>
  <si>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</si>
  <si>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</si>
  <si>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</si>
  <si>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</si>
  <si>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</si>
  <si>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</si>
  <si>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</si>
  <si>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</si>
  <si>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</si>
  <si>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</si>
  <si>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</si>
  <si>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</si>
  <si>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</si>
  <si>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</si>
  <si>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</si>
  <si>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</si>
  <si>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</si>
  <si>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</si>
  <si>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</si>
  <si>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</si>
  <si>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</si>
  <si>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</si>
  <si>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</si>
  <si>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</si>
  <si>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</si>
  <si>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</si>
  <si>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</si>
  <si>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</si>
  <si>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</si>
  <si>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</si>
  <si>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</si>
  <si>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</si>
  <si>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</si>
  <si>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</si>
  <si>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</si>
  <si>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</si>
  <si>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</si>
  <si>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</si>
  <si>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</si>
  <si>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</si>
  <si>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</si>
  <si>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</si>
  <si>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</si>
  <si>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</si>
  <si>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</si>
  <si>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</si>
  <si>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</si>
  <si>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</si>
  <si>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</si>
  <si>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</si>
  <si>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</si>
  <si>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</si>
  <si>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</si>
  <si>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</si>
  <si>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</si>
  <si>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</si>
  <si>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</si>
  <si>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</si>
  <si>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</si>
  <si>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</si>
  <si>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</si>
  <si>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</si>
  <si>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</si>
  <si>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</si>
  <si>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</si>
  <si>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</si>
  <si>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</si>
  <si>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</si>
  <si>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</si>
  <si>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</si>
  <si>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</si>
  <si>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</si>
  <si>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</si>
  <si>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</si>
  <si>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</si>
  <si>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</si>
  <si>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</si>
  <si>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</si>
  <si>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</si>
  <si>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</si>
  <si>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</si>
  <si>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</si>
  <si>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</si>
  <si>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</si>
  <si>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</si>
  <si>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</si>
  <si>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</si>
  <si>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</si>
  <si>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</si>
  <si>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</si>
  <si>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</si>
  <si>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</si>
  <si>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</si>
  <si>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</si>
  <si>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</si>
  <si>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</si>
  <si>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</si>
  <si>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</si>
  <si>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</si>
  <si>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</si>
  <si>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</si>
  <si>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</si>
  <si>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</si>
  <si>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</si>
  <si>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</si>
  <si>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</si>
  <si>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</si>
  <si>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</si>
  <si>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</si>
  <si>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</si>
  <si>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</si>
  <si>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</si>
  <si>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</si>
  <si>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</si>
  <si>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</si>
  <si>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</si>
  <si>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</si>
  <si>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</si>
  <si>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</si>
  <si>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</si>
  <si>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</si>
  <si>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</si>
  <si>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</si>
  <si>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</si>
  <si>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</si>
  <si>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</si>
  <si>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</si>
  <si>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</si>
  <si>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</si>
  <si>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</si>
  <si>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</si>
  <si>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</si>
  <si>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</si>
  <si>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</si>
  <si>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</si>
  <si>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</si>
  <si>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</si>
  <si>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</si>
  <si>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</si>
  <si>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</si>
  <si>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</si>
  <si>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</si>
  <si>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</si>
  <si>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</si>
  <si>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</si>
  <si>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</si>
  <si>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</si>
  <si>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</si>
  <si>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</si>
  <si>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</si>
  <si>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</si>
  <si>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</si>
  <si>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</si>
  <si>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</si>
  <si>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</si>
  <si>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</si>
  <si>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</si>
  <si>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</si>
  <si>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</si>
  <si>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</si>
  <si>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</si>
  <si>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</si>
  <si>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</si>
  <si>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</si>
  <si>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</si>
  <si>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</si>
  <si>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</si>
  <si>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</si>
  <si>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</si>
  <si>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</si>
  <si>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</si>
  <si>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</si>
  <si>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</si>
  <si>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</si>
  <si>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</si>
  <si>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</si>
  <si>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</si>
  <si>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</si>
  <si>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</si>
  <si>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</si>
  <si>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</si>
  <si>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</si>
  <si>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</si>
  <si>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</si>
  <si>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</si>
  <si>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</si>
  <si>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</si>
  <si>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</si>
  <si>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</si>
  <si>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</si>
  <si>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</si>
  <si>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</si>
  <si>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</si>
  <si>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</si>
  <si>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</si>
  <si>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</si>
  <si>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</si>
  <si>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</si>
  <si>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</si>
  <si>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</si>
  <si>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</si>
  <si>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</si>
  <si>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</si>
  <si>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</si>
  <si>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</si>
  <si>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</si>
  <si>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</si>
  <si>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</si>
  <si>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</si>
  <si>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</si>
  <si>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</si>
  <si>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</si>
  <si>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</si>
  <si>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</si>
  <si>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</si>
  <si>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</si>
  <si>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</si>
  <si>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</si>
  <si>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</si>
  <si>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</si>
  <si>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</si>
  <si>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</si>
  <si>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</si>
  <si>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</si>
  <si>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</si>
  <si>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</si>
  <si>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</si>
  <si>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</si>
  <si>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</si>
  <si>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</si>
  <si>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</si>
  <si>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</si>
  <si>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</si>
  <si>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</si>
  <si>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</si>
  <si>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</si>
  <si>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</si>
  <si>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</si>
  <si>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</si>
  <si>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</si>
  <si>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</si>
  <si>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</si>
  <si>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</si>
  <si>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</si>
  <si>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</si>
  <si>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</si>
  <si>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</si>
  <si>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</si>
  <si>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</si>
  <si>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</si>
  <si>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</si>
  <si>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</si>
  <si>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</si>
  <si>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</si>
  <si>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</si>
  <si>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</si>
  <si>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</si>
  <si>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</si>
  <si>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</si>
  <si>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</si>
  <si>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</si>
  <si>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</si>
  <si>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</si>
  <si>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</si>
  <si>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</si>
  <si>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</si>
  <si>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</si>
  <si>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</si>
  <si>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</si>
  <si>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</si>
  <si>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</si>
  <si>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</si>
  <si>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</si>
  <si>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</si>
  <si>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</si>
  <si>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</si>
  <si>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</si>
  <si>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</si>
  <si>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</si>
  <si>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</si>
  <si>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</si>
  <si>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</si>
  <si>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</si>
  <si>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</si>
  <si>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</si>
  <si>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</si>
  <si>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</si>
  <si>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</si>
  <si>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</si>
  <si>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</si>
  <si>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</si>
  <si>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</si>
  <si>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</si>
  <si>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</si>
  <si>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</si>
  <si>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</si>
  <si>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</si>
  <si>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</si>
  <si>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</si>
  <si>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</si>
  <si>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</si>
  <si>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</si>
  <si>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</si>
  <si>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</si>
  <si>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</si>
  <si>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</si>
  <si>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</si>
  <si>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</si>
  <si>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</si>
  <si>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</si>
  <si>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</si>
  <si>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</si>
  <si>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</si>
  <si>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</si>
  <si>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</si>
  <si>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</si>
  <si>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</si>
  <si>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</si>
  <si>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</si>
  <si>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</si>
  <si>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</si>
  <si>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</si>
  <si>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</si>
  <si>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</si>
  <si>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</si>
  <si>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</si>
  <si>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</si>
  <si>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</si>
  <si>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</si>
  <si>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</si>
  <si>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</si>
  <si>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</si>
  <si>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</si>
  <si>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</si>
  <si>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</si>
  <si>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</si>
  <si>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</si>
  <si>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</si>
  <si>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</si>
  <si>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</si>
  <si>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</si>
  <si>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</si>
  <si>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</si>
  <si>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</si>
  <si>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</si>
  <si>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</si>
  <si>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</si>
  <si>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</si>
  <si>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</si>
  <si>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</si>
  <si>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</si>
  <si>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</si>
  <si>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</si>
  <si>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</si>
  <si>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</si>
  <si>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</si>
  <si>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</si>
  <si>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</si>
  <si>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</si>
  <si>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</si>
  <si>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</si>
  <si>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</si>
  <si>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</si>
  <si>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</si>
  <si>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</si>
  <si>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</si>
  <si>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</si>
  <si>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</si>
  <si>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</si>
  <si>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</si>
  <si>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</si>
  <si>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</si>
  <si>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</si>
  <si>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</si>
  <si>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</si>
  <si>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</si>
  <si>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</si>
  <si>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</si>
  <si>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</si>
  <si>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</si>
  <si>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</si>
  <si>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</si>
  <si>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</si>
  <si>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</si>
  <si>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</si>
  <si>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</si>
  <si>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</si>
  <si>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</si>
  <si>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</si>
  <si>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</si>
  <si>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</si>
  <si>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</si>
  <si>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</si>
  <si>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</si>
  <si>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</si>
  <si>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</si>
  <si>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</si>
  <si>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</si>
  <si>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</si>
  <si>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</si>
  <si>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</si>
  <si>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</si>
  <si>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</si>
  <si>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</si>
  <si>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</si>
  <si>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</si>
  <si>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</si>
  <si>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</si>
  <si>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</si>
  <si>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</si>
  <si>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</si>
  <si>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</si>
  <si>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</si>
  <si>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</si>
  <si>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</si>
  <si>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</si>
  <si>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</si>
  <si>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</si>
  <si>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</si>
  <si>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</si>
  <si>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</si>
  <si>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</si>
  <si>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</si>
  <si>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</si>
  <si>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</si>
  <si>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</si>
  <si>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</si>
  <si>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</si>
  <si>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</si>
  <si>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</si>
  <si>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</si>
  <si>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</si>
  <si>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</si>
  <si>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</si>
  <si>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</si>
  <si>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</si>
  <si>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</si>
  <si>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</si>
  <si>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</si>
  <si>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</si>
  <si>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</si>
  <si>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</si>
  <si>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</si>
  <si>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</si>
  <si>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</si>
  <si>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</si>
  <si>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</si>
  <si>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</si>
  <si>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</si>
  <si>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</si>
  <si>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</si>
  <si>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</si>
  <si>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</si>
  <si>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</si>
  <si>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</si>
  <si>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</si>
  <si>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</si>
  <si>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</si>
  <si>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</si>
  <si>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</si>
  <si>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</si>
  <si>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</si>
  <si>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</si>
  <si>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</si>
  <si>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</si>
  <si>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</si>
  <si>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</si>
  <si>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</si>
  <si>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</si>
  <si>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</si>
  <si>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</si>
  <si>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</si>
  <si>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</si>
  <si>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</si>
  <si>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</si>
  <si>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</si>
  <si>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</si>
  <si>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</si>
  <si>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</si>
  <si>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</si>
  <si>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</si>
  <si>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</si>
  <si>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</si>
  <si>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</si>
  <si>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</si>
  <si>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</si>
  <si>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</si>
  <si>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</si>
  <si>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</si>
  <si>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</si>
  <si>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</si>
  <si>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</si>
  <si>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</si>
  <si>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</si>
  <si>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</si>
  <si>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</si>
  <si>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</si>
  <si>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</si>
  <si>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</si>
  <si>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</si>
  <si>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</si>
  <si>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</si>
  <si>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</si>
  <si>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</si>
  <si>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</si>
  <si>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</si>
  <si>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</si>
  <si>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</si>
  <si>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</si>
  <si>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</si>
  <si>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</si>
  <si>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</si>
  <si>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</si>
  <si>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</si>
  <si>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</si>
  <si>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</si>
  <si>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</si>
  <si>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</si>
  <si>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</si>
  <si>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</si>
  <si>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</si>
  <si>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</si>
  <si>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</si>
  <si>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</si>
  <si>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</si>
  <si>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</si>
  <si>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</si>
  <si>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</si>
  <si>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</si>
  <si>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</si>
  <si>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</si>
  <si>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</si>
  <si>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</si>
  <si>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</si>
  <si>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</si>
  <si>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</si>
  <si>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</si>
  <si>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</si>
  <si>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</si>
  <si>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</si>
  <si>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</si>
  <si>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</si>
  <si>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</si>
  <si>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</si>
  <si>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</si>
  <si>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</si>
  <si>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</si>
  <si>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</si>
  <si>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</si>
  <si>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</si>
  <si>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</si>
  <si>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</si>
  <si>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</si>
  <si>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</si>
  <si>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</si>
  <si>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</si>
  <si>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</si>
  <si>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</si>
  <si>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</si>
  <si>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</si>
  <si>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</si>
  <si>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</si>
  <si>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</si>
  <si>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</si>
  <si>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</si>
  <si>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</si>
  <si>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</si>
  <si>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</si>
  <si>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</si>
  <si>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</si>
  <si>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</si>
  <si>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</si>
  <si>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</si>
  <si>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</si>
  <si>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</si>
  <si>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</si>
  <si>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</si>
  <si>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</si>
  <si>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</si>
  <si>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</si>
  <si>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</si>
  <si>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</si>
  <si>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</si>
  <si>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</si>
  <si>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</si>
  <si>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</si>
  <si>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</si>
  <si>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</si>
  <si>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</si>
  <si>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</si>
  <si>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</si>
  <si>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</si>
  <si>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</si>
  <si>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</si>
  <si>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</si>
  <si>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</si>
  <si>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</si>
  <si>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</si>
  <si>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</si>
  <si>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</si>
  <si>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</si>
  <si>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</si>
  <si>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</si>
  <si>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</si>
  <si>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</si>
  <si>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</si>
  <si>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</si>
  <si>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</si>
  <si>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</si>
  <si>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</si>
  <si>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</si>
  <si>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</si>
  <si>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</si>
  <si>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</si>
  <si>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</si>
  <si>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</si>
  <si>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</si>
  <si>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</si>
  <si>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</si>
  <si>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</si>
  <si>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</si>
  <si>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</si>
  <si>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</si>
  <si>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</si>
  <si>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</si>
  <si>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</si>
  <si>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</si>
  <si>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</si>
  <si>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</si>
  <si>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</si>
  <si>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</si>
  <si>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</si>
  <si>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</si>
  <si>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</si>
  <si>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</si>
  <si>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</si>
  <si>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</si>
  <si>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</si>
  <si>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</si>
  <si>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</si>
  <si>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</si>
  <si>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</si>
  <si>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</si>
  <si>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</si>
  <si>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</si>
  <si>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</si>
  <si>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</si>
  <si>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</si>
  <si>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</si>
  <si>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</si>
  <si>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</si>
  <si>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</si>
  <si>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</si>
  <si>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</si>
  <si>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</si>
  <si>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</si>
  <si>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</si>
  <si>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</si>
  <si>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</si>
  <si>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</si>
  <si>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</si>
  <si>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</si>
  <si>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</si>
  <si>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</si>
  <si>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</si>
  <si>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</si>
  <si>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</si>
  <si>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</si>
  <si>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</si>
  <si>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</si>
  <si>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</si>
  <si>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</si>
  <si>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</si>
  <si>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</si>
  <si>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</si>
  <si>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</si>
  <si>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</si>
  <si>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</si>
  <si>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</si>
  <si>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</si>
  <si>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</si>
  <si>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</si>
  <si>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</si>
  <si>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</si>
  <si>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</si>
  <si>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</si>
  <si>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</si>
  <si>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</si>
  <si>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</si>
  <si>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</si>
  <si>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</si>
  <si>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</si>
  <si>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</si>
  <si>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</si>
  <si>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</si>
  <si>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</si>
  <si>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</si>
  <si>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</si>
  <si>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</si>
  <si>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</si>
  <si>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</si>
  <si>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</si>
  <si>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</si>
  <si>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</si>
  <si>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</si>
  <si>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</si>
  <si>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</si>
  <si>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</si>
  <si>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</si>
  <si>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</si>
  <si>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</si>
  <si>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</si>
  <si>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</si>
  <si>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</si>
  <si>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</si>
  <si>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</si>
  <si>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</si>
  <si>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</si>
  <si>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</si>
  <si>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</si>
  <si>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</si>
  <si>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</si>
  <si>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</si>
  <si>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</si>
  <si>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</si>
  <si>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</si>
  <si>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</si>
  <si>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</si>
  <si>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</si>
  <si>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</si>
  <si>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</si>
  <si>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</si>
  <si>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</si>
  <si>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</si>
  <si>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</si>
  <si>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</si>
  <si>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</si>
  <si>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</si>
  <si>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</si>
  <si>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</si>
  <si>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</si>
  <si>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</si>
  <si>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</si>
  <si>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</si>
  <si>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</si>
  <si>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</si>
  <si>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</si>
  <si>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</si>
  <si>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</si>
  <si>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</si>
  <si>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</si>
  <si>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</si>
  <si>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</si>
  <si>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</si>
  <si>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</si>
  <si>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</si>
  <si>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</si>
  <si>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</si>
  <si>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</si>
  <si>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</si>
  <si>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</si>
  <si>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</si>
  <si>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</si>
  <si>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</si>
  <si>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</si>
  <si>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</si>
  <si>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</si>
  <si>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</si>
  <si>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</si>
  <si>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</si>
  <si>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</si>
  <si>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</si>
  <si>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</si>
  <si>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</si>
  <si>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</si>
  <si>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</si>
  <si>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</si>
  <si>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</si>
  <si>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</si>
  <si>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</si>
  <si>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</si>
  <si>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</si>
  <si>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</si>
  <si>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</si>
  <si>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</si>
  <si>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</si>
  <si>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</si>
  <si>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</si>
  <si>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</si>
  <si>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</si>
  <si>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</si>
  <si>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</si>
  <si>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</si>
  <si>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</si>
  <si>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</si>
  <si>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</si>
  <si>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</si>
  <si>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</si>
  <si>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</si>
  <si>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</si>
  <si>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</si>
  <si>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</si>
  <si>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</si>
  <si>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</si>
  <si>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</si>
  <si>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</si>
  <si>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</si>
  <si>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</si>
  <si>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</si>
  <si>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</si>
  <si>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</si>
  <si>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</si>
  <si>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</si>
  <si>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</si>
  <si>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</si>
  <si>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</si>
  <si>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</si>
  <si>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</si>
  <si>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</si>
  <si>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</si>
  <si>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</si>
  <si>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</si>
  <si>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</si>
  <si>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</si>
  <si>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</si>
  <si>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</si>
  <si>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</si>
  <si>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</si>
  <si>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</si>
  <si>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</si>
  <si>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</si>
  <si>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</si>
  <si>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</si>
  <si>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</si>
  <si>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</si>
  <si>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</si>
  <si>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</si>
  <si>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</si>
  <si>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</si>
  <si>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</si>
  <si>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</si>
  <si>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</si>
  <si>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</si>
  <si>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</si>
  <si>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</si>
  <si>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</si>
  <si>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</si>
  <si>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</si>
  <si>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</si>
  <si>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</si>
  <si>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</si>
  <si>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</si>
  <si>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</si>
  <si>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</si>
  <si>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</si>
  <si>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</si>
  <si>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</si>
  <si>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</si>
  <si>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</si>
  <si>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</si>
  <si>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</si>
  <si>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</si>
  <si>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</si>
  <si>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</si>
  <si>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</si>
  <si>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</si>
  <si>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</si>
  <si>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</si>
  <si>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</si>
  <si>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</si>
  <si>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</si>
  <si>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</si>
  <si>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</si>
  <si>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</si>
  <si>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</si>
  <si>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</si>
  <si>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</si>
  <si>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</si>
  <si>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</si>
  <si>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</si>
  <si>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</si>
  <si>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</si>
  <si>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</si>
  <si>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</si>
  <si>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</si>
  <si>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</si>
  <si>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</si>
  <si>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</si>
  <si>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</si>
  <si>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</si>
  <si>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</si>
  <si>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</si>
  <si>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</si>
  <si>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</si>
  <si>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</si>
  <si>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</si>
  <si>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</si>
  <si>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</si>
  <si>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</si>
  <si>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</si>
  <si>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</si>
  <si>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</si>
  <si>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</si>
  <si>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</si>
  <si>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</si>
  <si>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</si>
  <si>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</si>
  <si>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</si>
  <si>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</si>
  <si>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</si>
  <si>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</si>
  <si>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</si>
  <si>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</si>
  <si>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</si>
  <si>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</si>
  <si>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</si>
  <si>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</si>
  <si>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</si>
  <si>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</si>
  <si>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</si>
  <si>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</si>
  <si>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</si>
  <si>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</si>
  <si>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</si>
  <si>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</si>
  <si>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</si>
  <si>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</si>
  <si>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</si>
  <si>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</si>
  <si>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</si>
  <si>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</si>
  <si>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</si>
  <si>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</si>
  <si>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</si>
  <si>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</si>
  <si>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</si>
  <si>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</si>
  <si>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</si>
  <si>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</si>
  <si>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</si>
  <si>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</si>
  <si>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</si>
  <si>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</si>
  <si>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</si>
  <si>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</si>
  <si>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</si>
  <si>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</si>
  <si>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</si>
  <si>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</si>
  <si>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</si>
  <si>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</si>
  <si>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</si>
  <si>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</si>
  <si>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</si>
  <si>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</si>
  <si>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</si>
  <si>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</si>
  <si>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</si>
  <si>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</si>
  <si>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</si>
  <si>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</si>
  <si>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</si>
  <si>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</si>
  <si>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</si>
  <si>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</si>
  <si>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</si>
  <si>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</si>
  <si>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</si>
  <si>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</si>
  <si>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</si>
  <si>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</si>
  <si>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</si>
  <si>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</si>
  <si>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</si>
  <si>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</si>
  <si>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</si>
  <si>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</si>
  <si>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</si>
  <si>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</si>
  <si>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</si>
  <si>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</si>
  <si>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</si>
  <si>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</si>
  <si>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</si>
  <si>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</si>
  <si>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</si>
  <si>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</si>
  <si>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</si>
  <si>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</si>
  <si>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</si>
  <si>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</si>
  <si>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</si>
  <si>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</si>
  <si>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</si>
  <si>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</si>
  <si>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</si>
  <si>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</si>
  <si>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</si>
  <si>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</si>
  <si>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</si>
  <si>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</si>
  <si>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</si>
  <si>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</si>
  <si>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</si>
  <si>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</si>
  <si>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</si>
  <si>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</si>
  <si>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</si>
  <si>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</si>
  <si>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</si>
  <si>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</si>
  <si>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</si>
  <si>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</si>
  <si>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</si>
  <si>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</si>
  <si>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</si>
  <si>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</si>
  <si>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</si>
  <si>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</si>
  <si>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</si>
  <si>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</si>
  <si>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</si>
  <si>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</si>
  <si>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</si>
  <si>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</si>
  <si>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</si>
  <si>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</si>
  <si>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</si>
  <si>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</si>
  <si>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</si>
  <si>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</si>
  <si>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</si>
  <si>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</si>
  <si>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</si>
  <si>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</si>
  <si>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</si>
  <si>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</si>
  <si>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</si>
  <si>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</si>
  <si>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</si>
  <si>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</si>
  <si>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</si>
  <si>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</si>
  <si>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</si>
  <si>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</si>
  <si>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</si>
  <si>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</si>
  <si>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</si>
  <si>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</si>
  <si>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</si>
  <si>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</si>
  <si>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</si>
  <si>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</si>
  <si>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</si>
  <si>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</si>
  <si>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</si>
  <si>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</si>
  <si>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</si>
  <si>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</si>
  <si>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</si>
  <si>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</si>
  <si>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</si>
  <si>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</si>
  <si>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</si>
  <si>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</si>
  <si>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</si>
  <si>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</si>
  <si>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</si>
  <si>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</si>
  <si>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</si>
  <si>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</si>
  <si>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</si>
  <si>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</si>
  <si>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</si>
  <si>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</si>
  <si>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</si>
  <si>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</si>
  <si>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</si>
  <si>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</si>
  <si>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</si>
  <si>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</si>
  <si>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</si>
  <si>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</si>
  <si>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</si>
  <si>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</si>
  <si>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</si>
  <si>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</si>
  <si>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</si>
  <si>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</si>
  <si>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</si>
  <si>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</si>
  <si>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</si>
  <si>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</si>
  <si>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</si>
  <si>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</si>
  <si>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</si>
  <si>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</si>
  <si>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</si>
  <si>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</si>
  <si>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</si>
  <si>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</si>
  <si>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</si>
  <si>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</si>
  <si>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</si>
  <si>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</si>
  <si>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</si>
  <si>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</si>
  <si>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</si>
  <si>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</si>
  <si>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</si>
  <si>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</si>
  <si>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</si>
  <si>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</si>
  <si>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</si>
  <si>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</si>
  <si>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</si>
  <si>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</si>
  <si>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</si>
  <si>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</si>
  <si>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</si>
  <si>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</si>
  <si>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</si>
  <si>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</si>
  <si>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</si>
  <si>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</si>
  <si>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</si>
  <si>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</si>
  <si>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</si>
  <si>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</si>
  <si>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</si>
  <si>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</si>
  <si>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</si>
  <si>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</si>
  <si>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</si>
  <si>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</si>
  <si>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</si>
  <si>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</si>
  <si>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</si>
  <si>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</si>
  <si>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</si>
  <si>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</si>
  <si>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</si>
  <si>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</si>
  <si>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</si>
  <si>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</si>
  <si>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</si>
  <si>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</si>
  <si>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</si>
  <si>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</si>
  <si>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</si>
  <si>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</si>
  <si>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</si>
  <si>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</si>
  <si>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</si>
  <si>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</si>
  <si>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</si>
  <si>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</si>
  <si>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</si>
  <si>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</si>
  <si>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</si>
  <si>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</si>
  <si>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</si>
  <si>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</si>
  <si>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</si>
  <si>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</si>
  <si>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</si>
  <si>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</si>
  <si>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</si>
  <si>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</si>
  <si>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</si>
  <si>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</si>
  <si>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</si>
  <si>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</si>
  <si>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</si>
  <si>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</si>
  <si>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</si>
  <si>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</si>
  <si>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</si>
  <si>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</si>
  <si>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</si>
  <si>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</si>
  <si>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</si>
  <si>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</si>
  <si>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</si>
  <si>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</si>
  <si>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</si>
  <si>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</si>
  <si>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</si>
  <si>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</si>
  <si>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</si>
  <si>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</si>
  <si>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</si>
  <si>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</si>
  <si>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</si>
  <si>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</si>
  <si>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</si>
  <si>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</si>
  <si>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</si>
  <si>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</si>
  <si>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</si>
  <si>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</si>
  <si>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</si>
  <si>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</si>
  <si>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</si>
  <si>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</si>
  <si>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</si>
  <si>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</si>
  <si>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</si>
  <si>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</si>
  <si>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</si>
  <si>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</si>
  <si>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</si>
  <si>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</si>
  <si>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</si>
  <si>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</si>
  <si>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</si>
  <si>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</si>
  <si>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</si>
  <si>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</si>
  <si>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</si>
  <si>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</si>
  <si>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</si>
  <si>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</si>
  <si>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</si>
  <si>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</si>
  <si>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</si>
  <si>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</si>
  <si>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</si>
  <si>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</si>
  <si>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</si>
  <si>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</si>
  <si>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</si>
  <si>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</si>
  <si>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</si>
  <si>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</si>
  <si>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</si>
  <si>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</si>
  <si>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</si>
  <si>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</si>
  <si>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</si>
  <si>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</si>
  <si>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</si>
  <si>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</si>
  <si>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</si>
  <si>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</si>
  <si>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</si>
  <si>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</si>
  <si>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</si>
  <si>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</si>
  <si>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</si>
  <si>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</si>
  <si>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</si>
  <si>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</si>
  <si>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</si>
  <si>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</si>
  <si>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</si>
  <si>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</si>
  <si>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</si>
  <si>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</si>
  <si>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</si>
  <si>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</si>
  <si>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</si>
  <si>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</si>
  <si>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</si>
  <si>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</si>
  <si>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</si>
  <si>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</si>
  <si>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</si>
  <si>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</si>
  <si>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</si>
  <si>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</si>
  <si>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</si>
  <si>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</si>
  <si>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</si>
  <si>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</si>
  <si>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</si>
  <si>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</si>
  <si>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</si>
  <si>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</si>
  <si>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</si>
  <si>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</si>
  <si>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</si>
  <si>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</si>
  <si>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</si>
  <si>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</si>
  <si>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</si>
  <si>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</si>
  <si>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</si>
  <si>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</si>
  <si>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</si>
  <si>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</si>
  <si>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</si>
  <si>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</si>
  <si>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</si>
  <si>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</si>
  <si>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</si>
  <si>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</si>
  <si>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</si>
  <si>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</si>
  <si>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</si>
  <si>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</si>
  <si>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</si>
  <si>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</si>
  <si>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</si>
  <si>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</si>
  <si>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</si>
  <si>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</si>
  <si>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</si>
  <si>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</si>
  <si>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</si>
  <si>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</si>
  <si>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</si>
  <si>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</si>
  <si>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</si>
  <si>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</si>
  <si>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</si>
  <si>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</si>
  <si>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</si>
  <si>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</si>
  <si>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</si>
  <si>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</si>
  <si>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</si>
  <si>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</si>
  <si>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</si>
  <si>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</si>
  <si>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</si>
  <si>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</si>
  <si>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</si>
  <si>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</si>
  <si>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</si>
  <si>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</si>
  <si>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</si>
  <si>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</si>
  <si>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</si>
  <si>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</si>
  <si>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</si>
  <si>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</si>
  <si>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</si>
  <si>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</si>
  <si>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</si>
  <si>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</si>
  <si>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</si>
  <si>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</si>
  <si>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</si>
  <si>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</si>
  <si>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</si>
  <si>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</si>
  <si>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</si>
  <si>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</si>
  <si>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</si>
  <si>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</si>
  <si>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</si>
  <si>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</si>
  <si>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</si>
  <si>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</si>
  <si>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</si>
  <si>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</si>
  <si>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</si>
  <si>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</si>
  <si>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</si>
  <si>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</si>
  <si>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</si>
  <si>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</si>
  <si>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</si>
  <si>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</si>
  <si>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</si>
  <si>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</si>
  <si>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</si>
  <si>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</si>
  <si>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</si>
  <si>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</si>
  <si>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</si>
  <si>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</si>
  <si>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</si>
  <si>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</si>
  <si>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</si>
  <si>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</si>
  <si>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</si>
  <si>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</si>
  <si>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</si>
  <si>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</si>
  <si>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</si>
  <si>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</si>
  <si>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</si>
  <si>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</si>
  <si>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</si>
  <si>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</si>
  <si>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</si>
  <si>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</si>
  <si>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</si>
  <si>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</si>
  <si>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</si>
  <si>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</si>
  <si>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</si>
  <si>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</si>
  <si>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</si>
  <si>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</si>
  <si>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</si>
  <si>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</si>
  <si>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</si>
  <si>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</si>
  <si>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</si>
  <si>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</si>
  <si>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</si>
  <si>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</si>
  <si>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</si>
  <si>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</si>
  <si>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</si>
  <si>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</si>
  <si>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</si>
  <si>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</si>
  <si>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</si>
  <si>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</si>
  <si>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</si>
  <si>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</si>
  <si>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</si>
  <si>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</si>
  <si>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</si>
  <si>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</si>
  <si>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</si>
  <si>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</si>
  <si>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</si>
  <si>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</si>
  <si>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</si>
  <si>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</si>
  <si>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</si>
  <si>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</si>
  <si>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</si>
  <si>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</si>
  <si>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</si>
  <si>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</si>
  <si>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</si>
  <si>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</si>
  <si>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</si>
  <si>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</si>
  <si>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</si>
  <si>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</si>
  <si>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</si>
  <si>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</si>
  <si>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</si>
  <si>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</si>
  <si>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</si>
  <si>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</si>
  <si>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</si>
  <si>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</si>
  <si>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</si>
  <si>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</si>
  <si>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</si>
  <si>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</si>
  <si>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</si>
  <si>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</si>
  <si>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</si>
  <si>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</si>
  <si>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</si>
  <si>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</si>
  <si>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</si>
  <si>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</si>
  <si>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</si>
  <si>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</si>
  <si>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</si>
  <si>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</si>
  <si>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</si>
  <si>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</si>
  <si>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</si>
  <si>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</si>
  <si>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</si>
  <si>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</si>
  <si>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</si>
  <si>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</si>
  <si>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</si>
  <si>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</si>
  <si>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</si>
  <si>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</si>
  <si>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</si>
  <si>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</si>
  <si>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</si>
  <si>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</si>
  <si>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</si>
  <si>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</si>
  <si>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</si>
  <si>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</si>
  <si>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</si>
  <si>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</si>
  <si>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</si>
  <si>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</si>
  <si>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</si>
  <si>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</si>
  <si>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</si>
  <si>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</si>
  <si>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</si>
  <si>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</si>
  <si>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</si>
  <si>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</si>
  <si>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</si>
  <si>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</si>
  <si>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</si>
  <si>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</si>
  <si>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</si>
  <si>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</si>
  <si>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</si>
  <si>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</si>
  <si>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</si>
  <si>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</si>
  <si>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</si>
  <si>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</si>
  <si>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</si>
  <si>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</si>
  <si>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</si>
  <si>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</si>
  <si>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</si>
  <si>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</si>
  <si>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</si>
  <si>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</si>
  <si>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</si>
  <si>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</si>
  <si>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</si>
  <si>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</si>
  <si>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</si>
  <si>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</si>
  <si>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</si>
  <si>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</si>
  <si>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</si>
  <si>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</si>
  <si>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</si>
  <si>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</si>
  <si>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</si>
  <si>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</si>
  <si>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</si>
  <si>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</si>
  <si>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</si>
  <si>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</si>
  <si>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</si>
  <si>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</si>
  <si>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</si>
  <si>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</si>
  <si>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</si>
  <si>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</si>
  <si>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</si>
  <si>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</si>
  <si>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</si>
  <si>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</si>
  <si>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</si>
  <si>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</si>
  <si>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</si>
  <si>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</si>
  <si>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</si>
  <si>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</si>
  <si>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</si>
  <si>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</si>
  <si>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</si>
  <si>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</si>
  <si>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</si>
  <si>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</si>
  <si>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</si>
  <si>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</si>
  <si>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</si>
  <si>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</si>
  <si>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</si>
  <si>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</si>
  <si>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</si>
  <si>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</si>
  <si>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</si>
  <si>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</si>
  <si>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</si>
  <si>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</si>
  <si>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</si>
  <si>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</si>
  <si>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</si>
  <si>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</si>
  <si>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</si>
  <si>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</si>
  <si>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</si>
  <si>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</si>
  <si>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</si>
  <si>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</si>
  <si>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</si>
  <si>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</si>
  <si>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</si>
  <si>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</si>
  <si>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</si>
  <si>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</si>
  <si>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</si>
  <si>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</si>
  <si>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</si>
  <si>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</si>
  <si>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</si>
  <si>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</si>
  <si>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</si>
  <si>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</si>
  <si>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</si>
  <si>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</si>
  <si>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</si>
  <si>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</si>
  <si>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</si>
  <si>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</si>
  <si>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</si>
  <si>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</si>
  <si>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</si>
  <si>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</si>
  <si>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</si>
  <si>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</si>
  <si>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</si>
  <si>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</si>
  <si>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</si>
  <si>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</si>
  <si>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</si>
  <si>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</si>
  <si>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</si>
  <si>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</si>
  <si>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</si>
  <si>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</si>
  <si>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</si>
  <si>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</si>
  <si>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</si>
  <si>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</si>
  <si>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</si>
  <si>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</si>
  <si>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</si>
  <si>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</si>
  <si>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</si>
  <si>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</si>
  <si>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</si>
  <si>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</si>
  <si>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</si>
  <si>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</si>
  <si>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</si>
  <si>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</si>
  <si>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</si>
  <si>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</si>
  <si>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</si>
  <si>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</si>
  <si>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</si>
  <si>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</si>
  <si>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</si>
  <si>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</si>
  <si>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</si>
  <si>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</si>
  <si>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</si>
  <si>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</si>
  <si>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</si>
  <si>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</si>
  <si>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</si>
  <si>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</si>
  <si>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</si>
  <si>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</si>
  <si>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</si>
  <si>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</si>
  <si>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</si>
  <si>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</si>
  <si>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</si>
  <si>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</si>
  <si>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</si>
  <si>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</si>
  <si>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</si>
  <si>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</si>
  <si>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</si>
  <si>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</si>
  <si>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</si>
  <si>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</si>
  <si>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</si>
  <si>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</si>
  <si>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</si>
  <si>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</si>
  <si>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</si>
  <si>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</si>
  <si>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</si>
  <si>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</si>
  <si>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</si>
  <si>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</si>
  <si>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</si>
  <si>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</si>
  <si>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</si>
  <si>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</si>
  <si>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</si>
  <si>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</si>
  <si>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</si>
  <si>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</si>
  <si>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</si>
  <si>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</si>
  <si>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</si>
  <si>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</si>
  <si>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</si>
  <si>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</si>
  <si>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</si>
  <si>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</si>
  <si>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</si>
  <si>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</si>
  <si>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</si>
  <si>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</si>
  <si>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</si>
  <si>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</si>
  <si>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</si>
  <si>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</si>
  <si>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</si>
  <si>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</si>
  <si>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</si>
  <si>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</si>
  <si>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</si>
  <si>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</si>
  <si>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</si>
  <si>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</si>
  <si>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</si>
  <si>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</si>
  <si>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</si>
  <si>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</si>
  <si>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</si>
  <si>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</si>
  <si>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</si>
  <si>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</si>
  <si>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</si>
  <si>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</si>
  <si>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</si>
  <si>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</si>
  <si>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</si>
  <si>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</si>
  <si>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</si>
  <si>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</si>
  <si>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</si>
  <si>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</si>
  <si>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</si>
  <si>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</si>
  <si>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</si>
  <si>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</si>
  <si>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</si>
  <si>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</si>
  <si>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</si>
  <si>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</si>
  <si>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</si>
  <si>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</si>
  <si>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</si>
  <si>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</si>
  <si>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</si>
  <si>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</si>
  <si>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</si>
  <si>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</si>
  <si>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</si>
  <si>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</si>
  <si>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</si>
  <si>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</si>
  <si>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</si>
  <si>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</si>
  <si>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</si>
  <si>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</si>
  <si>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</si>
  <si>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</si>
  <si>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</si>
  <si>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</si>
  <si>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</si>
  <si>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</si>
  <si>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</si>
  <si>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</si>
  <si>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</si>
  <si>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</si>
  <si>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</si>
  <si>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</si>
  <si>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</si>
  <si>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</si>
  <si>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</si>
  <si>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</si>
  <si>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</si>
  <si>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</si>
  <si>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</si>
  <si>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</si>
  <si>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</si>
  <si>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</si>
  <si>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</si>
  <si>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</si>
  <si>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</si>
  <si>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</si>
  <si>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</si>
  <si>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</si>
  <si>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</si>
  <si>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</si>
  <si>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</si>
  <si>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</si>
  <si>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</si>
  <si>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</si>
  <si>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</si>
  <si>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</si>
  <si>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</si>
  <si>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</si>
  <si>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</si>
  <si>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</si>
  <si>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</si>
  <si>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</si>
  <si>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</si>
  <si>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</si>
  <si>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</si>
  <si>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</si>
  <si>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</si>
  <si>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</si>
  <si>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</si>
  <si>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</si>
  <si>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</si>
  <si>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</si>
  <si>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</si>
  <si>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</si>
  <si>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</si>
  <si>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</si>
  <si>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</si>
  <si>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</si>
  <si>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</si>
  <si>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</si>
  <si>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</si>
  <si>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</si>
  <si>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</si>
  <si>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</si>
  <si>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</si>
  <si>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</si>
  <si>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</si>
  <si>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</si>
  <si>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</si>
  <si>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</si>
  <si>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</si>
  <si>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</si>
  <si>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</si>
  <si>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</si>
  <si>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</si>
  <si>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</si>
  <si>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</si>
  <si>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</si>
  <si>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</si>
  <si>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</si>
  <si>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</si>
  <si>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</si>
  <si>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</si>
  <si>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</si>
  <si>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</si>
  <si>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</si>
  <si>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</si>
  <si>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</si>
  <si>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</si>
  <si>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</si>
  <si>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</si>
  <si>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</si>
  <si>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</si>
  <si>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</si>
  <si>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</si>
  <si>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</si>
  <si>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</si>
  <si>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</si>
  <si>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</si>
  <si>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</si>
  <si>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</si>
  <si>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</si>
  <si>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</si>
  <si>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</si>
  <si>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</si>
  <si>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</si>
  <si>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</si>
  <si>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</si>
  <si>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</si>
  <si>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</si>
  <si>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</si>
  <si>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</si>
  <si>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</si>
  <si>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</si>
  <si>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</si>
  <si>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</si>
  <si>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</si>
  <si>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</si>
  <si>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</si>
  <si>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</si>
  <si>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</si>
  <si>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</si>
  <si>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</si>
  <si>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</si>
  <si>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</si>
  <si>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</si>
  <si>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</si>
  <si>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</si>
  <si>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</si>
  <si>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</si>
  <si>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</si>
  <si>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</si>
  <si>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</si>
  <si>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</si>
  <si>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</si>
  <si>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</si>
  <si>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</si>
  <si>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</si>
  <si>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</si>
  <si>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</si>
  <si>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</si>
  <si>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</si>
  <si>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</si>
  <si>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</si>
  <si>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</si>
  <si>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</si>
  <si>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</si>
  <si>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</si>
  <si>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</si>
  <si>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</si>
  <si>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</si>
  <si>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</si>
  <si>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</si>
  <si>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</si>
  <si>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</si>
  <si>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</si>
  <si>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</si>
  <si>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</si>
  <si>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</si>
  <si>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</si>
  <si>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</si>
  <si>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</si>
  <si>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</si>
  <si>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</si>
  <si>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</si>
  <si>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</si>
  <si>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</si>
  <si>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</si>
  <si>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</si>
  <si>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</si>
  <si>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</si>
  <si>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</si>
  <si>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</si>
  <si>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</si>
  <si>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</si>
  <si>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</si>
  <si>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</si>
  <si>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</si>
  <si>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</si>
  <si>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</si>
  <si>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</si>
  <si>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</si>
  <si>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</si>
  <si>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</si>
  <si>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</si>
  <si>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</si>
  <si>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</si>
  <si>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</si>
  <si>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</si>
  <si>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</si>
  <si>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</si>
  <si>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</si>
  <si>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</si>
  <si>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</si>
  <si>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</si>
  <si>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</si>
  <si>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</si>
  <si>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</si>
  <si>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</si>
  <si>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</si>
  <si>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</si>
  <si>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</si>
  <si>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</si>
  <si>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</si>
  <si>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</si>
  <si>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</si>
  <si>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</si>
  <si>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</si>
  <si>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</si>
  <si>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</si>
  <si>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</si>
  <si>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</si>
  <si>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</si>
  <si>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</si>
  <si>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</si>
  <si>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</si>
  <si>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</si>
  <si>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</si>
  <si>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</si>
  <si>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</si>
  <si>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</si>
  <si>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</si>
  <si>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</si>
  <si>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</si>
  <si>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</si>
  <si>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</si>
  <si>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</si>
  <si>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</si>
  <si>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</si>
  <si>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</si>
  <si>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</si>
  <si>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</si>
  <si>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</si>
  <si>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</si>
  <si>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</si>
  <si>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</si>
  <si>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</si>
  <si>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</si>
  <si>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</si>
  <si>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</si>
  <si>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</si>
  <si>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</si>
  <si>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</si>
  <si>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</si>
  <si>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</si>
  <si>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</si>
  <si>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</si>
  <si>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</si>
  <si>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</si>
  <si>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</si>
  <si>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</si>
  <si>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</si>
  <si>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</si>
  <si>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</si>
  <si>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</si>
  <si>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</si>
  <si>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</si>
  <si>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</si>
  <si>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</si>
  <si>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</si>
  <si>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</si>
  <si>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</si>
  <si>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</si>
  <si>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</si>
  <si>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</si>
  <si>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</si>
  <si>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</si>
  <si>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</si>
  <si>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</si>
  <si>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</si>
  <si>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</si>
  <si>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</si>
  <si>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</si>
  <si>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</si>
  <si>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</si>
  <si>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</si>
  <si>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</si>
  <si>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</si>
  <si>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</si>
  <si>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</si>
  <si>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</si>
  <si>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</si>
  <si>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</si>
  <si>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</si>
  <si>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</si>
  <si>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</si>
  <si>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</si>
  <si>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</si>
  <si>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</si>
  <si>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</si>
  <si>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</si>
  <si>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</si>
  <si>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</si>
  <si>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</si>
  <si>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</si>
  <si>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</si>
  <si>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</si>
  <si>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</si>
  <si>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</si>
  <si>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</si>
  <si>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</si>
  <si>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</si>
  <si>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</si>
  <si>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</si>
  <si>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</si>
  <si>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</si>
  <si>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</si>
  <si>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</si>
  <si>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</si>
  <si>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</si>
  <si>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</si>
  <si>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</si>
  <si>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</si>
  <si>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</si>
  <si>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</si>
  <si>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</si>
  <si>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</si>
  <si>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</si>
  <si>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</si>
  <si>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</si>
  <si>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</si>
  <si>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</si>
  <si>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</si>
  <si>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</si>
  <si>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</si>
  <si>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</si>
  <si>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</si>
  <si>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</si>
  <si>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</si>
  <si>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</si>
  <si>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</si>
  <si>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</si>
  <si>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</si>
  <si>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</si>
  <si>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</si>
  <si>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</si>
  <si>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</si>
  <si>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</si>
  <si>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</si>
  <si>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</si>
  <si>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</si>
  <si>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</si>
  <si>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</si>
  <si>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</si>
  <si>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</si>
  <si>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</si>
  <si>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</si>
  <si>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</si>
  <si>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</si>
  <si>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</si>
  <si>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</si>
  <si>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</si>
  <si>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</si>
  <si>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</si>
  <si>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</si>
  <si>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</si>
  <si>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</si>
  <si>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</si>
  <si>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</si>
  <si>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</si>
  <si>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</si>
  <si>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</si>
  <si>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</si>
  <si>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</si>
  <si>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</si>
  <si>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</si>
  <si>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</si>
  <si>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</si>
  <si>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</si>
  <si>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</si>
  <si>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</si>
  <si>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</si>
  <si>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</si>
  <si>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</si>
  <si>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</si>
  <si>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</si>
  <si>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</si>
  <si>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</si>
  <si>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</si>
  <si>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</si>
  <si>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</si>
  <si>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</si>
  <si>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</si>
  <si>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</si>
  <si>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</si>
  <si>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</si>
  <si>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</si>
  <si>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</si>
  <si>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</si>
  <si>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</si>
  <si>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</si>
  <si>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</si>
  <si>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</si>
  <si>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</si>
  <si>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</si>
  <si>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</si>
  <si>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</si>
  <si>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</si>
  <si>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</si>
  <si>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</si>
  <si>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</si>
  <si>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</si>
  <si>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</si>
  <si>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</si>
  <si>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</si>
  <si>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</si>
  <si>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</si>
  <si>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</si>
  <si>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</si>
  <si>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</si>
  <si>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</si>
  <si>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</si>
  <si>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</si>
  <si>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</si>
  <si>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</si>
  <si>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</si>
  <si>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</si>
  <si>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</si>
  <si>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</si>
  <si>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</si>
  <si>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</si>
  <si>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</si>
  <si>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</si>
  <si>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</si>
  <si>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</si>
  <si>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</si>
  <si>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</si>
  <si>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</si>
  <si>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</si>
  <si>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</si>
  <si>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</si>
  <si>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</si>
  <si>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</si>
  <si>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</si>
  <si>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</si>
  <si>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</si>
  <si>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</si>
  <si>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</si>
  <si>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</si>
  <si>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</si>
  <si>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</si>
  <si>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</si>
  <si>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</si>
  <si>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</si>
  <si>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</si>
  <si>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</si>
  <si>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</si>
  <si>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</si>
  <si>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</si>
  <si>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</si>
  <si>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</si>
  <si>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</si>
  <si>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</si>
  <si>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</si>
  <si>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</si>
  <si>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</si>
  <si>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</si>
  <si>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</si>
  <si>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</si>
  <si>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</si>
  <si>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</si>
  <si>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</si>
  <si>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</si>
  <si>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</si>
  <si>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</si>
  <si>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</si>
  <si>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</si>
  <si>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</si>
  <si>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</si>
  <si>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</si>
  <si>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</si>
  <si>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</si>
  <si>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</si>
  <si>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</si>
  <si>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</si>
  <si>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</si>
  <si>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</si>
  <si>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</si>
  <si>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</si>
  <si>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</si>
  <si>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</si>
  <si>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</si>
  <si>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</si>
  <si>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</si>
  <si>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</si>
  <si>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</si>
  <si>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</si>
  <si>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</si>
  <si>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</si>
  <si>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</si>
  <si>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</si>
  <si>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</si>
  <si>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</si>
  <si>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</si>
  <si>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</si>
  <si>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</si>
  <si>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</si>
  <si>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</si>
  <si>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</si>
  <si>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</si>
  <si>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</si>
  <si>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</si>
  <si>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</si>
  <si>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</si>
  <si>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</si>
  <si>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</si>
  <si>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</si>
  <si>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</si>
  <si>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</si>
  <si>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</si>
  <si>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</si>
  <si>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</si>
  <si>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</si>
  <si>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</si>
  <si>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</si>
  <si>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</si>
  <si>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</si>
  <si>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</si>
  <si>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</si>
  <si>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</si>
  <si>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</si>
  <si>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</si>
  <si>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</si>
  <si>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</si>
  <si>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</si>
  <si>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</si>
  <si>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</si>
  <si>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</si>
  <si>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</si>
  <si>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</si>
  <si>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</si>
  <si>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</si>
  <si>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</si>
  <si>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</si>
  <si>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</si>
  <si>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</si>
  <si>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</si>
  <si>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</si>
  <si>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</si>
  <si>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</si>
  <si>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</si>
  <si>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</si>
  <si>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</si>
  <si>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</si>
  <si>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</si>
  <si>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</si>
  <si>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</si>
  <si>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</si>
  <si>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</si>
  <si>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</si>
  <si>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</si>
  <si>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</si>
  <si>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</si>
  <si>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</si>
  <si>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</si>
  <si>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</si>
  <si>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</si>
  <si>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</si>
  <si>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</si>
  <si>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</si>
  <si>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</si>
  <si>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</si>
  <si>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</si>
  <si>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</si>
  <si>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</si>
  <si>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</si>
  <si>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</si>
  <si>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</si>
  <si>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</si>
  <si>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</si>
  <si>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</si>
  <si>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</si>
  <si>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</si>
  <si>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</si>
  <si>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</si>
  <si>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</si>
  <si>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</si>
  <si>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</si>
  <si>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</si>
  <si>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</si>
  <si>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</si>
  <si>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</si>
  <si>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</si>
  <si>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</si>
  <si>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</si>
  <si>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</si>
  <si>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</si>
  <si>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</si>
  <si>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</si>
  <si>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</si>
  <si>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</si>
  <si>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</si>
  <si>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</si>
  <si>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</si>
  <si>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</si>
  <si>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</si>
  <si>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</si>
  <si>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</si>
  <si>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</si>
  <si>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</si>
  <si>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</si>
  <si>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</si>
  <si>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</si>
  <si>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</si>
  <si>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</si>
  <si>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</si>
  <si>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</si>
  <si>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</si>
  <si>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</si>
  <si>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</si>
  <si>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</si>
  <si>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</si>
  <si>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</si>
  <si>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</si>
  <si>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</si>
  <si>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</si>
  <si>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</si>
  <si>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</si>
  <si>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</si>
  <si>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</si>
  <si>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</si>
  <si>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</si>
  <si>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</si>
  <si>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</si>
  <si>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</si>
  <si>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</si>
  <si>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</si>
  <si>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</si>
  <si>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</si>
  <si>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</si>
  <si>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</si>
  <si>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</si>
  <si>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</si>
  <si>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</si>
  <si>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</si>
  <si>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</si>
  <si>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</si>
  <si>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</si>
  <si>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</si>
  <si>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</si>
  <si>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</si>
  <si>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</si>
  <si>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</si>
  <si>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</si>
  <si>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</si>
  <si>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</si>
  <si>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</si>
  <si>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</si>
  <si>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</si>
  <si>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</si>
  <si>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</si>
  <si>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</si>
  <si>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</si>
  <si>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</si>
  <si>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</si>
  <si>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</si>
  <si>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</si>
  <si>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</si>
  <si>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</si>
  <si>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</si>
  <si>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</si>
  <si>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</si>
  <si>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</si>
  <si>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</si>
  <si>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</si>
  <si>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</si>
  <si>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</si>
  <si>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</si>
  <si>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</si>
  <si>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</si>
  <si>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</si>
  <si>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</si>
  <si>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</si>
  <si>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</si>
  <si>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</si>
  <si>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</si>
  <si>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</si>
  <si>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</si>
  <si>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</si>
  <si>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</si>
  <si>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</si>
  <si>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</si>
  <si>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</si>
  <si>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</si>
  <si>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</si>
  <si>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</si>
  <si>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</si>
  <si>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</si>
  <si>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</si>
  <si>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</si>
  <si>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</si>
  <si>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</si>
  <si>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</si>
  <si>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</si>
  <si>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</si>
  <si>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</si>
  <si>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</si>
  <si>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</si>
  <si>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</si>
  <si>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</si>
  <si>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</si>
  <si>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</si>
  <si>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</si>
  <si>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</si>
  <si>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</si>
  <si>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</si>
  <si>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</si>
  <si>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</si>
  <si>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</si>
  <si>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</si>
  <si>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</si>
  <si>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</si>
  <si>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</si>
  <si>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</si>
  <si>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</si>
  <si>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</si>
  <si>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</si>
  <si>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</si>
  <si>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</si>
  <si>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</si>
  <si>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</si>
  <si>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</si>
  <si>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</si>
  <si>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</si>
  <si>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</si>
  <si>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</si>
  <si>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</si>
  <si>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</si>
  <si>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</si>
  <si>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</si>
  <si>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</si>
  <si>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</si>
  <si>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</si>
  <si>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</si>
  <si>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</si>
  <si>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</si>
  <si>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</si>
  <si>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</si>
  <si>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</si>
  <si>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</si>
  <si>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</si>
  <si>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</si>
  <si>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</si>
  <si>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</si>
  <si>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</si>
  <si>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</si>
  <si>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</si>
  <si>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</si>
  <si>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</si>
  <si>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</si>
  <si>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</si>
  <si>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</si>
  <si>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</si>
  <si>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</si>
  <si>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</si>
  <si>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</si>
  <si>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</si>
  <si>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</si>
  <si>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</si>
  <si>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</si>
  <si>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</si>
  <si>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</si>
  <si>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</si>
  <si>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</si>
  <si>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</si>
  <si>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</si>
  <si>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</si>
  <si>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</si>
  <si>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</si>
  <si>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</si>
  <si>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</si>
  <si>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</si>
  <si>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</si>
  <si>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</si>
  <si>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</si>
  <si>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</si>
  <si>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</si>
  <si>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</si>
  <si>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</si>
  <si>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</si>
  <si>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</si>
  <si>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</si>
  <si>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</si>
  <si>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</si>
  <si>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</si>
  <si>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</si>
  <si>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</si>
  <si>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</si>
  <si>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</si>
  <si>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</si>
  <si>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</si>
  <si>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</si>
  <si>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</si>
  <si>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</si>
  <si>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</si>
  <si>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</si>
  <si>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</si>
  <si>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</si>
  <si>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</si>
  <si>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</si>
  <si>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</si>
  <si>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</si>
  <si>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</si>
  <si>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</si>
  <si>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</si>
  <si>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</si>
  <si>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</si>
  <si>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</si>
  <si>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</si>
  <si>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</si>
  <si>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</si>
  <si>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</si>
  <si>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</si>
  <si>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</si>
  <si>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</si>
  <si>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</si>
  <si>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</si>
  <si>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</si>
  <si>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</si>
  <si>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</si>
  <si>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</si>
  <si>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</si>
  <si>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</si>
  <si>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</si>
  <si>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</si>
  <si>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</si>
  <si>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</si>
  <si>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</si>
  <si>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</si>
  <si>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</si>
  <si>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</si>
  <si>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</si>
  <si>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</si>
  <si>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</si>
  <si>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</si>
  <si>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</si>
  <si>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</si>
  <si>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</si>
  <si>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</si>
  <si>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</si>
  <si>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</si>
  <si>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</si>
  <si>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</si>
  <si>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</si>
  <si>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</si>
  <si>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</si>
  <si>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</si>
  <si>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</si>
  <si>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</si>
  <si>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</si>
  <si>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</si>
  <si>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</si>
  <si>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</si>
  <si>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</si>
  <si>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</si>
  <si>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</si>
  <si>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</si>
  <si>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</si>
  <si>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</si>
  <si>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</si>
  <si>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</si>
  <si>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</si>
  <si>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</si>
  <si>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</si>
  <si>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</si>
  <si>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</si>
  <si>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</si>
  <si>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</si>
  <si>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</si>
  <si>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</si>
  <si>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</si>
  <si>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</si>
  <si>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</si>
  <si>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</si>
  <si>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</si>
  <si>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</si>
  <si>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</si>
  <si>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</si>
  <si>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</si>
  <si>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</si>
  <si>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</si>
  <si>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</si>
  <si>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</si>
  <si>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</si>
  <si>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</si>
  <si>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</si>
  <si>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</si>
  <si>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</si>
  <si>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</si>
  <si>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</si>
  <si>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</si>
  <si>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</si>
  <si>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</si>
  <si>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</si>
  <si>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</si>
  <si>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</si>
  <si>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</si>
  <si>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</si>
  <si>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</si>
  <si>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</si>
  <si>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</si>
  <si>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</si>
  <si>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</si>
  <si>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</si>
  <si>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</si>
  <si>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</si>
  <si>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</si>
  <si>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</si>
  <si>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</si>
  <si>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</si>
  <si>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</si>
  <si>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</si>
  <si>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</si>
  <si>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</si>
  <si>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</si>
  <si>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</si>
  <si>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</si>
  <si>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</si>
  <si>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</si>
  <si>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</si>
  <si>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</si>
  <si>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</si>
  <si>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</si>
  <si>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</si>
  <si>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</si>
  <si>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</si>
  <si>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</si>
  <si>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</si>
  <si>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</si>
  <si>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</si>
  <si>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</si>
  <si>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</si>
  <si>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</si>
  <si>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</si>
  <si>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</si>
  <si>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</si>
  <si>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</si>
  <si>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</si>
  <si>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</si>
  <si>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</si>
  <si>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</si>
  <si>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</si>
  <si>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</si>
  <si>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</si>
  <si>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</si>
  <si>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</si>
  <si>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</si>
  <si>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</si>
  <si>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</si>
  <si>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</si>
  <si>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</si>
  <si>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</si>
  <si>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</si>
  <si>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</si>
  <si>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</si>
  <si>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</si>
  <si>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</si>
  <si>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</si>
  <si>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</si>
  <si>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</si>
  <si>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</si>
  <si>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</si>
  <si>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</si>
  <si>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</si>
  <si>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</si>
  <si>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</si>
  <si>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</si>
  <si>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</si>
  <si>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</si>
  <si>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</si>
  <si>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</si>
  <si>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</si>
  <si>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</si>
  <si>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</si>
  <si>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</si>
  <si>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</si>
  <si>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</si>
  <si>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</si>
  <si>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</si>
  <si>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</si>
  <si>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</si>
  <si>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</si>
  <si>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</si>
  <si>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</si>
  <si>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</si>
  <si>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</si>
  <si>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</si>
  <si>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</si>
  <si>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</si>
  <si>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</si>
  <si>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</si>
  <si>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</si>
  <si>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</si>
  <si>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</si>
  <si>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</si>
  <si>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</si>
  <si>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</si>
  <si>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</si>
  <si>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</si>
  <si>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</si>
  <si>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</si>
  <si>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</si>
  <si>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</si>
  <si>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</si>
  <si>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</si>
  <si>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</si>
  <si>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</si>
  <si>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</si>
  <si>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</si>
  <si>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</si>
  <si>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</si>
  <si>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</si>
  <si>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</si>
  <si>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</si>
  <si>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</si>
  <si>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</si>
  <si>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</si>
  <si>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</si>
  <si>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</si>
  <si>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</si>
  <si>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</si>
  <si>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</si>
  <si>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</si>
  <si>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</si>
  <si>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</si>
  <si>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</si>
  <si>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</si>
  <si>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</si>
  <si>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</si>
  <si>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</si>
  <si>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</si>
  <si>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</si>
  <si>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</si>
  <si>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</si>
  <si>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</si>
  <si>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</si>
  <si>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</si>
  <si>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</si>
  <si>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</si>
  <si>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</si>
  <si>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</si>
  <si>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</si>
  <si>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</si>
  <si>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</si>
  <si>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</si>
  <si>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</si>
  <si>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</si>
  <si>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</si>
  <si>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</si>
  <si>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</si>
  <si>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</si>
  <si>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</si>
  <si>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</si>
  <si>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</si>
  <si>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</si>
  <si>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</si>
  <si>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</si>
  <si>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</si>
  <si>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</si>
  <si>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</si>
  <si>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</si>
  <si>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</si>
  <si>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</si>
  <si>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</si>
  <si>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</si>
  <si>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</si>
  <si>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</si>
  <si>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</si>
  <si>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</si>
  <si>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</si>
  <si>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</si>
  <si>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</si>
  <si>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</si>
  <si>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</si>
  <si>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</si>
  <si>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</si>
  <si>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</si>
  <si>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</si>
  <si>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</si>
  <si>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</si>
  <si>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</si>
  <si>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</si>
  <si>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</si>
  <si>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</si>
  <si>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</si>
  <si>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</si>
  <si>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</si>
  <si>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</si>
  <si>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</si>
  <si>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</si>
  <si>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</si>
  <si>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</si>
  <si>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</si>
  <si>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</si>
  <si>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</si>
  <si>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</si>
  <si>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</si>
  <si>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</si>
  <si>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</si>
  <si>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</si>
  <si>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</si>
  <si>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</si>
  <si>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</si>
  <si>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</si>
  <si>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</si>
  <si>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</si>
  <si>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</si>
  <si>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</si>
  <si>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</si>
  <si>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</si>
  <si>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</si>
  <si>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</si>
  <si>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</si>
  <si>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</si>
  <si>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</si>
  <si>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</si>
  <si>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</si>
  <si>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</si>
  <si>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</si>
  <si>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</si>
  <si>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</si>
  <si>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</si>
  <si>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</si>
  <si>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</si>
  <si>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</si>
  <si>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</si>
  <si>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</si>
  <si>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</si>
  <si>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</si>
  <si>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</si>
  <si>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</si>
  <si>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</si>
  <si>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</si>
  <si>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</si>
  <si>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</si>
  <si>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</si>
  <si>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</si>
  <si>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</si>
  <si>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</si>
  <si>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</si>
  <si>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</si>
  <si>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</si>
  <si>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</si>
  <si>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</si>
  <si>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</si>
  <si>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</si>
  <si>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</si>
  <si>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</si>
  <si>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</si>
  <si>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</si>
  <si>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</si>
  <si>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</si>
  <si>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</si>
  <si>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</si>
  <si>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</si>
  <si>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</si>
  <si>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</si>
  <si>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</si>
  <si>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</si>
  <si>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</si>
  <si>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</si>
  <si>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</si>
  <si>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</si>
  <si>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</si>
  <si>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</si>
  <si>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</si>
  <si>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</si>
  <si>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</si>
  <si>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</si>
  <si>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</si>
  <si>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</si>
  <si>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</si>
  <si>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</si>
  <si>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</si>
  <si>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</si>
  <si>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</si>
  <si>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</si>
  <si>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</si>
  <si>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</si>
  <si>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</si>
  <si>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</si>
  <si>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</si>
  <si>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</si>
  <si>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</si>
  <si>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</si>
  <si>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</si>
  <si>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</si>
  <si>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</si>
  <si>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</si>
  <si>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</si>
  <si>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</si>
  <si>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</si>
  <si>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</si>
  <si>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</si>
  <si>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</si>
  <si>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</si>
  <si>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</si>
  <si>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</si>
  <si>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</si>
  <si>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</si>
  <si>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</si>
  <si>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</si>
  <si>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</si>
  <si>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</si>
  <si>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</si>
  <si>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</si>
  <si>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</si>
  <si>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</si>
  <si>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</si>
  <si>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</si>
  <si>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</si>
  <si>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</si>
  <si>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</si>
  <si>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</si>
  <si>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</si>
  <si>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</si>
  <si>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</si>
  <si>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</si>
  <si>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</si>
  <si>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</si>
  <si>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</si>
  <si>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</si>
  <si>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</si>
  <si>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</si>
  <si>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</si>
  <si>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</si>
  <si>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</si>
  <si>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</si>
  <si>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</si>
  <si>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</si>
  <si>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</si>
  <si>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</si>
  <si>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</si>
  <si>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</si>
  <si>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</si>
  <si>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</si>
  <si>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</si>
  <si>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</si>
  <si>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</si>
  <si>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</si>
  <si>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</si>
  <si>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</si>
  <si>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</si>
  <si>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</si>
  <si>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</si>
  <si>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</si>
  <si>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</si>
  <si>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</si>
  <si>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</si>
  <si>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</si>
  <si>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</si>
  <si>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</si>
  <si>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</si>
  <si>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</si>
  <si>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</si>
  <si>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</si>
  <si>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</si>
  <si>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</si>
  <si>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</si>
  <si>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</si>
  <si>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</si>
  <si>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</si>
  <si>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</si>
  <si>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</si>
  <si>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</si>
  <si>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</si>
  <si>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</si>
  <si>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</si>
  <si>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</si>
  <si>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</si>
  <si>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</si>
  <si>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</si>
  <si>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</si>
  <si>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</si>
  <si>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</si>
  <si>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</si>
  <si>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</si>
  <si>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</si>
  <si>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</si>
  <si>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</si>
  <si>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</si>
  <si>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</si>
  <si>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</si>
  <si>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</si>
  <si>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</si>
  <si>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</si>
  <si>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</si>
  <si>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</si>
  <si>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</si>
  <si>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</si>
  <si>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</si>
  <si>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</si>
  <si>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</si>
  <si>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</si>
  <si>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</si>
  <si>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</si>
  <si>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</si>
  <si>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</si>
  <si>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</si>
  <si>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</si>
  <si>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</si>
  <si>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</si>
  <si>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</si>
  <si>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</si>
  <si>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</si>
  <si>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</si>
  <si>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</si>
  <si>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</si>
  <si>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</si>
  <si>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</si>
  <si>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</si>
  <si>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</si>
  <si>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</si>
  <si>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</si>
  <si>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</si>
  <si>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</si>
  <si>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</si>
  <si>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</si>
  <si>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</si>
  <si>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</si>
  <si>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</si>
  <si>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</si>
  <si>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</si>
  <si>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</si>
  <si>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</si>
  <si>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</si>
  <si>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</si>
  <si>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</si>
  <si>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</si>
  <si>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</si>
  <si>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</si>
  <si>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</si>
  <si>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</si>
  <si>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</si>
  <si>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</si>
  <si>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</si>
  <si>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</si>
  <si>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</si>
  <si>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</si>
  <si>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</si>
  <si>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</si>
  <si>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</si>
  <si>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</si>
  <si>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</si>
  <si>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</si>
  <si>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</si>
  <si>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</si>
  <si>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</si>
  <si>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</si>
  <si>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</si>
  <si>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</si>
  <si>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</si>
  <si>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</si>
  <si>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</si>
  <si>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</si>
  <si>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</si>
  <si>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</si>
  <si>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</si>
  <si>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</si>
  <si>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</si>
  <si>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</si>
  <si>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</si>
  <si>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</si>
  <si>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</si>
  <si>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</si>
  <si>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</si>
  <si>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</si>
  <si>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</si>
  <si>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</si>
  <si>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</si>
  <si>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</si>
  <si>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</si>
  <si>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</si>
  <si>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</si>
  <si>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</si>
  <si>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</si>
  <si>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</si>
  <si>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</si>
  <si>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</si>
  <si>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</si>
  <si>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</si>
  <si>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</si>
  <si>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</si>
  <si>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</si>
  <si>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</si>
  <si>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</si>
  <si>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</si>
  <si>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</si>
  <si>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</si>
  <si>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</si>
  <si>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</si>
  <si>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</si>
  <si>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</si>
  <si>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</si>
  <si>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</si>
  <si>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</si>
  <si>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</si>
  <si>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</si>
  <si>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</si>
  <si>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</si>
  <si>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</si>
  <si>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</si>
  <si>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</si>
  <si>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</si>
  <si>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</si>
  <si>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</si>
  <si>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</si>
  <si>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</si>
  <si>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</si>
  <si>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</si>
  <si>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</si>
  <si>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</si>
  <si>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</si>
  <si>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</si>
  <si>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</si>
  <si>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</si>
  <si>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</si>
  <si>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</si>
  <si>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</si>
  <si>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</si>
  <si>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</si>
  <si>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</si>
  <si>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</si>
  <si>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</si>
  <si>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</si>
  <si>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</si>
  <si>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</si>
  <si>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</si>
  <si>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</si>
  <si>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</si>
  <si>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</si>
  <si>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</si>
  <si>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</si>
  <si>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</si>
  <si>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</si>
  <si>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</si>
  <si>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</si>
  <si>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</si>
  <si>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</si>
  <si>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</si>
  <si>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</si>
  <si>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</si>
  <si>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</si>
  <si>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</si>
  <si>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</si>
  <si>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</si>
  <si>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</si>
  <si>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</si>
  <si>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</si>
  <si>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</si>
  <si>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</si>
  <si>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</si>
  <si>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</si>
  <si>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</si>
  <si>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</si>
  <si>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</si>
  <si>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</si>
  <si>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</si>
  <si>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</si>
  <si>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</si>
  <si>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</si>
  <si>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</si>
  <si>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</si>
  <si>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</si>
  <si>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</si>
  <si>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</si>
  <si>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</si>
  <si>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</si>
  <si>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</si>
  <si>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</si>
  <si>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</si>
  <si>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</si>
  <si>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</si>
  <si>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</si>
  <si>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</si>
  <si>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</si>
  <si>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</si>
  <si>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</si>
  <si>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</si>
  <si>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</si>
  <si>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</si>
  <si>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</si>
  <si>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</si>
  <si>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</si>
  <si>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</si>
  <si>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</si>
  <si>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</si>
  <si>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</si>
  <si>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</si>
  <si>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</si>
  <si>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</si>
  <si>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</si>
  <si>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</si>
  <si>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</si>
  <si>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</si>
  <si>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</si>
  <si>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</si>
  <si>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</si>
  <si>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</si>
  <si>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</si>
  <si>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</si>
  <si>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</si>
  <si>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</si>
  <si>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</si>
  <si>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</si>
  <si>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</si>
  <si>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</si>
  <si>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</si>
  <si>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</si>
  <si>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</si>
  <si>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</si>
  <si>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</si>
  <si>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</si>
  <si>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</si>
  <si>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</si>
  <si>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</si>
  <si>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</si>
  <si>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</si>
  <si>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</si>
  <si>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</si>
  <si>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</si>
  <si>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</si>
  <si>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</si>
  <si>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</si>
  <si>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</si>
  <si>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</si>
  <si>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</si>
  <si>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</si>
  <si>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</si>
  <si>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</si>
  <si>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</si>
  <si>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</si>
  <si>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</si>
  <si>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</si>
  <si>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</si>
  <si>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</si>
  <si>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</si>
  <si>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</si>
  <si>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</si>
  <si>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</si>
  <si>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</si>
  <si>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</si>
  <si>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</si>
  <si>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</si>
  <si>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</si>
  <si>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</si>
  <si>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</si>
  <si>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</si>
  <si>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</si>
  <si>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</si>
  <si>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</si>
  <si>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</si>
  <si>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</si>
  <si>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</si>
  <si>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</si>
  <si>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</si>
  <si>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</si>
  <si>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</si>
  <si>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</si>
  <si>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</si>
  <si>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</si>
  <si>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</si>
  <si>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</si>
  <si>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</si>
  <si>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</si>
  <si>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</si>
  <si>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</si>
  <si>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</si>
  <si>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</si>
  <si>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</si>
  <si>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</si>
  <si>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</si>
  <si>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</si>
  <si>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</si>
  <si>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</si>
  <si>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</si>
  <si>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</si>
  <si>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</si>
  <si>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</si>
  <si>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</si>
  <si>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</si>
  <si>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</si>
  <si>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</si>
  <si>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</si>
  <si>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</si>
  <si>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</si>
  <si>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</si>
  <si>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</si>
  <si>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</si>
  <si>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</si>
  <si>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</si>
  <si>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</si>
  <si>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</si>
  <si>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</si>
  <si>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</si>
  <si>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</si>
  <si>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</si>
  <si>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</si>
  <si>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</si>
  <si>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</si>
  <si>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</si>
  <si>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</si>
  <si>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</si>
  <si>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</si>
  <si>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</si>
  <si>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</si>
  <si>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</si>
  <si>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</si>
  <si>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</si>
  <si>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</si>
  <si>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</si>
  <si>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</si>
  <si>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</si>
  <si>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</si>
  <si>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</si>
  <si>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</si>
  <si>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</si>
  <si>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</si>
  <si>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</si>
  <si>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</si>
  <si>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</si>
  <si>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</si>
  <si>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</si>
  <si>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</si>
  <si>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</si>
  <si>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</si>
  <si>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</si>
  <si>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</si>
  <si>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</si>
  <si>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</si>
  <si>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</si>
  <si>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</si>
  <si>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</si>
  <si>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</si>
  <si>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</si>
  <si>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</si>
  <si>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</si>
  <si>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</si>
  <si>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</si>
  <si>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</si>
  <si>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</si>
  <si>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</si>
  <si>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</si>
  <si>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</si>
  <si>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</si>
  <si>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</si>
  <si>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</si>
  <si>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</si>
  <si>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</si>
  <si>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</si>
  <si>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</si>
  <si>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</si>
  <si>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</si>
  <si>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</si>
  <si>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</si>
  <si>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</si>
  <si>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</si>
  <si>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</si>
  <si>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</si>
  <si>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</si>
  <si>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</si>
  <si>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</si>
  <si>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</si>
  <si>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</si>
  <si>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</si>
  <si>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</si>
  <si>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</si>
  <si>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</si>
  <si>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</si>
  <si>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</si>
  <si>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</si>
  <si>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</si>
  <si>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</si>
  <si>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</si>
  <si>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</si>
  <si>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</si>
  <si>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</si>
  <si>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</si>
  <si>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</si>
  <si>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</si>
  <si>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</si>
  <si>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</si>
  <si>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</si>
  <si>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</si>
  <si>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</si>
  <si>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</si>
  <si>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</si>
  <si>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</si>
  <si>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</si>
  <si>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</si>
  <si>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</si>
  <si>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</si>
  <si>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</si>
  <si>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</si>
  <si>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</si>
  <si>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</si>
  <si>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</si>
  <si>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</si>
  <si>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</si>
  <si>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</si>
  <si>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</si>
  <si>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</si>
  <si>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</si>
  <si>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</si>
  <si>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</si>
  <si>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</si>
  <si>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</si>
  <si>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</si>
  <si>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</si>
  <si>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</si>
  <si>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</si>
  <si>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</si>
  <si>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</si>
  <si>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</si>
  <si>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</si>
  <si>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</si>
  <si>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</si>
  <si>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</si>
  <si>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</si>
  <si>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</si>
  <si>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</si>
  <si>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</si>
  <si>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</si>
  <si>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</si>
  <si>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</si>
  <si>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</si>
  <si>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</si>
  <si>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</si>
  <si>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</si>
  <si>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</si>
  <si>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</si>
  <si>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</si>
  <si>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</si>
  <si>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</si>
  <si>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</si>
  <si>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</si>
  <si>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</si>
  <si>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</si>
  <si>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</si>
  <si>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</si>
  <si>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</si>
  <si>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</si>
  <si>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</si>
  <si>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</si>
  <si>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</si>
  <si>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</si>
  <si>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</si>
  <si>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</si>
  <si>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</si>
  <si>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</si>
  <si>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</si>
  <si>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</si>
  <si>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</si>
  <si>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</si>
  <si>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</si>
  <si>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</si>
  <si>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</si>
  <si>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</si>
  <si>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</si>
  <si>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</si>
  <si>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</si>
  <si>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</si>
  <si>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</si>
  <si>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</si>
  <si>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</si>
  <si>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</si>
  <si>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</si>
  <si>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</si>
  <si>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</si>
  <si>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</si>
  <si>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</si>
  <si>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</si>
  <si>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</si>
  <si>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</si>
  <si>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</si>
  <si>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</si>
  <si>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</si>
  <si>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</si>
  <si>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</si>
  <si>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</si>
  <si>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</si>
  <si>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</si>
  <si>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</si>
  <si>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</si>
  <si>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</si>
  <si>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</si>
  <si>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</si>
  <si>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</si>
  <si>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</si>
  <si>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</si>
  <si>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</si>
  <si>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</si>
  <si>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</si>
  <si>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</si>
  <si>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</si>
  <si>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</si>
  <si>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</si>
  <si>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</si>
  <si>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</si>
  <si>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</si>
  <si>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</si>
  <si>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</si>
  <si>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</si>
  <si>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</si>
  <si>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</si>
  <si>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</si>
  <si>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</si>
  <si>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</si>
  <si>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</si>
  <si>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</si>
  <si>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</si>
  <si>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</si>
  <si>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</si>
  <si>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</si>
  <si>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</si>
  <si>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</si>
  <si>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</si>
  <si>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</si>
  <si>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</si>
  <si>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</si>
  <si>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</si>
  <si>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</si>
  <si>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</si>
  <si>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</si>
  <si>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</si>
  <si>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</si>
  <si>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</si>
  <si>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</si>
  <si>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</si>
  <si>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</si>
  <si>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</si>
  <si>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</si>
  <si>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</si>
  <si>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</si>
  <si>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</si>
  <si>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</si>
  <si>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</si>
  <si>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</si>
  <si>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</si>
  <si>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</si>
  <si>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</si>
  <si>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</si>
  <si>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</si>
  <si>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</si>
  <si>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</si>
  <si>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</si>
  <si>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</si>
  <si>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</si>
  <si>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</si>
  <si>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</si>
  <si>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</si>
  <si>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</si>
  <si>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</si>
  <si>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</si>
  <si>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</si>
  <si>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</si>
  <si>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</si>
  <si>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</si>
  <si>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</si>
  <si>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</si>
  <si>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</si>
  <si>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</si>
  <si>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</si>
  <si>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</si>
  <si>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</si>
  <si>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</si>
  <si>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</si>
  <si>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</si>
  <si>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</si>
  <si>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</si>
  <si>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</si>
  <si>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</si>
  <si>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</si>
  <si>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</si>
  <si>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</si>
  <si>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</si>
  <si>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</si>
  <si>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</si>
  <si>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</si>
  <si>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</si>
  <si>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</si>
  <si>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</si>
  <si>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</si>
  <si>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</si>
  <si>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</si>
  <si>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</si>
  <si>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</si>
  <si>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</si>
  <si>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</si>
  <si>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</si>
  <si>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</si>
  <si>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</si>
  <si>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</si>
  <si>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</si>
  <si>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</si>
  <si>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</si>
  <si>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</si>
  <si>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</si>
  <si>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</si>
  <si>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</si>
  <si>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</si>
  <si>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</si>
  <si>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</si>
  <si>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</si>
  <si>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</si>
  <si>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</si>
  <si>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</si>
  <si>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</si>
  <si>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</si>
  <si>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</si>
  <si>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</si>
  <si>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</si>
  <si>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</si>
  <si>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</si>
  <si>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</si>
  <si>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</si>
  <si>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</si>
  <si>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</si>
  <si>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</si>
  <si>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</si>
  <si>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</si>
  <si>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</si>
  <si>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</si>
  <si>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</si>
  <si>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</si>
  <si>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</si>
  <si>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</si>
  <si>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</si>
  <si>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</si>
  <si>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</si>
  <si>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</si>
  <si>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</si>
  <si>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</si>
  <si>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</si>
  <si>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</si>
  <si>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</si>
  <si>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</si>
  <si>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</si>
  <si>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</si>
  <si>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</si>
  <si>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</si>
  <si>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</si>
  <si>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</si>
  <si>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</si>
  <si>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</si>
  <si>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</si>
  <si>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</si>
  <si>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</si>
  <si>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</si>
  <si>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</si>
  <si>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</si>
  <si>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</si>
  <si>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</si>
  <si>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</si>
  <si>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</si>
  <si>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</si>
  <si>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</si>
  <si>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</si>
  <si>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</si>
  <si>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</si>
  <si>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</si>
  <si>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</si>
  <si>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</si>
  <si>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</si>
  <si>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</si>
  <si>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</si>
  <si>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</si>
  <si>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</si>
  <si>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</si>
  <si>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</si>
  <si>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</si>
  <si>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</si>
  <si>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</si>
  <si>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</si>
  <si>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</si>
  <si>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</si>
  <si>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</si>
  <si>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</si>
  <si>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</si>
  <si>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</si>
  <si>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</si>
  <si>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</si>
  <si>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</si>
  <si>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</si>
  <si>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</si>
  <si>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</si>
  <si>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</si>
  <si>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</si>
  <si>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</si>
  <si>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</si>
  <si>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</si>
  <si>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</si>
  <si>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</si>
  <si>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</si>
  <si>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</si>
  <si>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</si>
  <si>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</si>
  <si>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</si>
  <si>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</si>
  <si>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</si>
  <si>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</si>
  <si>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</si>
  <si>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</si>
  <si>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</si>
  <si>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</si>
  <si>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</si>
  <si>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</si>
  <si>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</si>
  <si>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</si>
  <si>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</si>
  <si>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</si>
  <si>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</si>
  <si>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</si>
  <si>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</si>
  <si>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</si>
  <si>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</si>
  <si>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</si>
  <si>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</si>
  <si>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</si>
  <si>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</si>
  <si>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</si>
  <si>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</si>
  <si>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</si>
  <si>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</si>
  <si>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</si>
  <si>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</si>
  <si>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</si>
  <si>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</si>
  <si>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</si>
  <si>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</si>
  <si>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</si>
  <si>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</si>
  <si>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</si>
  <si>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</si>
  <si>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</si>
  <si>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</si>
  <si>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</si>
  <si>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</si>
  <si>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</si>
  <si>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</si>
  <si>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</si>
  <si>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</si>
  <si>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</si>
  <si>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</si>
  <si>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</si>
  <si>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</si>
  <si>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</si>
  <si>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</si>
  <si>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</si>
  <si>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</si>
  <si>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</si>
  <si>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</si>
  <si>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</si>
  <si>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</si>
  <si>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</si>
  <si>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</si>
  <si>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</si>
  <si>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</si>
  <si>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</si>
  <si>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</si>
  <si>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</si>
  <si>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</si>
  <si>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</si>
  <si>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</si>
  <si>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</si>
  <si>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</si>
  <si>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</si>
  <si>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</si>
  <si>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</si>
  <si>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</si>
  <si>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</si>
  <si>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</si>
  <si>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</si>
  <si>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</si>
  <si>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</si>
  <si>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</si>
  <si>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</si>
  <si>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</si>
  <si>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</si>
  <si>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</si>
  <si>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</si>
  <si>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</si>
  <si>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</si>
  <si>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</si>
  <si>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</si>
  <si>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</si>
  <si>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</si>
  <si>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</si>
  <si>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</si>
  <si>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</si>
  <si>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</si>
  <si>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</si>
  <si>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</si>
  <si>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</si>
  <si>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</si>
  <si>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</si>
  <si>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</si>
  <si>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</si>
  <si>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</si>
  <si>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</si>
  <si>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</si>
  <si>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</si>
  <si>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</si>
  <si>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</si>
  <si>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</si>
  <si>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</si>
  <si>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</si>
  <si>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</si>
  <si>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</si>
  <si>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</si>
  <si>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</si>
  <si>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</si>
  <si>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</si>
  <si>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</si>
  <si>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</si>
  <si>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</si>
  <si>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</si>
  <si>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</si>
  <si>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</si>
  <si>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</si>
  <si>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</si>
  <si>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</si>
  <si>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</si>
  <si>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</si>
  <si>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</si>
  <si>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</si>
  <si>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</si>
  <si>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</si>
  <si>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</si>
  <si>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</si>
  <si>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</si>
  <si>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</si>
  <si>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</si>
  <si>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</si>
  <si>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</si>
  <si>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</si>
  <si>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</si>
  <si>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</si>
  <si>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</si>
  <si>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</si>
  <si>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</si>
  <si>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</si>
  <si>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</si>
  <si>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</si>
  <si>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</si>
  <si>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</si>
  <si>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</si>
  <si>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</si>
  <si>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</si>
  <si>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</si>
  <si>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</si>
  <si>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</si>
  <si>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</si>
  <si>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</si>
  <si>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</si>
  <si>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</si>
  <si>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</si>
  <si>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</si>
  <si>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</si>
  <si>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</si>
  <si>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</si>
  <si>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</si>
  <si>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</si>
  <si>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</si>
  <si>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</si>
  <si>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</si>
  <si>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</si>
  <si>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</si>
  <si>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</si>
  <si>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</si>
  <si>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</si>
  <si>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</si>
  <si>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</si>
  <si>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</si>
  <si>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</si>
  <si>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</si>
  <si>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</si>
  <si>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</si>
  <si>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</si>
  <si>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</si>
  <si>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</si>
  <si>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</si>
  <si>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</si>
  <si>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</si>
  <si>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</si>
  <si>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</si>
  <si>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</si>
  <si>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</si>
  <si>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</si>
  <si>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</si>
  <si>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</si>
  <si>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</si>
  <si>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</si>
  <si>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</si>
  <si>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</si>
  <si>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</si>
  <si>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</si>
  <si>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</si>
  <si>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</si>
  <si>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</si>
  <si>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</si>
  <si>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</si>
  <si>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</si>
  <si>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</si>
  <si>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</si>
  <si>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</si>
  <si>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</si>
  <si>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</si>
  <si>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</si>
  <si>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</si>
  <si>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</si>
  <si>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</si>
  <si>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</si>
  <si>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</si>
  <si>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</si>
  <si>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</si>
  <si>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</si>
  <si>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</si>
  <si>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</si>
  <si>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</si>
  <si>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</si>
  <si>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</si>
  <si>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</si>
  <si>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</si>
  <si>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</si>
  <si>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</si>
  <si>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</si>
  <si>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</si>
  <si>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</si>
  <si>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</si>
  <si>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</si>
  <si>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</si>
  <si>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</si>
  <si>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</si>
  <si>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</si>
  <si>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</si>
  <si>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</si>
  <si>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</si>
  <si>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</si>
  <si>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</si>
  <si>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</si>
  <si>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</si>
  <si>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</si>
  <si>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</si>
  <si>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</si>
  <si>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</si>
  <si>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</si>
  <si>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</si>
  <si>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</si>
  <si>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</si>
  <si>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</si>
  <si>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</si>
  <si>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</si>
  <si>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</si>
  <si>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</si>
  <si>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</si>
  <si>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</si>
  <si>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</si>
  <si>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</si>
  <si>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</si>
  <si>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</si>
  <si>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</si>
  <si>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</si>
  <si>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</si>
  <si>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</si>
  <si>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</si>
  <si>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</si>
  <si>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</si>
  <si>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</si>
  <si>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</si>
  <si>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</si>
  <si>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</si>
  <si>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</si>
  <si>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</si>
  <si>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</si>
  <si>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</si>
  <si>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</si>
  <si>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</si>
  <si>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</si>
  <si>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</si>
  <si>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</si>
  <si>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</si>
  <si>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</si>
  <si>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</si>
  <si>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</si>
  <si>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</si>
  <si>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</si>
  <si>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</si>
  <si>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</si>
  <si>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</si>
  <si>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</si>
  <si>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</si>
  <si>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</si>
  <si>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</si>
  <si>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</si>
  <si>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</si>
  <si>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</si>
  <si>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</si>
  <si>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</si>
  <si>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</si>
  <si>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</si>
  <si>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</si>
  <si>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</si>
  <si>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</si>
  <si>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</si>
  <si>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</si>
  <si>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</si>
  <si>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</si>
  <si>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</si>
  <si>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</si>
  <si>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</si>
  <si>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</si>
  <si>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</si>
  <si>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</si>
  <si>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</si>
  <si>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</si>
  <si>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</si>
  <si>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</si>
  <si>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</si>
  <si>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</si>
  <si>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</si>
  <si>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</si>
  <si>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</si>
  <si>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</si>
  <si>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</si>
  <si>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</si>
  <si>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</si>
  <si>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</si>
  <si>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</si>
  <si>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</si>
  <si>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</si>
  <si>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</si>
  <si>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</si>
  <si>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</si>
  <si>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</si>
  <si>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</si>
  <si>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</si>
  <si>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</si>
  <si>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</si>
  <si>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</si>
  <si>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</si>
  <si>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</si>
  <si>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</si>
  <si>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</si>
  <si>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</si>
  <si>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</si>
  <si>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</si>
  <si>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</si>
  <si>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</si>
  <si>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</si>
  <si>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</si>
  <si>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</si>
  <si>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</si>
  <si>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</si>
  <si>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</si>
  <si>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</si>
  <si>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</si>
  <si>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</si>
  <si>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</si>
  <si>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</si>
  <si>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</si>
  <si>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</si>
  <si>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</si>
  <si>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NCM</t>
  </si>
  <si>
    <t>Origem</t>
  </si>
  <si>
    <t>REDUÇÃO ICMS</t>
  </si>
  <si>
    <t>E3</t>
  </si>
  <si>
    <t>1100</t>
  </si>
  <si>
    <t>1400</t>
  </si>
  <si>
    <t>1000</t>
  </si>
  <si>
    <t>600000206</t>
  </si>
  <si>
    <t>CORR. ZS-47 GATES</t>
  </si>
  <si>
    <t>914410470</t>
  </si>
  <si>
    <t>Z0</t>
  </si>
  <si>
    <t>1300</t>
  </si>
  <si>
    <t>1700</t>
  </si>
  <si>
    <t>600001089</t>
  </si>
  <si>
    <t>CORR. LAVADORA WM 110.0750 GATES</t>
  </si>
  <si>
    <t>WM1100750</t>
  </si>
  <si>
    <t>600001090</t>
  </si>
  <si>
    <t>CORR. LAVADORA WM 113.0813 GATES</t>
  </si>
  <si>
    <t>WM1130813</t>
  </si>
  <si>
    <t>600001753</t>
  </si>
  <si>
    <t>CORR. SUPER HC 3V-335 GATES</t>
  </si>
  <si>
    <t>3V335</t>
  </si>
  <si>
    <t>600001839</t>
  </si>
  <si>
    <t>CORR. ZS-53 GATES</t>
  </si>
  <si>
    <t>914410530</t>
  </si>
  <si>
    <t>600002808</t>
  </si>
  <si>
    <t>CORR. ZS-55 GATES</t>
  </si>
  <si>
    <t>914410550</t>
  </si>
  <si>
    <t>NÃO</t>
  </si>
  <si>
    <t>SIM</t>
  </si>
  <si>
    <t>Câmbio</t>
  </si>
  <si>
    <t>Preço NF</t>
  </si>
  <si>
    <t>Pis/Cofins</t>
  </si>
  <si>
    <t>ICMS/ST</t>
  </si>
  <si>
    <t>Frete</t>
  </si>
  <si>
    <t>Importação</t>
  </si>
  <si>
    <t>ipi</t>
  </si>
  <si>
    <t>icms</t>
  </si>
  <si>
    <t>piscofins</t>
  </si>
  <si>
    <t>st</t>
  </si>
  <si>
    <t>frete</t>
  </si>
  <si>
    <t>2200001421</t>
  </si>
  <si>
    <t>COMANBOR CORREIAS MAN. E BORRACHAS</t>
  </si>
  <si>
    <t>RM</t>
  </si>
  <si>
    <t>2200000102</t>
  </si>
  <si>
    <t>RCC COMERCIAL IMPORTADORA</t>
  </si>
  <si>
    <t>YY</t>
  </si>
  <si>
    <t>2200001327</t>
  </si>
  <si>
    <t>2200001286</t>
  </si>
  <si>
    <t>BRASCORTE COMERCIAL DE CORREIAS LTD</t>
  </si>
  <si>
    <t>2000005105</t>
  </si>
  <si>
    <t>ABRASCORT COMERCIAL IMPORTADORA DE</t>
  </si>
  <si>
    <t>R3</t>
  </si>
  <si>
    <t>E9</t>
  </si>
  <si>
    <t>materialCentroPadrao</t>
  </si>
  <si>
    <t>6000000001700X</t>
  </si>
  <si>
    <t>6000002051700X</t>
  </si>
  <si>
    <t>6000002061700X</t>
  </si>
  <si>
    <t>6000002071700X</t>
  </si>
  <si>
    <t>6000002131700X</t>
  </si>
  <si>
    <t>6000002991700X</t>
  </si>
  <si>
    <t>6000000001400X</t>
  </si>
  <si>
    <t>6000003021700X</t>
  </si>
  <si>
    <t>6000003291700X</t>
  </si>
  <si>
    <t>6000008761700X</t>
  </si>
  <si>
    <t>6000009071700X</t>
  </si>
  <si>
    <t>6000009081700X</t>
  </si>
  <si>
    <t>6000009091700X</t>
  </si>
  <si>
    <t>6000010051700X</t>
  </si>
  <si>
    <t>6000010061700X</t>
  </si>
  <si>
    <t>6000010081700X</t>
  </si>
  <si>
    <t>6000010091700X</t>
  </si>
  <si>
    <t>6000010171700X</t>
  </si>
  <si>
    <t>6000010271700X</t>
  </si>
  <si>
    <t>6000010281700X</t>
  </si>
  <si>
    <t>6000010311700X</t>
  </si>
  <si>
    <t>6000010391700X</t>
  </si>
  <si>
    <t>6000010411700X</t>
  </si>
  <si>
    <t>6000010421700X</t>
  </si>
  <si>
    <t>6000010431700X</t>
  </si>
  <si>
    <t>6000010441700X</t>
  </si>
  <si>
    <t>6000010451700X</t>
  </si>
  <si>
    <t>6000010531700X</t>
  </si>
  <si>
    <t>6000010541700X</t>
  </si>
  <si>
    <t>6000010621700X</t>
  </si>
  <si>
    <t>6000010701700X</t>
  </si>
  <si>
    <t>6000010711700X</t>
  </si>
  <si>
    <t>6000010721700X</t>
  </si>
  <si>
    <t>6000010731700X</t>
  </si>
  <si>
    <t>6000010841700X</t>
  </si>
  <si>
    <t>6000010921700X</t>
  </si>
  <si>
    <t>6000011211700X</t>
  </si>
  <si>
    <t>6000011221700X</t>
  </si>
  <si>
    <t>6000011321700X</t>
  </si>
  <si>
    <t>6000011331700X</t>
  </si>
  <si>
    <t>6000011341700X</t>
  </si>
  <si>
    <t>6000011351700X</t>
  </si>
  <si>
    <t>6000011391700X</t>
  </si>
  <si>
    <t>6000011401700X</t>
  </si>
  <si>
    <t>6000011601700X</t>
  </si>
  <si>
    <t>6000011611700X</t>
  </si>
  <si>
    <t>6000011621700X</t>
  </si>
  <si>
    <t>6000011701700X</t>
  </si>
  <si>
    <t>6000011711700X</t>
  </si>
  <si>
    <t>6000013931700X</t>
  </si>
  <si>
    <t>6000013941700X</t>
  </si>
  <si>
    <t>6000013951700X</t>
  </si>
  <si>
    <t>6000015831700X</t>
  </si>
  <si>
    <t>6000015961700X</t>
  </si>
  <si>
    <t>6000015981700X</t>
  </si>
  <si>
    <t>6000015991700X</t>
  </si>
  <si>
    <t>6000017691700X</t>
  </si>
  <si>
    <t>6000017711700X</t>
  </si>
  <si>
    <t>6000017841700X</t>
  </si>
  <si>
    <t>6000018261700X</t>
  </si>
  <si>
    <t>6000018271700X</t>
  </si>
  <si>
    <t>6000018391700X</t>
  </si>
  <si>
    <t>6000018501700X</t>
  </si>
  <si>
    <t>6000023461700X</t>
  </si>
  <si>
    <t>6000023471700X</t>
  </si>
  <si>
    <t>6000023601700X</t>
  </si>
  <si>
    <t>6000026751700X</t>
  </si>
  <si>
    <t>6000026771700X</t>
  </si>
  <si>
    <t>6000026781700X</t>
  </si>
  <si>
    <t>6000027051700X</t>
  </si>
  <si>
    <t>6000027061700X</t>
  </si>
  <si>
    <t>6000027071700X</t>
  </si>
  <si>
    <t>6000027161700X</t>
  </si>
  <si>
    <t>6000027181700X</t>
  </si>
  <si>
    <t>6000027191700X</t>
  </si>
  <si>
    <t>6000027301700X</t>
  </si>
  <si>
    <t>6000027311700X</t>
  </si>
  <si>
    <t>6000027321700X</t>
  </si>
  <si>
    <t>6000027331700X</t>
  </si>
  <si>
    <t>6000027571700X</t>
  </si>
  <si>
    <t>6000027711700X</t>
  </si>
  <si>
    <t>6000027761110X</t>
  </si>
  <si>
    <t>6000028061700X</t>
  </si>
  <si>
    <t>6000028071700X</t>
  </si>
  <si>
    <t>6000028081700X</t>
  </si>
  <si>
    <t>6000028171700X</t>
  </si>
  <si>
    <t>6000028261700X</t>
  </si>
  <si>
    <t>6000028351700X</t>
  </si>
  <si>
    <t>6000028371700X</t>
  </si>
  <si>
    <t>6000028381700X</t>
  </si>
  <si>
    <t>6000028441700X</t>
  </si>
  <si>
    <t>6000028521700X</t>
  </si>
  <si>
    <t>6000028611700X</t>
  </si>
  <si>
    <t>6000028621700X</t>
  </si>
  <si>
    <t>6000028631700X</t>
  </si>
  <si>
    <t>6000028681700X</t>
  </si>
  <si>
    <t>6000028691700X</t>
  </si>
  <si>
    <t>6000028711700X</t>
  </si>
  <si>
    <t>6000028771700X</t>
  </si>
  <si>
    <t>6000028941700X</t>
  </si>
  <si>
    <t>6000000011400X</t>
  </si>
  <si>
    <t>6000001941400X</t>
  </si>
  <si>
    <t>6000002041400X</t>
  </si>
  <si>
    <t>6000002051400X</t>
  </si>
  <si>
    <t>6000002061400X</t>
  </si>
  <si>
    <t>6000002071400X</t>
  </si>
  <si>
    <t>6000002131400X</t>
  </si>
  <si>
    <t>6000002991400X</t>
  </si>
  <si>
    <t>6000003021400X</t>
  </si>
  <si>
    <t>6000003291400X</t>
  </si>
  <si>
    <t>6000008761400X</t>
  </si>
  <si>
    <t>6000009071400X</t>
  </si>
  <si>
    <t>6000009081400X</t>
  </si>
  <si>
    <t>6000009091400X</t>
  </si>
  <si>
    <t>6000010051400X</t>
  </si>
  <si>
    <t>6000010061400X</t>
  </si>
  <si>
    <t>6000010081400X</t>
  </si>
  <si>
    <t>6000010091400X</t>
  </si>
  <si>
    <t>6000010171400X</t>
  </si>
  <si>
    <t>6000010271400X</t>
  </si>
  <si>
    <t>6000010281400X</t>
  </si>
  <si>
    <t>6000010311400X</t>
  </si>
  <si>
    <t>6000010391400X</t>
  </si>
  <si>
    <t>6000010411400X</t>
  </si>
  <si>
    <t>6000010421400X</t>
  </si>
  <si>
    <t>6000010431400X</t>
  </si>
  <si>
    <t>6000010441400X</t>
  </si>
  <si>
    <t>6000010451400X</t>
  </si>
  <si>
    <t>6000010531400X</t>
  </si>
  <si>
    <t>6000010541100X</t>
  </si>
  <si>
    <t>6000010541400X</t>
  </si>
  <si>
    <t>6000010621400X</t>
  </si>
  <si>
    <t>6000010691100X</t>
  </si>
  <si>
    <t>6000010701400X</t>
  </si>
  <si>
    <t>6000010711400X</t>
  </si>
  <si>
    <t>6000010721400X</t>
  </si>
  <si>
    <t>6000010731400X</t>
  </si>
  <si>
    <t>6000010841400X</t>
  </si>
  <si>
    <t>6000010921400X</t>
  </si>
  <si>
    <t>6000011211400X</t>
  </si>
  <si>
    <t>6000011221400X</t>
  </si>
  <si>
    <t>6000011321400X</t>
  </si>
  <si>
    <t>6000011331400X</t>
  </si>
  <si>
    <t>6000011341400X</t>
  </si>
  <si>
    <t>6000011351400X</t>
  </si>
  <si>
    <t>6000011391400X</t>
  </si>
  <si>
    <t>6000011401400X</t>
  </si>
  <si>
    <t>6000011401000X</t>
  </si>
  <si>
    <t>6000011601400X</t>
  </si>
  <si>
    <t>6000011611400X</t>
  </si>
  <si>
    <t>6000011621400X</t>
  </si>
  <si>
    <t>6000011701100X</t>
  </si>
  <si>
    <t>6000011701400X</t>
  </si>
  <si>
    <t>6000011711400X</t>
  </si>
  <si>
    <t>6000013931400X</t>
  </si>
  <si>
    <t>6000013941400X</t>
  </si>
  <si>
    <t>6000013951400X</t>
  </si>
  <si>
    <t>6000014271000X</t>
  </si>
  <si>
    <t>6000014271110X</t>
  </si>
  <si>
    <t>6000015831400X</t>
  </si>
  <si>
    <t>6000015961400X</t>
  </si>
  <si>
    <t>6000015981400X</t>
  </si>
  <si>
    <t>6000015991400X</t>
  </si>
  <si>
    <t>6000017531100X</t>
  </si>
  <si>
    <t>6000017691400X</t>
  </si>
  <si>
    <t>6000017711400X</t>
  </si>
  <si>
    <t>6000017841400X</t>
  </si>
  <si>
    <t>6000018261400X</t>
  </si>
  <si>
    <t>6000018271400X</t>
  </si>
  <si>
    <t>6000018391400X</t>
  </si>
  <si>
    <t>6000018501400X</t>
  </si>
  <si>
    <t>6000023461400X</t>
  </si>
  <si>
    <t>6000023471400X</t>
  </si>
  <si>
    <t>6000023601400X</t>
  </si>
  <si>
    <t>6000026651110X</t>
  </si>
  <si>
    <t>6000026751400X</t>
  </si>
  <si>
    <t>6000026771400X</t>
  </si>
  <si>
    <t>6000026781400X</t>
  </si>
  <si>
    <t>6000027051400X</t>
  </si>
  <si>
    <t>6000027061400X</t>
  </si>
  <si>
    <t>6000027071400X</t>
  </si>
  <si>
    <t>6000027161400X</t>
  </si>
  <si>
    <t>6000027181400X</t>
  </si>
  <si>
    <t>6000027191400X</t>
  </si>
  <si>
    <t>6000027301400X</t>
  </si>
  <si>
    <t>6000027311400X</t>
  </si>
  <si>
    <t>6000027321400X</t>
  </si>
  <si>
    <t>6000027331400X</t>
  </si>
  <si>
    <t>6000027571100X</t>
  </si>
  <si>
    <t>6000027571400X</t>
  </si>
  <si>
    <t>6000027711400X</t>
  </si>
  <si>
    <t>6000027761000X</t>
  </si>
  <si>
    <t>6000028061400X</t>
  </si>
  <si>
    <t>6000028071400X</t>
  </si>
  <si>
    <t>6000028081400X</t>
  </si>
  <si>
    <t>6000028171400X</t>
  </si>
  <si>
    <t>6000028261400X</t>
  </si>
  <si>
    <t>6000028351400X</t>
  </si>
  <si>
    <t>6000028371400X</t>
  </si>
  <si>
    <t>6000028381400X</t>
  </si>
  <si>
    <t>6000028421100X</t>
  </si>
  <si>
    <t>6000028441400X</t>
  </si>
  <si>
    <t>6000028501300X</t>
  </si>
  <si>
    <t>6000028521400X</t>
  </si>
  <si>
    <t>6000028611400X</t>
  </si>
  <si>
    <t>6000028621400X</t>
  </si>
  <si>
    <t>6000028631400X</t>
  </si>
  <si>
    <t>6000028681400X</t>
  </si>
  <si>
    <t>6000028691400X</t>
  </si>
  <si>
    <t>6000028711400X</t>
  </si>
  <si>
    <t>6000028771400X</t>
  </si>
  <si>
    <t>6000028941400X</t>
  </si>
  <si>
    <t>2200001473</t>
  </si>
  <si>
    <t>GATES DO BRASIL INDUSTRIA E COMERCI</t>
  </si>
  <si>
    <t>MOEDA TESTE</t>
  </si>
  <si>
    <t>6000000001000X</t>
  </si>
  <si>
    <t>6000000001100X</t>
  </si>
  <si>
    <t>6000000001110X</t>
  </si>
  <si>
    <t>6000000011000X</t>
  </si>
  <si>
    <t>6000000011100X</t>
  </si>
  <si>
    <t>6000000011110X</t>
  </si>
  <si>
    <t>6000001941000X</t>
  </si>
  <si>
    <t>6000001941100X</t>
  </si>
  <si>
    <t>6000001941110X</t>
  </si>
  <si>
    <t>6000002041000X</t>
  </si>
  <si>
    <t>6000002041100X</t>
  </si>
  <si>
    <t>6000002041110X</t>
  </si>
  <si>
    <t>6000002051000X</t>
  </si>
  <si>
    <t>6000002051100X</t>
  </si>
  <si>
    <t>6000002051110X</t>
  </si>
  <si>
    <t>6000002061000X</t>
  </si>
  <si>
    <t>6000002061100X</t>
  </si>
  <si>
    <t>6000002071000X</t>
  </si>
  <si>
    <t>6000002071100X</t>
  </si>
  <si>
    <t>6000002071110X</t>
  </si>
  <si>
    <t>6000002131000X</t>
  </si>
  <si>
    <t>6000002131100X</t>
  </si>
  <si>
    <t>6000002131110X</t>
  </si>
  <si>
    <t>6000002991000X</t>
  </si>
  <si>
    <t>6000002991100X</t>
  </si>
  <si>
    <t>6000002991110X</t>
  </si>
  <si>
    <t>6000003021000X</t>
  </si>
  <si>
    <t>6000003021100X</t>
  </si>
  <si>
    <t>6000003021110X</t>
  </si>
  <si>
    <t>6000003291000X</t>
  </si>
  <si>
    <t>6000003291100X</t>
  </si>
  <si>
    <t>6000003291110X</t>
  </si>
  <si>
    <t>6000008761000X</t>
  </si>
  <si>
    <t>6000008761100X</t>
  </si>
  <si>
    <t>6000008761110X</t>
  </si>
  <si>
    <t>6000009071000X</t>
  </si>
  <si>
    <t>6000009071100X</t>
  </si>
  <si>
    <t>6000009071110X</t>
  </si>
  <si>
    <t>6000009081000X</t>
  </si>
  <si>
    <t>6000009081100X</t>
  </si>
  <si>
    <t>6000009081110X</t>
  </si>
  <si>
    <t>6000009091000X</t>
  </si>
  <si>
    <t>6000009091100X</t>
  </si>
  <si>
    <t>6000009091110X</t>
  </si>
  <si>
    <t>6000010051000X</t>
  </si>
  <si>
    <t>6000010051100X</t>
  </si>
  <si>
    <t>6000010051110X</t>
  </si>
  <si>
    <t>6000010061000X</t>
  </si>
  <si>
    <t>6000010061100X</t>
  </si>
  <si>
    <t>6000010061110X</t>
  </si>
  <si>
    <t>6000010081000X</t>
  </si>
  <si>
    <t>6000010081100X</t>
  </si>
  <si>
    <t>6000010081110X</t>
  </si>
  <si>
    <t>6000010091000X</t>
  </si>
  <si>
    <t>6000010091100X</t>
  </si>
  <si>
    <t>6000010091110X</t>
  </si>
  <si>
    <t>6000010171000X</t>
  </si>
  <si>
    <t>6000010171100X</t>
  </si>
  <si>
    <t>6000010171110X</t>
  </si>
  <si>
    <t>6000010271000X</t>
  </si>
  <si>
    <t>6000010271100X</t>
  </si>
  <si>
    <t>6000010271110X</t>
  </si>
  <si>
    <t>6000010281000X</t>
  </si>
  <si>
    <t>6000010281100X</t>
  </si>
  <si>
    <t>6000010281110X</t>
  </si>
  <si>
    <t>6000010311000X</t>
  </si>
  <si>
    <t>6000010311100X</t>
  </si>
  <si>
    <t>6000010311110X</t>
  </si>
  <si>
    <t>6000010391000X</t>
  </si>
  <si>
    <t>6000010391100X</t>
  </si>
  <si>
    <t>6000010391110X</t>
  </si>
  <si>
    <t>6000010411000X</t>
  </si>
  <si>
    <t>6000010411100X</t>
  </si>
  <si>
    <t>6000010411110X</t>
  </si>
  <si>
    <t>6000010421000X</t>
  </si>
  <si>
    <t>6000010421100X</t>
  </si>
  <si>
    <t>6000010421110X</t>
  </si>
  <si>
    <t>6000010431000X</t>
  </si>
  <si>
    <t>6000010431100X</t>
  </si>
  <si>
    <t>6000010431110X</t>
  </si>
  <si>
    <t>6000010441000X</t>
  </si>
  <si>
    <t>6000010441100X</t>
  </si>
  <si>
    <t>6000010441110X</t>
  </si>
  <si>
    <t>6000010451000X</t>
  </si>
  <si>
    <t>6000010451100X</t>
  </si>
  <si>
    <t>6000010451110X</t>
  </si>
  <si>
    <t>6000010531000X</t>
  </si>
  <si>
    <t>6000010531100X</t>
  </si>
  <si>
    <t>6000010531110X</t>
  </si>
  <si>
    <t>6000010541000X</t>
  </si>
  <si>
    <t>6000010541110X</t>
  </si>
  <si>
    <t>6000010621000X</t>
  </si>
  <si>
    <t>6000010621100X</t>
  </si>
  <si>
    <t>6000010621110X</t>
  </si>
  <si>
    <t>6000010691000X</t>
  </si>
  <si>
    <t>6000010691110X</t>
  </si>
  <si>
    <t>6000010691400X</t>
  </si>
  <si>
    <t>6000010701000X</t>
  </si>
  <si>
    <t>6000010701100X</t>
  </si>
  <si>
    <t>6000010701110X</t>
  </si>
  <si>
    <t>6000010711000X</t>
  </si>
  <si>
    <t>6000010711100X</t>
  </si>
  <si>
    <t>6000010711110X</t>
  </si>
  <si>
    <t>6000010721000X</t>
  </si>
  <si>
    <t>6000010721100X</t>
  </si>
  <si>
    <t>6000010721110X</t>
  </si>
  <si>
    <t>6000010731000X</t>
  </si>
  <si>
    <t>6000010731100X</t>
  </si>
  <si>
    <t>6000010731110X</t>
  </si>
  <si>
    <t>6000010841000X</t>
  </si>
  <si>
    <t>6000010841100X</t>
  </si>
  <si>
    <t>6000010841110X</t>
  </si>
  <si>
    <t>6000010891000X</t>
  </si>
  <si>
    <t>6000010901000X</t>
  </si>
  <si>
    <t>6000010921000X</t>
  </si>
  <si>
    <t>6000010921100X</t>
  </si>
  <si>
    <t>6000010921110X</t>
  </si>
  <si>
    <t>6000011211000X</t>
  </si>
  <si>
    <t>6000011211100X</t>
  </si>
  <si>
    <t>6000011211110X</t>
  </si>
  <si>
    <t>6000011221000X</t>
  </si>
  <si>
    <t>6000011221100X</t>
  </si>
  <si>
    <t>6000011221110X</t>
  </si>
  <si>
    <t>6000011321000X</t>
  </si>
  <si>
    <t>6000011321100X</t>
  </si>
  <si>
    <t>6000011321110X</t>
  </si>
  <si>
    <t>6000011331000X</t>
  </si>
  <si>
    <t>6000011331100X</t>
  </si>
  <si>
    <t>6000011331110X</t>
  </si>
  <si>
    <t>6000011341000X</t>
  </si>
  <si>
    <t>6000011341100X</t>
  </si>
  <si>
    <t>6000011341110X</t>
  </si>
  <si>
    <t>6000011351000X</t>
  </si>
  <si>
    <t>6000011351100X</t>
  </si>
  <si>
    <t>6000011351110X</t>
  </si>
  <si>
    <t>6000011391000X</t>
  </si>
  <si>
    <t>6000011391100X</t>
  </si>
  <si>
    <t>6000011391110X</t>
  </si>
  <si>
    <t>6000011401100X</t>
  </si>
  <si>
    <t>6000011401110X</t>
  </si>
  <si>
    <t>6000011601000X</t>
  </si>
  <si>
    <t>6000011601100X</t>
  </si>
  <si>
    <t>6000011601110X</t>
  </si>
  <si>
    <t>6000011611000X</t>
  </si>
  <si>
    <t>6000011611100X</t>
  </si>
  <si>
    <t>6000011611110X</t>
  </si>
  <si>
    <t>6000011621000X</t>
  </si>
  <si>
    <t>6000011621100X</t>
  </si>
  <si>
    <t>6000011621110X</t>
  </si>
  <si>
    <t>6000011701000X</t>
  </si>
  <si>
    <t>6000011701110X</t>
  </si>
  <si>
    <t>6000011711000X</t>
  </si>
  <si>
    <t>6000011711100X</t>
  </si>
  <si>
    <t>6000011711110X</t>
  </si>
  <si>
    <t>6000013931000X</t>
  </si>
  <si>
    <t>6000013931100X</t>
  </si>
  <si>
    <t>6000013931110X</t>
  </si>
  <si>
    <t>6000013941000X</t>
  </si>
  <si>
    <t>6000013941100X</t>
  </si>
  <si>
    <t>6000013941110X</t>
  </si>
  <si>
    <t>6000013951000X</t>
  </si>
  <si>
    <t>6000013951100X</t>
  </si>
  <si>
    <t>6000013951110X</t>
  </si>
  <si>
    <t>6000015831000X</t>
  </si>
  <si>
    <t>6000015831100X</t>
  </si>
  <si>
    <t>6000015831110X</t>
  </si>
  <si>
    <t>6000015961000X</t>
  </si>
  <si>
    <t>6000015961100X</t>
  </si>
  <si>
    <t>6000015961110X</t>
  </si>
  <si>
    <t>6000015981000X</t>
  </si>
  <si>
    <t>6000015981100X</t>
  </si>
  <si>
    <t>6000015981110X</t>
  </si>
  <si>
    <t>6000015991000X</t>
  </si>
  <si>
    <t>6000015991100X</t>
  </si>
  <si>
    <t>6000015991110X</t>
  </si>
  <si>
    <t>6000017691000X</t>
  </si>
  <si>
    <t>6000017691100X</t>
  </si>
  <si>
    <t>6000017691110X</t>
  </si>
  <si>
    <t>6000017711000X</t>
  </si>
  <si>
    <t>6000017711100X</t>
  </si>
  <si>
    <t>6000017711110X</t>
  </si>
  <si>
    <t>6000017841000X</t>
  </si>
  <si>
    <t>6000017841100X</t>
  </si>
  <si>
    <t>6000017841110X</t>
  </si>
  <si>
    <t>6000018261000X</t>
  </si>
  <si>
    <t>6000018261100X</t>
  </si>
  <si>
    <t>6000018261110X</t>
  </si>
  <si>
    <t>6000018271000X</t>
  </si>
  <si>
    <t>6000018271100X</t>
  </si>
  <si>
    <t>6000018271110X</t>
  </si>
  <si>
    <t>6000018391000X</t>
  </si>
  <si>
    <t>6000018391100X</t>
  </si>
  <si>
    <t>6000018501000X</t>
  </si>
  <si>
    <t>6000018501100X</t>
  </si>
  <si>
    <t>6000018501110X</t>
  </si>
  <si>
    <t>6000023461000X</t>
  </si>
  <si>
    <t>6000023461100X</t>
  </si>
  <si>
    <t>6000023461110X</t>
  </si>
  <si>
    <t>6000023471000X</t>
  </si>
  <si>
    <t>6000023471100X</t>
  </si>
  <si>
    <t>6000023471110X</t>
  </si>
  <si>
    <t>6000023601000X</t>
  </si>
  <si>
    <t>6000023601100X</t>
  </si>
  <si>
    <t>6000023601110X</t>
  </si>
  <si>
    <t>6000026651000X</t>
  </si>
  <si>
    <t>6000026651100X</t>
  </si>
  <si>
    <t>6000026651400X</t>
  </si>
  <si>
    <t>6000026751000X</t>
  </si>
  <si>
    <t>6000026751100X</t>
  </si>
  <si>
    <t>6000026751110X</t>
  </si>
  <si>
    <t>6000026771000X</t>
  </si>
  <si>
    <t>6000026771100X</t>
  </si>
  <si>
    <t>6000026771110X</t>
  </si>
  <si>
    <t>6000026781000X</t>
  </si>
  <si>
    <t>6000026781100X</t>
  </si>
  <si>
    <t>6000026781110X</t>
  </si>
  <si>
    <t>6000027051000X</t>
  </si>
  <si>
    <t>6000027051100X</t>
  </si>
  <si>
    <t>6000027051110X</t>
  </si>
  <si>
    <t>6000027061000X</t>
  </si>
  <si>
    <t>6000027061100X</t>
  </si>
  <si>
    <t>6000027061110X</t>
  </si>
  <si>
    <t>6000027071000X</t>
  </si>
  <si>
    <t>6000027071100X</t>
  </si>
  <si>
    <t>6000027071110X</t>
  </si>
  <si>
    <t>6000027161000X</t>
  </si>
  <si>
    <t>6000027161100X</t>
  </si>
  <si>
    <t>6000027161110X</t>
  </si>
  <si>
    <t>6000027181000X</t>
  </si>
  <si>
    <t>6000027181100X</t>
  </si>
  <si>
    <t>6000027181110X</t>
  </si>
  <si>
    <t>6000027191000X</t>
  </si>
  <si>
    <t>6000027191100X</t>
  </si>
  <si>
    <t>6000027191110X</t>
  </si>
  <si>
    <t>6000027301000X</t>
  </si>
  <si>
    <t>6000027301100X</t>
  </si>
  <si>
    <t>6000027301110X</t>
  </si>
  <si>
    <t>6000027311000X</t>
  </si>
  <si>
    <t>6000027311100X</t>
  </si>
  <si>
    <t>6000027311110X</t>
  </si>
  <si>
    <t>6000027321000X</t>
  </si>
  <si>
    <t>6000027321100X</t>
  </si>
  <si>
    <t>6000027321110X</t>
  </si>
  <si>
    <t>6000027331000X</t>
  </si>
  <si>
    <t>6000027331100X</t>
  </si>
  <si>
    <t>6000027331110X</t>
  </si>
  <si>
    <t>6000027571000X</t>
  </si>
  <si>
    <t>6000027571110X</t>
  </si>
  <si>
    <t>6000027711000X</t>
  </si>
  <si>
    <t>6000027711100X</t>
  </si>
  <si>
    <t>6000027711110X</t>
  </si>
  <si>
    <t>6000027761100X</t>
  </si>
  <si>
    <t>6000027761400X</t>
  </si>
  <si>
    <t>6000028061000X</t>
  </si>
  <si>
    <t>6000028061100X</t>
  </si>
  <si>
    <t>6000028061110X</t>
  </si>
  <si>
    <t>6000028071000X</t>
  </si>
  <si>
    <t>6000028071100X</t>
  </si>
  <si>
    <t>6000028071110X</t>
  </si>
  <si>
    <t>6000028081000X</t>
  </si>
  <si>
    <t>6000028081100X</t>
  </si>
  <si>
    <t>6000028171000X</t>
  </si>
  <si>
    <t>6000028171100X</t>
  </si>
  <si>
    <t>6000028171110X</t>
  </si>
  <si>
    <t>6000028261000X</t>
  </si>
  <si>
    <t>6000028261100X</t>
  </si>
  <si>
    <t>6000028261110X</t>
  </si>
  <si>
    <t>6000028351000X</t>
  </si>
  <si>
    <t>6000028351100X</t>
  </si>
  <si>
    <t>6000028351110X</t>
  </si>
  <si>
    <t>6000028371000X</t>
  </si>
  <si>
    <t>6000028371100X</t>
  </si>
  <si>
    <t>6000028371110X</t>
  </si>
  <si>
    <t>6000028381000X</t>
  </si>
  <si>
    <t>6000028381100X</t>
  </si>
  <si>
    <t>6000028381110X</t>
  </si>
  <si>
    <t>6000028421000X</t>
  </si>
  <si>
    <t>6000028421110X</t>
  </si>
  <si>
    <t>6000028421400X</t>
  </si>
  <si>
    <t>6000028441000X</t>
  </si>
  <si>
    <t>6000028441100X</t>
  </si>
  <si>
    <t>6000028441110X</t>
  </si>
  <si>
    <t>6000028501000X</t>
  </si>
  <si>
    <t>6000028501100X</t>
  </si>
  <si>
    <t>6000028501110X</t>
  </si>
  <si>
    <t>6000028501400X</t>
  </si>
  <si>
    <t>6000028521000X</t>
  </si>
  <si>
    <t>6000028521100X</t>
  </si>
  <si>
    <t>6000028521110X</t>
  </si>
  <si>
    <t>6000028611000X</t>
  </si>
  <si>
    <t>6000028611100X</t>
  </si>
  <si>
    <t>6000028611110X</t>
  </si>
  <si>
    <t>6000028621000X</t>
  </si>
  <si>
    <t>6000028621100X</t>
  </si>
  <si>
    <t>6000028621110X</t>
  </si>
  <si>
    <t>6000028631000X</t>
  </si>
  <si>
    <t>6000028631100X</t>
  </si>
  <si>
    <t>6000028631110X</t>
  </si>
  <si>
    <t>6000028681000X</t>
  </si>
  <si>
    <t>6000028681100X</t>
  </si>
  <si>
    <t>6000028681110X</t>
  </si>
  <si>
    <t>6000028691000X</t>
  </si>
  <si>
    <t>6000028691100X</t>
  </si>
  <si>
    <t>6000028691110X</t>
  </si>
  <si>
    <t>6000028711000X</t>
  </si>
  <si>
    <t>6000028711100X</t>
  </si>
  <si>
    <t>6000028711110X</t>
  </si>
  <si>
    <t>6000028771000X</t>
  </si>
  <si>
    <t>6000028771100X</t>
  </si>
  <si>
    <t>6000028771110X</t>
  </si>
  <si>
    <t>6000028941000X</t>
  </si>
  <si>
    <t>6000028941100X</t>
  </si>
  <si>
    <t>6000028941110X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</si>
</sst>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22" fontId="0" fillId="0" borderId="0" xfId="0" applyNumberFormat="1" applyAlignment="1">
      <alignment horizontal="right" vertical="top"/>
    </xf>
    <xf numFmtId="2" fontId="0" fillId="0" borderId="0" xfId="0" applyNumberFormat="1"/>
    <xf numFmtId="0" fontId="0" fillId="3" borderId="0" xfId="0" applyFill="1"/>
    <xf numFmtId="2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BD4AC-1D1C-45EA-85C3-9FFF7A3F3B45}">
  <sheetPr codeName="Planilha19"/>
  <dimension ref="A1:BD540"/>
  <sheetViews>
    <sheetView tabSelected="1" workbookViewId="0">
      <selection activeCell="R18" sqref="R18"/>
    </sheetView>
  </sheetViews>
  <sheetFormatPr defaultRowHeight="15" x14ac:dyDescent="0.25"/>
  <cols>
    <col min="1" max="1" width="10.28515625" style="1" customWidth="1"/>
    <col min="2" max="2" width="9.140625" style="1"/>
    <col min="3" max="3" width="11.28515625" style="1" customWidth="1"/>
    <col min="4" max="16384" width="9.140625" style="1"/>
  </cols>
  <sheetData>
    <row r="1" spans="1:56" x14ac:dyDescent="0.25">
      <c r="A1" s="1" t="s">
        <v>11174</v>
      </c>
      <c r="B1" s="1" t="s">
        <v>11175</v>
      </c>
      <c r="C1" s="1" t="s">
        <v>11176</v>
      </c>
      <c r="D1" s="1" t="s">
        <v>11177</v>
      </c>
      <c r="E1" s="1" t="s">
        <v>11178</v>
      </c>
      <c r="F1" s="1" t="s">
        <v>11179</v>
      </c>
      <c r="G1" s="1" t="s">
        <v>11180</v>
      </c>
      <c r="H1" s="1" t="s">
        <v>11181</v>
      </c>
      <c r="I1" s="1" t="s">
        <v>11182</v>
      </c>
      <c r="J1" s="1" t="s">
        <v>11183</v>
      </c>
      <c r="K1" s="1" t="s">
        <v>11184</v>
      </c>
      <c r="L1" s="1" t="s">
        <v>11185</v>
      </c>
      <c r="M1" s="1" t="s">
        <v>11186</v>
      </c>
      <c r="N1" s="1" t="s">
        <v>11187</v>
      </c>
      <c r="O1" s="1" t="s">
        <v>11188</v>
      </c>
      <c r="P1" s="1" t="s">
        <v>11189</v>
      </c>
      <c r="Q1" s="1" t="s">
        <v>11190</v>
      </c>
      <c r="R1" s="1" t="s">
        <v>11191</v>
      </c>
      <c r="S1" s="1" t="s">
        <v>11192</v>
      </c>
      <c r="T1" s="1" t="s">
        <v>11193</v>
      </c>
      <c r="V1" s="1" t="s">
        <v>11194</v>
      </c>
      <c r="W1" s="1" t="s">
        <v>11197</v>
      </c>
      <c r="X1" s="1" t="s">
        <v>11195</v>
      </c>
      <c r="Y1" s="1" t="s">
        <v>11196</v>
      </c>
      <c r="Z1" s="1" t="s">
        <v>11225</v>
      </c>
      <c r="AA1" s="1" t="s">
        <v>11226</v>
      </c>
      <c r="AB1" s="1" t="s">
        <v>281</v>
      </c>
      <c r="AC1" s="1" t="s">
        <v>284</v>
      </c>
      <c r="AD1" s="1" t="s">
        <v>11227</v>
      </c>
      <c r="AE1" s="1" t="s">
        <v>11228</v>
      </c>
      <c r="AF1" s="1" t="s">
        <v>11229</v>
      </c>
      <c r="AG1" s="1" t="s">
        <v>11230</v>
      </c>
      <c r="AH1" s="1" t="s">
        <v>267</v>
      </c>
      <c r="AI1" s="1" t="s">
        <v>274</v>
      </c>
      <c r="BA1" s="1" t="s">
        <v>11249</v>
      </c>
    </row>
    <row r="2" spans="1:56" x14ac:dyDescent="0.25">
      <c r="A2" s="1">
        <v>600000000</v>
      </c>
      <c r="B2" s="1">
        <v>1000</v>
      </c>
      <c r="C2" s="1">
        <v>2200001473</v>
      </c>
      <c r="D2" s="1" t="s">
        <v>303</v>
      </c>
      <c r="E2" s="1">
        <f>IF(AND(B2&lt;&gt;1110,B2&lt;&gt;1210,B2&lt;&gt;1510,B2&lt;&gt;1710),B2,IF(B2=1110,"1100",IF(B2=1210,"1200",IF(B2=1510,"1500",IF(B2=1710,"1700","X")))))</f>
        <v>1000</v>
      </c>
      <c r="F2" s="1" t="s">
        <v>11198</v>
      </c>
      <c r="G2" s="1" t="s">
        <v>11464</v>
      </c>
      <c r="H2" s="1">
        <f>ROUND(P2/(1-((R2+S2))/100)*Q2, 3)</f>
        <v>153.53800000000001</v>
      </c>
      <c r="I2" s="1">
        <v>0.45</v>
      </c>
      <c r="J2" s="1">
        <v>1.5</v>
      </c>
      <c r="K2" s="1">
        <v>1</v>
      </c>
      <c r="L2" s="1" t="s">
        <v>292</v>
      </c>
      <c r="M2" s="1">
        <v>1</v>
      </c>
      <c r="N2" s="1">
        <v>1</v>
      </c>
      <c r="O2" s="1" t="s">
        <v>296</v>
      </c>
      <c r="P2" s="1">
        <v>120.911</v>
      </c>
      <c r="Q2" s="1">
        <v>1</v>
      </c>
      <c r="R2" s="1">
        <v>12</v>
      </c>
      <c r="S2" s="1">
        <v>9.25</v>
      </c>
      <c r="T2" s="1">
        <v>0</v>
      </c>
      <c r="V2" s="1" t="s">
        <v>11223</v>
      </c>
      <c r="W2" s="1">
        <v>100</v>
      </c>
      <c r="X2" s="1" t="s">
        <v>298</v>
      </c>
      <c r="Y2" s="1" t="s">
        <v>299</v>
      </c>
      <c r="Z2" s="1">
        <v>1</v>
      </c>
      <c r="AA2" s="1">
        <f>ROUND(H2*I2*Z2, 3)</f>
        <v>69.091999999999999</v>
      </c>
      <c r="AB2" s="1">
        <f>ROUND(VLOOKUP(X2,'Base de dados'!A:B, 2, 0)*AA2, 2)</f>
        <v>6.91</v>
      </c>
      <c r="AC2" s="1">
        <f>ROUND((AA2*(Destino!AG2/100))*(W2/100),2)</f>
        <v>8.2899999999999991</v>
      </c>
      <c r="AD2" s="1">
        <f>ROUND(AA2*(Destino!AH2/100),2)</f>
        <v>6.39</v>
      </c>
      <c r="AF2" s="1">
        <f>ROUND((AA2+ AB2)*(J2/100),2)</f>
        <v>1.1399999999999999</v>
      </c>
      <c r="AG2" s="1">
        <f>ROUND(AA2*T2,2)</f>
        <v>0</v>
      </c>
      <c r="AH2" s="1">
        <f>ROUND(AA2-(AC2+AD2)+AF2+AG2, 3)</f>
        <v>55.552</v>
      </c>
      <c r="AI2" s="1">
        <f>AH2*M2*K2</f>
        <v>55.552</v>
      </c>
      <c r="BA2" s="1" t="s">
        <v>11465</v>
      </c>
      <c r="BB2" s="1">
        <f>AI2</f>
        <v>55.552</v>
      </c>
      <c r="BD2" s="1">
        <f>N2</f>
        <v>1</v>
      </c>
    </row>
    <row r="3" spans="1:56" x14ac:dyDescent="0.25">
      <c r="A3" s="1">
        <v>600000000</v>
      </c>
      <c r="B3" s="1">
        <v>1100</v>
      </c>
      <c r="C3" s="1">
        <v>2200001473</v>
      </c>
      <c r="D3" s="1" t="s">
        <v>303</v>
      </c>
      <c r="E3" s="1">
        <f>IF(AND(B3&lt;&gt;1110,B3&lt;&gt;1210,B3&lt;&gt;1510,B3&lt;&gt;1710),B3,IF(B3=1110,"1100",IF(B3=1210,"1200",IF(B3=1510,"1500",IF(B3=1710,"1700","X")))))</f>
        <v>1100</v>
      </c>
      <c r="F3" s="1" t="s">
        <v>11198</v>
      </c>
      <c r="G3" s="1" t="s">
        <v>11464</v>
      </c>
      <c r="H3" s="1">
        <f>ROUND(P3/(1-((R3+S3))/100)*Q3, 3)</f>
        <v>144.37100000000001</v>
      </c>
      <c r="I3" s="1">
        <v>0.45</v>
      </c>
      <c r="J3" s="1">
        <v>2</v>
      </c>
      <c r="K3" s="1">
        <v>1</v>
      </c>
      <c r="L3" s="1" t="s">
        <v>292</v>
      </c>
      <c r="M3" s="1">
        <v>1</v>
      </c>
      <c r="N3" s="1">
        <v>1</v>
      </c>
      <c r="O3" s="1" t="s">
        <v>296</v>
      </c>
      <c r="P3" s="1">
        <v>120.911</v>
      </c>
      <c r="Q3" s="1">
        <v>1</v>
      </c>
      <c r="R3" s="1">
        <v>7</v>
      </c>
      <c r="S3" s="1">
        <v>9.25</v>
      </c>
      <c r="T3" s="1">
        <v>0</v>
      </c>
      <c r="V3" s="1" t="s">
        <v>11223</v>
      </c>
      <c r="W3" s="1">
        <v>100</v>
      </c>
      <c r="X3" s="1" t="s">
        <v>298</v>
      </c>
      <c r="Y3" s="1" t="s">
        <v>299</v>
      </c>
      <c r="Z3" s="1">
        <v>1</v>
      </c>
      <c r="AA3" s="1">
        <f>ROUND(H3*I3*Z3, 3)</f>
        <v>64.966999999999999</v>
      </c>
      <c r="AB3" s="1">
        <f>ROUND(VLOOKUP(X3,'Base de dados'!A:B, 2, 0)*AA3, 2)</f>
        <v>6.5</v>
      </c>
      <c r="AC3" s="1">
        <f>ROUND((AA3*(Destino!AG3/100))*(W3/100),2)</f>
        <v>4.55</v>
      </c>
      <c r="AD3" s="1">
        <f>ROUND(AA3*(Destino!AH3/100),2)</f>
        <v>6.01</v>
      </c>
      <c r="AF3" s="1">
        <f>ROUND((AA3+ AB3)*(J3/100),2)</f>
        <v>1.43</v>
      </c>
      <c r="AG3" s="1">
        <f>ROUND(AA3*T3,2)</f>
        <v>0</v>
      </c>
      <c r="AH3" s="1">
        <f>ROUND(AA3-(AC3+AD3)+AF3+AG3, 3)</f>
        <v>55.837000000000003</v>
      </c>
      <c r="AI3" s="1">
        <f>AH3*M3*K3</f>
        <v>55.837000000000003</v>
      </c>
      <c r="BA3" s="1" t="s">
        <v>11466</v>
      </c>
      <c r="BB3" s="1">
        <f>AI3</f>
        <v>55.837000000000003</v>
      </c>
      <c r="BD3" s="1">
        <f>N3</f>
        <v>1</v>
      </c>
    </row>
    <row r="4" spans="1:56" x14ac:dyDescent="0.25">
      <c r="A4" s="1">
        <v>600000000</v>
      </c>
      <c r="B4" s="1">
        <v>1110</v>
      </c>
      <c r="C4" s="1">
        <v>2200001473</v>
      </c>
      <c r="D4" s="1" t="s">
        <v>303</v>
      </c>
      <c r="E4" s="1" t="str">
        <f>IF(AND(B4&lt;&gt;1110,B4&lt;&gt;1210,B4&lt;&gt;1510,B4&lt;&gt;1710),B4,IF(B4=1110,"1100",IF(B4=1210,"1200",IF(B4=1510,"1500",IF(B4=1710,"1700","X")))))</f>
        <v>1100</v>
      </c>
      <c r="F4" s="1" t="s">
        <v>447</v>
      </c>
      <c r="G4" s="1" t="s">
        <v>11464</v>
      </c>
      <c r="H4" s="1">
        <f>ROUND(P4/(1-((R4+S4))/100)*Q4, 3)</f>
        <v>144.37100000000001</v>
      </c>
      <c r="I4" s="1">
        <v>0.45</v>
      </c>
      <c r="J4" s="1">
        <v>4</v>
      </c>
      <c r="K4" s="1">
        <v>1</v>
      </c>
      <c r="L4" s="1" t="s">
        <v>292</v>
      </c>
      <c r="M4" s="1">
        <v>1</v>
      </c>
      <c r="N4" s="1">
        <v>0.75265199999999999</v>
      </c>
      <c r="O4" s="1" t="s">
        <v>296</v>
      </c>
      <c r="P4" s="1">
        <v>120.911</v>
      </c>
      <c r="Q4" s="1">
        <v>1</v>
      </c>
      <c r="R4" s="1">
        <v>7</v>
      </c>
      <c r="S4" s="1">
        <v>9.25</v>
      </c>
      <c r="T4" s="1">
        <v>0</v>
      </c>
      <c r="V4" s="1" t="s">
        <v>11223</v>
      </c>
      <c r="W4" s="1">
        <v>100</v>
      </c>
      <c r="X4" s="1" t="s">
        <v>298</v>
      </c>
      <c r="Y4" s="1" t="s">
        <v>299</v>
      </c>
      <c r="Z4" s="1">
        <v>1</v>
      </c>
      <c r="AA4" s="1">
        <f>ROUND(H4*I4*Z4, 3)</f>
        <v>64.966999999999999</v>
      </c>
      <c r="AB4" s="1">
        <f>ROUND(VLOOKUP(X4,'Base de dados'!A:B, 2, 0)*AA4, 2)</f>
        <v>6.5</v>
      </c>
      <c r="AC4" s="1">
        <f>ROUND((AA4*(Destino!AG4/100))*(W4/100),2)</f>
        <v>4.55</v>
      </c>
      <c r="AD4" s="1">
        <f>ROUND(AA4*(Destino!AH4/100),2)</f>
        <v>6.01</v>
      </c>
      <c r="AE4" s="1">
        <f>ROUND((((AA4+AB4)*1.5039)*(Destino!AI4/100))-AC4,2)</f>
        <v>13.72</v>
      </c>
      <c r="AF4" s="1">
        <f>ROUND((AA4+AB4+AE4)*(J4/100),2)</f>
        <v>3.41</v>
      </c>
      <c r="AG4" s="1">
        <f>ROUND(AA4*T4,2)</f>
        <v>0</v>
      </c>
      <c r="AH4" s="1">
        <f>ROUND(AA4-AD4+AE4+AF4+AG4, 3)</f>
        <v>76.087000000000003</v>
      </c>
      <c r="AI4" s="1">
        <f>AH4*M4*K4</f>
        <v>76.087000000000003</v>
      </c>
      <c r="BA4" s="1" t="s">
        <v>11467</v>
      </c>
      <c r="BB4" s="1">
        <f>AI4</f>
        <v>76.087000000000003</v>
      </c>
      <c r="BD4" s="1">
        <f>N4</f>
        <v>0.75265199999999999</v>
      </c>
    </row>
    <row r="5" spans="1:56" x14ac:dyDescent="0.25">
      <c r="A5" s="1">
        <v>600000000</v>
      </c>
      <c r="B5" s="1">
        <v>1400</v>
      </c>
      <c r="C5" s="1">
        <v>2200001473</v>
      </c>
      <c r="D5" s="1" t="s">
        <v>303</v>
      </c>
      <c r="E5" s="1">
        <f>IF(AND(B5&lt;&gt;1110,B5&lt;&gt;1210,B5&lt;&gt;1510,B5&lt;&gt;1710),B5,IF(B5=1110,"1100",IF(B5=1210,"1200",IF(B5=1510,"1500",IF(B5=1710,"1700","X")))))</f>
        <v>1400</v>
      </c>
      <c r="F5" s="1" t="s">
        <v>11198</v>
      </c>
      <c r="G5" s="1" t="s">
        <v>11464</v>
      </c>
      <c r="H5" s="1">
        <f>ROUND(P5/(1-((R5+S5))/100)*Q5, 3)</f>
        <v>166.20099999999999</v>
      </c>
      <c r="I5" s="1">
        <v>0.45</v>
      </c>
      <c r="J5" s="1">
        <v>1.5</v>
      </c>
      <c r="K5" s="1">
        <v>1</v>
      </c>
      <c r="L5" s="1" t="s">
        <v>292</v>
      </c>
      <c r="M5" s="1">
        <v>1</v>
      </c>
      <c r="N5" s="1">
        <v>1</v>
      </c>
      <c r="O5" s="1" t="s">
        <v>296</v>
      </c>
      <c r="P5" s="1">
        <v>120.911</v>
      </c>
      <c r="Q5" s="1">
        <v>1</v>
      </c>
      <c r="R5" s="1">
        <v>18</v>
      </c>
      <c r="S5" s="1">
        <v>9.25</v>
      </c>
      <c r="T5" s="1">
        <v>0</v>
      </c>
      <c r="V5" s="1" t="s">
        <v>11224</v>
      </c>
      <c r="W5" s="1">
        <v>100</v>
      </c>
      <c r="X5" s="1" t="s">
        <v>5</v>
      </c>
      <c r="Y5" s="1" t="s">
        <v>299</v>
      </c>
      <c r="Z5" s="1">
        <v>1</v>
      </c>
      <c r="AA5" s="1">
        <f>ROUND(H5*I5*Z5, 3)</f>
        <v>74.790000000000006</v>
      </c>
      <c r="AB5" s="1">
        <f>ROUND(VLOOKUP(X5,'Base de dados'!A:B, 2, 0)*AA5, 2)</f>
        <v>7.48</v>
      </c>
      <c r="AC5" s="1">
        <f>ROUND((AA5*(Destino!AG5/100))*(W5/100),2)</f>
        <v>13.46</v>
      </c>
      <c r="AD5" s="1">
        <f>ROUND(AA5*(Destino!AH5/100),2)</f>
        <v>6.92</v>
      </c>
      <c r="AF5" s="1">
        <f>ROUND((AA5+ AB5)*(J5/100),2)</f>
        <v>1.23</v>
      </c>
      <c r="AG5" s="1">
        <f>ROUND(AA5*T5,2)</f>
        <v>0</v>
      </c>
      <c r="AH5" s="1">
        <f>ROUND(AA5-(AC5+AD5)+AF5+AG5, 3)</f>
        <v>55.64</v>
      </c>
      <c r="AI5" s="1">
        <f>AH5*M5*K5</f>
        <v>55.64</v>
      </c>
      <c r="BA5" s="1" t="s">
        <v>11256</v>
      </c>
      <c r="BB5" s="1">
        <f>AI5</f>
        <v>55.64</v>
      </c>
      <c r="BD5" s="1">
        <f>N5</f>
        <v>1</v>
      </c>
    </row>
    <row r="6" spans="1:56" x14ac:dyDescent="0.25">
      <c r="A6" s="1">
        <v>600000000</v>
      </c>
      <c r="B6" s="1">
        <v>1700</v>
      </c>
      <c r="C6" s="1">
        <v>2200001421</v>
      </c>
      <c r="D6" s="1" t="s">
        <v>303</v>
      </c>
      <c r="E6" s="1">
        <f>IF(AND(B6&lt;&gt;1110,B6&lt;&gt;1210,B6&lt;&gt;1510,B6&lt;&gt;1710),B6,IF(B6=1110,"1100",IF(B6=1210,"1200",IF(B6=1510,"1500",IF(B6=1710,"1700","X")))))</f>
        <v>1700</v>
      </c>
      <c r="F6" s="1" t="s">
        <v>11238</v>
      </c>
      <c r="G6" s="1" t="s">
        <v>302</v>
      </c>
      <c r="H6" s="1">
        <f>ROUND(P6/(1-((R6+S6))/100)*Q6, 3)</f>
        <v>66.436000000000007</v>
      </c>
      <c r="I6" s="1">
        <v>0.25</v>
      </c>
      <c r="J6" s="1">
        <v>3</v>
      </c>
      <c r="K6" s="1">
        <v>1</v>
      </c>
      <c r="L6" s="1" t="s">
        <v>292</v>
      </c>
      <c r="M6" s="1">
        <v>4</v>
      </c>
      <c r="N6" s="1">
        <v>1</v>
      </c>
      <c r="O6" s="1" t="s">
        <v>296</v>
      </c>
      <c r="P6" s="1">
        <f>IFERROR(VLOOKUP(BC6, BA:BA:BB:BB, 2, 0),)</f>
        <v>55.64</v>
      </c>
      <c r="Q6" s="1">
        <f>IFERROR(VLOOKUP(BC6, BA:BA:BD:BD, 4, 0),1)</f>
        <v>1</v>
      </c>
      <c r="R6" s="1">
        <v>7</v>
      </c>
      <c r="S6" s="1">
        <v>9.25</v>
      </c>
      <c r="T6" s="1">
        <v>0</v>
      </c>
      <c r="V6" s="1" t="s">
        <v>11223</v>
      </c>
      <c r="W6" s="1">
        <v>100</v>
      </c>
      <c r="X6" s="1" t="s">
        <v>298</v>
      </c>
      <c r="Y6" s="1" t="s">
        <v>299</v>
      </c>
      <c r="Z6" s="1">
        <v>1</v>
      </c>
      <c r="AA6" s="1">
        <f>ROUND(H6*I6*Z6, 3)</f>
        <v>16.609000000000002</v>
      </c>
      <c r="AB6" s="1">
        <f>ROUND(VLOOKUP(X6,'Base de dados'!A:B, 2, 0)*AA6, 2)</f>
        <v>1.66</v>
      </c>
      <c r="AC6" s="1">
        <f>ROUND((AA6*(Destino!AG6/100))*(W6/100),2)</f>
        <v>1.1599999999999999</v>
      </c>
      <c r="AD6" s="1">
        <f>ROUND(AA6*(Destino!AH6/100),2)</f>
        <v>0</v>
      </c>
      <c r="AE6" s="1">
        <f>ROUND((((AA6+AB6)*1.48)*(Destino!AI6/100))-AC6,2)</f>
        <v>3.44</v>
      </c>
      <c r="AF6" s="1">
        <f>ROUND((AA6+AB6+AE6)*(J6/100),2)</f>
        <v>0.65</v>
      </c>
      <c r="AG6" s="1">
        <f>ROUND(AA6*T6,2)</f>
        <v>0</v>
      </c>
      <c r="AH6" s="1">
        <f>ROUND(AA6+AB6-AD6+AE6+AF6+AG6, 3)</f>
        <v>22.359000000000002</v>
      </c>
      <c r="AI6" s="1">
        <f>AH6*M6*K6</f>
        <v>89.436000000000007</v>
      </c>
      <c r="BA6" s="1" t="s">
        <v>11250</v>
      </c>
      <c r="BB6" s="1">
        <f>AI6</f>
        <v>89.436000000000007</v>
      </c>
      <c r="BC6" s="1" t="s">
        <v>11256</v>
      </c>
      <c r="BD6" s="1">
        <f>N6</f>
        <v>1</v>
      </c>
    </row>
    <row r="7" spans="1:56" x14ac:dyDescent="0.25">
      <c r="A7" s="1">
        <v>600000001</v>
      </c>
      <c r="B7" s="1">
        <v>1000</v>
      </c>
      <c r="C7" s="1">
        <v>2200001421</v>
      </c>
      <c r="D7" s="1" t="s">
        <v>303</v>
      </c>
      <c r="E7" s="1">
        <f>IF(AND(B7&lt;&gt;1110,B7&lt;&gt;1210,B7&lt;&gt;1510,B7&lt;&gt;1710),B7,IF(B7=1110,"1100",IF(B7=1210,"1200",IF(B7=1510,"1500",IF(B7=1710,"1700","X")))))</f>
        <v>1000</v>
      </c>
      <c r="F7" s="1" t="s">
        <v>11198</v>
      </c>
      <c r="G7" s="1" t="s">
        <v>302</v>
      </c>
      <c r="H7" s="1">
        <f>ROUND(P7/(1-((R7+S7))/100)*Q7, 3)</f>
        <v>52.966000000000001</v>
      </c>
      <c r="I7" s="1">
        <v>1</v>
      </c>
      <c r="J7" s="1">
        <v>4</v>
      </c>
      <c r="K7" s="1">
        <v>1</v>
      </c>
      <c r="L7" s="1" t="s">
        <v>292</v>
      </c>
      <c r="M7" s="1">
        <v>1</v>
      </c>
      <c r="N7" s="1">
        <v>1</v>
      </c>
      <c r="O7" s="1" t="s">
        <v>292</v>
      </c>
      <c r="P7" s="1">
        <f>IFERROR(VLOOKUP(BC7, BA:BA:BB:BB, 2, 0),)</f>
        <v>41.710999999999999</v>
      </c>
      <c r="Q7" s="1">
        <f>IFERROR(VLOOKUP(BC7, BA:BA:BD:BD, 4, 0),1)</f>
        <v>1</v>
      </c>
      <c r="R7" s="1">
        <v>12</v>
      </c>
      <c r="S7" s="1">
        <v>9.25</v>
      </c>
      <c r="T7" s="1">
        <v>0</v>
      </c>
      <c r="V7" s="1" t="s">
        <v>11224</v>
      </c>
      <c r="W7" s="1">
        <v>100</v>
      </c>
      <c r="X7" s="1" t="s">
        <v>113</v>
      </c>
      <c r="Y7" s="1" t="s">
        <v>299</v>
      </c>
      <c r="Z7" s="1">
        <v>1</v>
      </c>
      <c r="AA7" s="1">
        <f>ROUND(H7*I7*Z7, 3)</f>
        <v>52.966000000000001</v>
      </c>
      <c r="AB7" s="1">
        <f>ROUND(VLOOKUP(X7,'Base de dados'!A:B, 2, 0)*AA7, 2)</f>
        <v>2.12</v>
      </c>
      <c r="AC7" s="1">
        <f>ROUND((AA7*(Destino!AG7/100))*(W7/100),2)</f>
        <v>6.36</v>
      </c>
      <c r="AD7" s="1">
        <f>ROUND(AA7*(Destino!AH7/100),2)</f>
        <v>4.9000000000000004</v>
      </c>
      <c r="AF7" s="1">
        <f>ROUND((AA7+ AB7)*(J7/100),2)</f>
        <v>2.2000000000000002</v>
      </c>
      <c r="AG7" s="1">
        <f>ROUND(AA7*T7,2)</f>
        <v>0</v>
      </c>
      <c r="AH7" s="1">
        <f>ROUND(AA7-(AC7+AD7)+AF7+AG7, 3)</f>
        <v>43.905999999999999</v>
      </c>
      <c r="AI7" s="1">
        <f>AH7*M7*K7</f>
        <v>43.905999999999999</v>
      </c>
      <c r="BB7" s="1">
        <f>AI7</f>
        <v>43.905999999999999</v>
      </c>
      <c r="BC7" s="1" t="s">
        <v>11350</v>
      </c>
      <c r="BD7" s="1">
        <f>N7</f>
        <v>1</v>
      </c>
    </row>
    <row r="8" spans="1:56" x14ac:dyDescent="0.25">
      <c r="A8" s="1">
        <v>600000001</v>
      </c>
      <c r="B8" s="1">
        <v>1000</v>
      </c>
      <c r="C8" s="1">
        <v>2200001473</v>
      </c>
      <c r="D8" s="1" t="s">
        <v>303</v>
      </c>
      <c r="E8" s="1">
        <f>IF(AND(B8&lt;&gt;1110,B8&lt;&gt;1210,B8&lt;&gt;1510,B8&lt;&gt;1710),B8,IF(B8=1110,"1100",IF(B8=1210,"1200",IF(B8=1510,"1500",IF(B8=1710,"1700","X")))))</f>
        <v>1000</v>
      </c>
      <c r="F8" s="1" t="s">
        <v>11198</v>
      </c>
      <c r="G8" s="1" t="s">
        <v>302</v>
      </c>
      <c r="H8" s="1">
        <f>ROUND(P8/(1-((R8+S8))/100)*Q8, 3)</f>
        <v>114.90300000000001</v>
      </c>
      <c r="I8" s="1">
        <v>0.45</v>
      </c>
      <c r="J8" s="1">
        <v>1.5</v>
      </c>
      <c r="K8" s="1">
        <v>1</v>
      </c>
      <c r="L8" s="1" t="s">
        <v>292</v>
      </c>
      <c r="M8" s="1">
        <v>1</v>
      </c>
      <c r="N8" s="1">
        <v>1</v>
      </c>
      <c r="O8" s="1" t="s">
        <v>296</v>
      </c>
      <c r="P8" s="1">
        <v>90.486000000000004</v>
      </c>
      <c r="Q8" s="1">
        <v>1</v>
      </c>
      <c r="R8" s="1">
        <v>12</v>
      </c>
      <c r="S8" s="1">
        <v>9.25</v>
      </c>
      <c r="T8" s="1">
        <v>0</v>
      </c>
      <c r="V8" s="1" t="s">
        <v>11224</v>
      </c>
      <c r="W8" s="1">
        <v>100</v>
      </c>
      <c r="X8" s="1" t="s">
        <v>7</v>
      </c>
      <c r="Y8" s="1" t="s">
        <v>299</v>
      </c>
      <c r="Z8" s="1">
        <v>1</v>
      </c>
      <c r="AA8" s="1">
        <f>ROUND(H8*I8*Z8, 3)</f>
        <v>51.706000000000003</v>
      </c>
      <c r="AB8" s="1">
        <f>ROUND(VLOOKUP(X8,'Base de dados'!A:B, 2, 0)*AA8, 2)</f>
        <v>5.17</v>
      </c>
      <c r="AC8" s="1">
        <f>ROUND((AA8*(Destino!AG8/100))*(W8/100),2)</f>
        <v>6.2</v>
      </c>
      <c r="AD8" s="1">
        <f>ROUND(AA8*(Destino!AH8/100),2)</f>
        <v>4.78</v>
      </c>
      <c r="AF8" s="1">
        <f>ROUND((AA8+ AB8)*(J8/100),2)</f>
        <v>0.85</v>
      </c>
      <c r="AG8" s="1">
        <f>ROUND(AA8*T8,2)</f>
        <v>0</v>
      </c>
      <c r="AH8" s="1">
        <f>ROUND(AA8-(AC8+AD8)+AF8+AG8, 3)</f>
        <v>41.576000000000001</v>
      </c>
      <c r="AI8" s="1">
        <f>AH8*M8*K8</f>
        <v>41.576000000000001</v>
      </c>
      <c r="BA8" s="1" t="s">
        <v>11468</v>
      </c>
      <c r="BB8" s="1">
        <f>AI8</f>
        <v>41.576000000000001</v>
      </c>
      <c r="BD8" s="1">
        <f>N8</f>
        <v>1</v>
      </c>
    </row>
    <row r="9" spans="1:56" x14ac:dyDescent="0.25">
      <c r="A9" s="1">
        <v>600000001</v>
      </c>
      <c r="B9" s="1">
        <v>1100</v>
      </c>
      <c r="C9" s="1">
        <v>2200001473</v>
      </c>
      <c r="D9" s="1" t="s">
        <v>303</v>
      </c>
      <c r="E9" s="1">
        <f>IF(AND(B9&lt;&gt;1110,B9&lt;&gt;1210,B9&lt;&gt;1510,B9&lt;&gt;1710),B9,IF(B9=1110,"1100",IF(B9=1210,"1200",IF(B9=1510,"1500",IF(B9=1710,"1700","X")))))</f>
        <v>1100</v>
      </c>
      <c r="F9" s="1" t="s">
        <v>11198</v>
      </c>
      <c r="G9" s="1" t="s">
        <v>302</v>
      </c>
      <c r="H9" s="1">
        <f>ROUND(P9/(1-((R9+S9))/100)*Q9, 3)</f>
        <v>108.04300000000001</v>
      </c>
      <c r="I9" s="1">
        <v>0.45</v>
      </c>
      <c r="J9" s="1">
        <v>2</v>
      </c>
      <c r="K9" s="1">
        <v>1</v>
      </c>
      <c r="L9" s="1" t="s">
        <v>292</v>
      </c>
      <c r="M9" s="1">
        <v>1</v>
      </c>
      <c r="N9" s="1">
        <v>1</v>
      </c>
      <c r="O9" s="1" t="s">
        <v>296</v>
      </c>
      <c r="P9" s="1">
        <v>90.486000000000004</v>
      </c>
      <c r="Q9" s="1">
        <v>1</v>
      </c>
      <c r="R9" s="1">
        <v>7</v>
      </c>
      <c r="S9" s="1">
        <v>9.25</v>
      </c>
      <c r="T9" s="1">
        <v>0</v>
      </c>
      <c r="V9" s="1" t="s">
        <v>11224</v>
      </c>
      <c r="W9" s="1">
        <v>100</v>
      </c>
      <c r="X9" s="1" t="s">
        <v>8</v>
      </c>
      <c r="Y9" s="1" t="s">
        <v>299</v>
      </c>
      <c r="Z9" s="1">
        <v>1</v>
      </c>
      <c r="AA9" s="1">
        <f>ROUND(H9*I9*Z9, 3)</f>
        <v>48.619</v>
      </c>
      <c r="AB9" s="1">
        <f>ROUND(VLOOKUP(X9,'Base de dados'!A:B, 2, 0)*AA9, 2)</f>
        <v>4.8600000000000003</v>
      </c>
      <c r="AC9" s="1">
        <f>ROUND((AA9*(Destino!AG9/100))*(W9/100),2)</f>
        <v>3.4</v>
      </c>
      <c r="AD9" s="1">
        <f>ROUND(AA9*(Destino!AH9/100),2)</f>
        <v>4.5</v>
      </c>
      <c r="AF9" s="1">
        <f>ROUND((AA9+ AB9)*(J9/100),2)</f>
        <v>1.07</v>
      </c>
      <c r="AG9" s="1">
        <f>ROUND(AA9*T9,2)</f>
        <v>0</v>
      </c>
      <c r="AH9" s="1">
        <f>ROUND(AA9-(AC9+AD9)+AF9+AG9, 3)</f>
        <v>41.789000000000001</v>
      </c>
      <c r="AI9" s="1">
        <f>AH9*M9*K9</f>
        <v>41.789000000000001</v>
      </c>
      <c r="BA9" s="1" t="s">
        <v>11469</v>
      </c>
      <c r="BB9" s="1">
        <f>AI9</f>
        <v>41.789000000000001</v>
      </c>
      <c r="BD9" s="1">
        <f>N9</f>
        <v>1</v>
      </c>
    </row>
    <row r="10" spans="1:56" x14ac:dyDescent="0.25">
      <c r="A10" s="1">
        <v>600000001</v>
      </c>
      <c r="B10" s="1">
        <v>1110</v>
      </c>
      <c r="C10" s="1">
        <v>2200001473</v>
      </c>
      <c r="D10" s="1" t="s">
        <v>303</v>
      </c>
      <c r="E10" s="1" t="str">
        <f>IF(AND(B10&lt;&gt;1110,B10&lt;&gt;1210,B10&lt;&gt;1510,B10&lt;&gt;1710),B10,IF(B10=1110,"1100",IF(B10=1210,"1200",IF(B10=1510,"1500",IF(B10=1710,"1700","X")))))</f>
        <v>1100</v>
      </c>
      <c r="F10" s="1" t="s">
        <v>447</v>
      </c>
      <c r="G10" s="1" t="s">
        <v>302</v>
      </c>
      <c r="H10" s="1">
        <f>ROUND(P10/(1-((R10+S10))/100)*Q10, 3)</f>
        <v>108.04300000000001</v>
      </c>
      <c r="I10" s="1">
        <v>0.45</v>
      </c>
      <c r="J10" s="1">
        <v>7</v>
      </c>
      <c r="K10" s="1">
        <v>1</v>
      </c>
      <c r="L10" s="1" t="s">
        <v>292</v>
      </c>
      <c r="M10" s="1">
        <v>1</v>
      </c>
      <c r="N10" s="1">
        <v>1</v>
      </c>
      <c r="O10" s="1" t="s">
        <v>296</v>
      </c>
      <c r="P10" s="1">
        <v>90.486000000000004</v>
      </c>
      <c r="Q10" s="1">
        <v>1</v>
      </c>
      <c r="R10" s="1">
        <v>7</v>
      </c>
      <c r="S10" s="1">
        <v>9.25</v>
      </c>
      <c r="T10" s="1">
        <v>0</v>
      </c>
      <c r="V10" s="1" t="s">
        <v>11224</v>
      </c>
      <c r="W10" s="1">
        <v>100</v>
      </c>
      <c r="X10" s="1" t="s">
        <v>9</v>
      </c>
      <c r="Y10" s="1" t="s">
        <v>299</v>
      </c>
      <c r="Z10" s="1">
        <v>1</v>
      </c>
      <c r="AA10" s="1">
        <f>ROUND(H10*I10*Z10, 3)</f>
        <v>48.619</v>
      </c>
      <c r="AB10" s="1">
        <f>ROUND(VLOOKUP(X10,'Base de dados'!A:B, 2, 0)*AA10, 2)</f>
        <v>4.8600000000000003</v>
      </c>
      <c r="AC10" s="1">
        <f>ROUND((AA10*(Destino!AG10/100))*(W10/100),2)</f>
        <v>3.4</v>
      </c>
      <c r="AD10" s="1">
        <f>ROUND(AA10*(Destino!AH10/100),2)</f>
        <v>4.5</v>
      </c>
      <c r="AE10" s="1">
        <f>ROUND((((AA10+AB10)*1.5039)*(Destino!AI10/100))-AC10,2)</f>
        <v>10.27</v>
      </c>
      <c r="AF10" s="1">
        <f>ROUND((AA10+AB10+AE10)*(J10/100),2)</f>
        <v>4.46</v>
      </c>
      <c r="AG10" s="1">
        <f>ROUND(AA10*T10,2)</f>
        <v>0</v>
      </c>
      <c r="AH10" s="1">
        <f>ROUND(AA10-AD10+AE10+AF10+AG10, 3)</f>
        <v>58.848999999999997</v>
      </c>
      <c r="AI10" s="1">
        <f>AH10*M10*K10</f>
        <v>58.848999999999997</v>
      </c>
      <c r="BA10" s="1" t="s">
        <v>11470</v>
      </c>
      <c r="BB10" s="1">
        <f>AI10</f>
        <v>58.848999999999997</v>
      </c>
      <c r="BD10" s="1">
        <f>N10</f>
        <v>1</v>
      </c>
    </row>
    <row r="11" spans="1:56" x14ac:dyDescent="0.25">
      <c r="A11" s="1">
        <v>600000001</v>
      </c>
      <c r="B11" s="1">
        <v>1400</v>
      </c>
      <c r="C11" s="1">
        <v>2200001473</v>
      </c>
      <c r="D11" s="1" t="s">
        <v>303</v>
      </c>
      <c r="E11" s="1">
        <f>IF(AND(B11&lt;&gt;1110,B11&lt;&gt;1210,B11&lt;&gt;1510,B11&lt;&gt;1710),B11,IF(B11=1110,"1100",IF(B11=1210,"1200",IF(B11=1510,"1500",IF(B11=1710,"1700","X")))))</f>
        <v>1400</v>
      </c>
      <c r="F11" s="1" t="s">
        <v>11198</v>
      </c>
      <c r="G11" s="1" t="s">
        <v>302</v>
      </c>
      <c r="H11" s="1">
        <f>ROUND(P11/(1-((R11+S11))/100)*Q11, 3)</f>
        <v>124.379</v>
      </c>
      <c r="I11" s="1">
        <v>0.45</v>
      </c>
      <c r="J11" s="1">
        <v>1.5</v>
      </c>
      <c r="K11" s="1">
        <v>1</v>
      </c>
      <c r="L11" s="1" t="s">
        <v>292</v>
      </c>
      <c r="M11" s="1">
        <v>1</v>
      </c>
      <c r="N11" s="1">
        <v>1</v>
      </c>
      <c r="O11" s="1" t="s">
        <v>296</v>
      </c>
      <c r="P11" s="1">
        <v>90.486000000000004</v>
      </c>
      <c r="Q11" s="1">
        <v>1</v>
      </c>
      <c r="R11" s="1">
        <v>18</v>
      </c>
      <c r="S11" s="1">
        <v>9.25</v>
      </c>
      <c r="T11" s="1">
        <v>0</v>
      </c>
      <c r="V11" s="1" t="s">
        <v>11224</v>
      </c>
      <c r="W11" s="1">
        <v>100</v>
      </c>
      <c r="X11" s="1" t="s">
        <v>11</v>
      </c>
      <c r="Y11" s="1" t="s">
        <v>299</v>
      </c>
      <c r="Z11" s="1">
        <v>1</v>
      </c>
      <c r="AA11" s="1">
        <f>ROUND(H11*I11*Z11, 3)</f>
        <v>55.970999999999997</v>
      </c>
      <c r="AB11" s="1">
        <f>ROUND(VLOOKUP(X11,'Base de dados'!A:B, 2, 0)*AA11, 2)</f>
        <v>10.07</v>
      </c>
      <c r="AC11" s="1">
        <f>ROUND((AA11*(Destino!AG11/100))*(W11/100),2)</f>
        <v>10.07</v>
      </c>
      <c r="AD11" s="1">
        <f>ROUND(AA11*(Destino!AH11/100),2)</f>
        <v>5.18</v>
      </c>
      <c r="AF11" s="1">
        <f>ROUND((AA11+ AB11)*(J11/100),2)</f>
        <v>0.99</v>
      </c>
      <c r="AG11" s="1">
        <f>ROUND(AA11*T11,2)</f>
        <v>0</v>
      </c>
      <c r="AH11" s="1">
        <f>ROUND(AA11-(AC11+AD11)+AF11+AG11, 3)</f>
        <v>41.710999999999999</v>
      </c>
      <c r="AI11" s="1">
        <f>AH11*M11*K11</f>
        <v>41.710999999999999</v>
      </c>
      <c r="BA11" s="1" t="s">
        <v>11350</v>
      </c>
      <c r="BB11" s="1">
        <f>AI11</f>
        <v>41.710999999999999</v>
      </c>
      <c r="BD11" s="1">
        <f>N11</f>
        <v>1</v>
      </c>
    </row>
    <row r="12" spans="1:56" x14ac:dyDescent="0.25">
      <c r="A12" s="1">
        <v>600000194</v>
      </c>
      <c r="B12" s="1">
        <v>1000</v>
      </c>
      <c r="C12" s="1">
        <v>2200001473</v>
      </c>
      <c r="D12" s="1" t="s">
        <v>303</v>
      </c>
      <c r="E12" s="1">
        <f>IF(AND(B12&lt;&gt;1110,B12&lt;&gt;1210,B12&lt;&gt;1510,B12&lt;&gt;1710),B12,IF(B12=1110,"1100",IF(B12=1210,"1200",IF(B12=1510,"1500",IF(B12=1710,"1700","X")))))</f>
        <v>1000</v>
      </c>
      <c r="F12" s="1" t="s">
        <v>11198</v>
      </c>
      <c r="G12" s="1" t="s">
        <v>302</v>
      </c>
      <c r="H12" s="1">
        <f>ROUND(P12/(1-((R12+S12))/100)*Q12, 3)</f>
        <v>14.91</v>
      </c>
      <c r="I12" s="1">
        <v>0.45</v>
      </c>
      <c r="J12" s="1">
        <v>1.5</v>
      </c>
      <c r="K12" s="1">
        <v>1</v>
      </c>
      <c r="L12" s="1" t="s">
        <v>292</v>
      </c>
      <c r="M12" s="1">
        <v>1</v>
      </c>
      <c r="N12" s="1">
        <v>1</v>
      </c>
      <c r="O12" s="1" t="s">
        <v>296</v>
      </c>
      <c r="P12" s="1">
        <v>11.742000000000001</v>
      </c>
      <c r="Q12" s="1">
        <v>1</v>
      </c>
      <c r="R12" s="1">
        <v>12</v>
      </c>
      <c r="S12" s="1">
        <v>9.25</v>
      </c>
      <c r="T12" s="1">
        <v>0</v>
      </c>
      <c r="V12" s="1" t="s">
        <v>11224</v>
      </c>
      <c r="W12" s="1">
        <v>100</v>
      </c>
      <c r="X12" s="1" t="s">
        <v>18</v>
      </c>
      <c r="Y12" s="1" t="s">
        <v>299</v>
      </c>
      <c r="Z12" s="1">
        <v>1</v>
      </c>
      <c r="AA12" s="1">
        <f>ROUND(H12*I12*Z12, 3)</f>
        <v>6.71</v>
      </c>
      <c r="AB12" s="1">
        <f>ROUND(VLOOKUP(X12,'Base de dados'!A:B, 2, 0)*AA12, 2)</f>
        <v>1.01</v>
      </c>
      <c r="AC12" s="1">
        <f>ROUND((AA12*(Destino!AG12/100))*(W12/100),2)</f>
        <v>0.81</v>
      </c>
      <c r="AD12" s="1">
        <f>ROUND(AA12*(Destino!AH12/100),2)</f>
        <v>0.62</v>
      </c>
      <c r="AF12" s="1">
        <f>ROUND((AA12+ AB12)*(J12/100),2)</f>
        <v>0.12</v>
      </c>
      <c r="AG12" s="1">
        <f>ROUND(AA12*T12,2)</f>
        <v>0</v>
      </c>
      <c r="AH12" s="1">
        <f>ROUND(AA12-(AC12+AD12)+AF12+AG12, 3)</f>
        <v>5.4</v>
      </c>
      <c r="AI12" s="1">
        <f>AH12*M12*K12</f>
        <v>5.4</v>
      </c>
      <c r="BA12" s="1" t="s">
        <v>11471</v>
      </c>
      <c r="BB12" s="1">
        <f>AI12</f>
        <v>5.4</v>
      </c>
      <c r="BD12" s="1">
        <f>N12</f>
        <v>1</v>
      </c>
    </row>
    <row r="13" spans="1:56" x14ac:dyDescent="0.25">
      <c r="A13" s="1">
        <v>600000194</v>
      </c>
      <c r="B13" s="1">
        <v>1100</v>
      </c>
      <c r="C13" s="1">
        <v>2200001421</v>
      </c>
      <c r="D13" s="1" t="s">
        <v>303</v>
      </c>
      <c r="E13" s="1">
        <f>IF(AND(B13&lt;&gt;1110,B13&lt;&gt;1210,B13&lt;&gt;1510,B13&lt;&gt;1710),B13,IF(B13=1110,"1100",IF(B13=1210,"1200",IF(B13=1510,"1500",IF(B13=1710,"1700","X")))))</f>
        <v>1100</v>
      </c>
      <c r="F13" s="1" t="s">
        <v>11198</v>
      </c>
      <c r="G13" s="1" t="s">
        <v>302</v>
      </c>
      <c r="H13" s="1">
        <f>ROUND(P13/(1-((R13+S13))/100)*Q13, 3)</f>
        <v>0</v>
      </c>
      <c r="I13" s="1">
        <v>1</v>
      </c>
      <c r="J13" s="1">
        <v>3</v>
      </c>
      <c r="K13" s="1">
        <v>1</v>
      </c>
      <c r="L13" s="1" t="s">
        <v>292</v>
      </c>
      <c r="M13" s="1">
        <v>1</v>
      </c>
      <c r="N13" s="1">
        <v>1</v>
      </c>
      <c r="O13" s="1" t="s">
        <v>292</v>
      </c>
      <c r="P13" s="1">
        <f>IFERROR(VLOOKUP(BC13, BA:BA:BB:BB, 2, 0),)</f>
        <v>0</v>
      </c>
      <c r="Q13" s="1">
        <f>IFERROR(VLOOKUP(BC13, BA:BA:BD:BD, 4, 0),1)</f>
        <v>1</v>
      </c>
      <c r="R13" s="1">
        <v>7</v>
      </c>
      <c r="S13" s="1">
        <v>9.25</v>
      </c>
      <c r="T13" s="1">
        <v>0</v>
      </c>
      <c r="V13" s="1" t="s">
        <v>11223</v>
      </c>
      <c r="W13" s="1">
        <v>100</v>
      </c>
      <c r="X13" s="1" t="s">
        <v>311</v>
      </c>
      <c r="Y13" s="1" t="s">
        <v>299</v>
      </c>
      <c r="Z13" s="1">
        <v>1</v>
      </c>
      <c r="AA13" s="1">
        <f>ROUND(H13*I13*Z13, 3)</f>
        <v>0</v>
      </c>
      <c r="AB13" s="1">
        <f>ROUND(VLOOKUP(X13,'Base de dados'!A:B, 2, 0)*AA13, 2)</f>
        <v>0</v>
      </c>
      <c r="AC13" s="1">
        <f>ROUND((AA13*(Destino!AG13/100))*(W13/100),2)</f>
        <v>0</v>
      </c>
      <c r="AD13" s="1">
        <f>ROUND(AA13*(Destino!AH13/100),2)</f>
        <v>0</v>
      </c>
      <c r="AF13" s="1">
        <f>ROUND((AA13+ AB13)*(J13/100),2)</f>
        <v>0</v>
      </c>
      <c r="AG13" s="1">
        <f>ROUND(AA13*T13,2)</f>
        <v>0</v>
      </c>
      <c r="AH13" s="1">
        <f>ROUND(AA13-(AC13+AD13)+AF13+AG13, 3)</f>
        <v>0</v>
      </c>
      <c r="AI13" s="1">
        <f>AH13*M13*K13</f>
        <v>0</v>
      </c>
      <c r="BB13" s="1">
        <f>AI13</f>
        <v>0</v>
      </c>
      <c r="BC13" s="1" t="s">
        <v>11351</v>
      </c>
      <c r="BD13" s="1">
        <f>N13</f>
        <v>1</v>
      </c>
    </row>
    <row r="14" spans="1:56" x14ac:dyDescent="0.25">
      <c r="A14" s="1">
        <v>600000194</v>
      </c>
      <c r="B14" s="1">
        <v>1100</v>
      </c>
      <c r="C14" s="1">
        <v>2200001473</v>
      </c>
      <c r="D14" s="1" t="s">
        <v>303</v>
      </c>
      <c r="E14" s="1">
        <f>IF(AND(B14&lt;&gt;1110,B14&lt;&gt;1210,B14&lt;&gt;1510,B14&lt;&gt;1710),B14,IF(B14=1110,"1100",IF(B14=1210,"1200",IF(B14=1510,"1500",IF(B14=1710,"1700","X")))))</f>
        <v>1100</v>
      </c>
      <c r="F14" s="1" t="s">
        <v>11198</v>
      </c>
      <c r="G14" s="1" t="s">
        <v>302</v>
      </c>
      <c r="H14" s="1">
        <f>ROUND(P14/(1-((R14+S14))/100)*Q14, 3)</f>
        <v>14.724</v>
      </c>
      <c r="I14" s="1">
        <v>0.45</v>
      </c>
      <c r="J14" s="1">
        <v>2</v>
      </c>
      <c r="K14" s="1">
        <v>1</v>
      </c>
      <c r="L14" s="1" t="s">
        <v>292</v>
      </c>
      <c r="M14" s="1">
        <v>1</v>
      </c>
      <c r="N14" s="1">
        <v>1</v>
      </c>
      <c r="O14" s="1" t="s">
        <v>296</v>
      </c>
      <c r="P14" s="1">
        <v>12.331</v>
      </c>
      <c r="Q14" s="1">
        <v>1</v>
      </c>
      <c r="R14" s="1">
        <v>7</v>
      </c>
      <c r="S14" s="1">
        <v>9.25</v>
      </c>
      <c r="T14" s="1">
        <v>0</v>
      </c>
      <c r="V14" s="1" t="s">
        <v>11224</v>
      </c>
      <c r="W14" s="1">
        <v>100</v>
      </c>
      <c r="X14" s="1" t="s">
        <v>19</v>
      </c>
      <c r="Y14" s="1" t="s">
        <v>299</v>
      </c>
      <c r="Z14" s="1">
        <v>1</v>
      </c>
      <c r="AA14" s="1">
        <f>ROUND(H14*I14*Z14, 3)</f>
        <v>6.6260000000000003</v>
      </c>
      <c r="AB14" s="1">
        <f>ROUND(VLOOKUP(X14,'Base de dados'!A:B, 2, 0)*AA14, 2)</f>
        <v>0.99</v>
      </c>
      <c r="AC14" s="1">
        <f>ROUND((AA14*(Destino!AG14/100))*(W14/100),2)</f>
        <v>0.46</v>
      </c>
      <c r="AD14" s="1">
        <f>ROUND(AA14*(Destino!AH14/100),2)</f>
        <v>0.61</v>
      </c>
      <c r="AF14" s="1">
        <f>ROUND((AA14+ AB14)*(J14/100),2)</f>
        <v>0.15</v>
      </c>
      <c r="AG14" s="1">
        <f>ROUND(AA14*T14,2)</f>
        <v>0</v>
      </c>
      <c r="AH14" s="1">
        <f>ROUND(AA14-(AC14+AD14)+AF14+AG14, 3)</f>
        <v>5.7060000000000004</v>
      </c>
      <c r="AI14" s="1">
        <f>AH14*M14*K14</f>
        <v>5.7060000000000004</v>
      </c>
      <c r="BA14" s="1" t="s">
        <v>11472</v>
      </c>
      <c r="BB14" s="1">
        <f>AI14</f>
        <v>5.7060000000000004</v>
      </c>
      <c r="BD14" s="1">
        <f>N14</f>
        <v>1</v>
      </c>
    </row>
    <row r="15" spans="1:56" x14ac:dyDescent="0.25">
      <c r="A15" s="1">
        <v>600000194</v>
      </c>
      <c r="B15" s="1">
        <v>1110</v>
      </c>
      <c r="C15" s="1">
        <v>2200001473</v>
      </c>
      <c r="D15" s="1" t="s">
        <v>303</v>
      </c>
      <c r="E15" s="1" t="str">
        <f>IF(AND(B15&lt;&gt;1110,B15&lt;&gt;1210,B15&lt;&gt;1510,B15&lt;&gt;1710),B15,IF(B15=1110,"1100",IF(B15=1210,"1200",IF(B15=1510,"1500",IF(B15=1710,"1700","X")))))</f>
        <v>1100</v>
      </c>
      <c r="F15" s="1" t="s">
        <v>447</v>
      </c>
      <c r="G15" s="1" t="s">
        <v>302</v>
      </c>
      <c r="H15" s="1">
        <f>ROUND(P15/(1-((R15+S15))/100)*Q15, 3)</f>
        <v>14.02</v>
      </c>
      <c r="I15" s="1">
        <v>0.45</v>
      </c>
      <c r="J15" s="1">
        <v>7</v>
      </c>
      <c r="K15" s="1">
        <v>1</v>
      </c>
      <c r="L15" s="1" t="s">
        <v>292</v>
      </c>
      <c r="M15" s="1">
        <v>1</v>
      </c>
      <c r="N15" s="1">
        <v>1</v>
      </c>
      <c r="O15" s="1" t="s">
        <v>296</v>
      </c>
      <c r="P15" s="1">
        <v>11.742000000000001</v>
      </c>
      <c r="Q15" s="1">
        <v>1</v>
      </c>
      <c r="R15" s="1">
        <v>7</v>
      </c>
      <c r="S15" s="1">
        <v>9.25</v>
      </c>
      <c r="T15" s="1">
        <v>0</v>
      </c>
      <c r="V15" s="1" t="s">
        <v>11224</v>
      </c>
      <c r="W15" s="1">
        <v>100</v>
      </c>
      <c r="X15" s="1" t="s">
        <v>20</v>
      </c>
      <c r="Y15" s="1" t="s">
        <v>299</v>
      </c>
      <c r="Z15" s="1">
        <v>1</v>
      </c>
      <c r="AA15" s="1">
        <f>ROUND(H15*I15*Z15, 3)</f>
        <v>6.3090000000000002</v>
      </c>
      <c r="AB15" s="1">
        <f>ROUND(VLOOKUP(X15,'Base de dados'!A:B, 2, 0)*AA15, 2)</f>
        <v>0.63</v>
      </c>
      <c r="AC15" s="1">
        <f>ROUND((AA15*(Destino!AG15/100))*(W15/100),2)</f>
        <v>0.44</v>
      </c>
      <c r="AD15" s="1">
        <f>ROUND(AA15*(Destino!AH15/100),2)</f>
        <v>0.57999999999999996</v>
      </c>
      <c r="AE15" s="1">
        <f>ROUND((((AA15+AB15)*1.5039)*(Destino!AI15/100))-AC15,2)</f>
        <v>1.33</v>
      </c>
      <c r="AF15" s="1">
        <f>ROUND((AA15+AB15+AE15)*(J15/100),2)</f>
        <v>0.57999999999999996</v>
      </c>
      <c r="AG15" s="1">
        <f>ROUND(AA15*T15,2)</f>
        <v>0</v>
      </c>
      <c r="AH15" s="1">
        <f>ROUND(AA15-AD15+AE15+AF15+AG15, 3)</f>
        <v>7.6390000000000002</v>
      </c>
      <c r="AI15" s="1">
        <f>AH15*M15*K15</f>
        <v>7.6390000000000002</v>
      </c>
      <c r="BA15" s="1" t="s">
        <v>11473</v>
      </c>
      <c r="BB15" s="1">
        <f>AI15</f>
        <v>7.6390000000000002</v>
      </c>
      <c r="BD15" s="1">
        <f>N15</f>
        <v>1</v>
      </c>
    </row>
    <row r="16" spans="1:56" x14ac:dyDescent="0.25">
      <c r="A16" s="1">
        <v>600000204</v>
      </c>
      <c r="B16" s="1">
        <v>1000</v>
      </c>
      <c r="C16" s="1">
        <v>2200001473</v>
      </c>
      <c r="D16" s="1" t="s">
        <v>303</v>
      </c>
      <c r="E16" s="1">
        <f>IF(AND(B16&lt;&gt;1110,B16&lt;&gt;1210,B16&lt;&gt;1510,B16&lt;&gt;1710),B16,IF(B16=1110,"1100",IF(B16=1210,"1200",IF(B16=1510,"1500",IF(B16=1710,"1700","X")))))</f>
        <v>1000</v>
      </c>
      <c r="F16" s="1" t="s">
        <v>11198</v>
      </c>
      <c r="G16" s="1" t="s">
        <v>302</v>
      </c>
      <c r="H16" s="1">
        <f>ROUND(P16/(1-((R16+S16))/100)*Q16, 3)</f>
        <v>16.102</v>
      </c>
      <c r="I16" s="1">
        <v>0.45</v>
      </c>
      <c r="J16" s="1">
        <v>1.5</v>
      </c>
      <c r="K16" s="1">
        <v>1</v>
      </c>
      <c r="L16" s="1" t="s">
        <v>292</v>
      </c>
      <c r="M16" s="1">
        <v>1</v>
      </c>
      <c r="N16" s="1">
        <v>1</v>
      </c>
      <c r="O16" s="1" t="s">
        <v>296</v>
      </c>
      <c r="P16" s="1">
        <v>12.68</v>
      </c>
      <c r="Q16" s="1">
        <v>1</v>
      </c>
      <c r="R16" s="1">
        <v>12</v>
      </c>
      <c r="S16" s="1">
        <v>9.25</v>
      </c>
      <c r="T16" s="1">
        <v>0</v>
      </c>
      <c r="V16" s="1" t="s">
        <v>11223</v>
      </c>
      <c r="W16" s="1">
        <v>100</v>
      </c>
      <c r="X16" s="1" t="s">
        <v>311</v>
      </c>
      <c r="Y16" s="1" t="s">
        <v>299</v>
      </c>
      <c r="Z16" s="1">
        <v>1</v>
      </c>
      <c r="AA16" s="1">
        <f>ROUND(H16*I16*Z16, 3)</f>
        <v>7.2460000000000004</v>
      </c>
      <c r="AB16" s="1">
        <f>ROUND(VLOOKUP(X16,'Base de dados'!A:B, 2, 0)*AA16, 2)</f>
        <v>0.72</v>
      </c>
      <c r="AC16" s="1">
        <f>ROUND((AA16*(Destino!AG16/100))*(W16/100),2)</f>
        <v>0.87</v>
      </c>
      <c r="AD16" s="1">
        <f>ROUND(AA16*(Destino!AH16/100),2)</f>
        <v>0.67</v>
      </c>
      <c r="AF16" s="1">
        <f>ROUND((AA16+ AB16)*(J16/100),2)</f>
        <v>0.12</v>
      </c>
      <c r="AG16" s="1">
        <f>ROUND(AA16*T16,2)</f>
        <v>0</v>
      </c>
      <c r="AH16" s="1">
        <f>ROUND(AA16-(AC16+AD16)+AF16+AG16, 3)</f>
        <v>5.8259999999999996</v>
      </c>
      <c r="AI16" s="1">
        <f>AH16*M16*K16</f>
        <v>5.8259999999999996</v>
      </c>
      <c r="BA16" s="1" t="s">
        <v>11474</v>
      </c>
      <c r="BB16" s="1">
        <f>AI16</f>
        <v>5.8259999999999996</v>
      </c>
      <c r="BD16" s="1">
        <f>N16</f>
        <v>1</v>
      </c>
    </row>
    <row r="17" spans="1:56" x14ac:dyDescent="0.25">
      <c r="A17" s="1">
        <v>600000204</v>
      </c>
      <c r="B17" s="1">
        <v>1100</v>
      </c>
      <c r="C17" s="1">
        <v>2200001421</v>
      </c>
      <c r="D17" s="1" t="s">
        <v>303</v>
      </c>
      <c r="E17" s="1">
        <f>IF(AND(B17&lt;&gt;1110,B17&lt;&gt;1210,B17&lt;&gt;1510,B17&lt;&gt;1710),B17,IF(B17=1110,"1100",IF(B17=1210,"1200",IF(B17=1510,"1500",IF(B17=1710,"1700","X")))))</f>
        <v>1100</v>
      </c>
      <c r="F17" s="1" t="s">
        <v>11198</v>
      </c>
      <c r="G17" s="1" t="s">
        <v>302</v>
      </c>
      <c r="H17" s="1">
        <f>ROUND(P17/(1-((R17+S17))/100)*Q17, 3)</f>
        <v>6.9660000000000002</v>
      </c>
      <c r="I17" s="1">
        <v>1</v>
      </c>
      <c r="J17" s="1">
        <v>3</v>
      </c>
      <c r="K17" s="1">
        <v>1</v>
      </c>
      <c r="L17" s="1" t="s">
        <v>292</v>
      </c>
      <c r="M17" s="1">
        <v>1</v>
      </c>
      <c r="N17" s="1">
        <v>1</v>
      </c>
      <c r="O17" s="1" t="s">
        <v>292</v>
      </c>
      <c r="P17" s="1">
        <f>IFERROR(VLOOKUP(BC17, BA:BA:BB:BB, 2, 0),)</f>
        <v>5.8339999999999996</v>
      </c>
      <c r="Q17" s="1">
        <f>IFERROR(VLOOKUP(BC17, BA:BA:BD:BD, 4, 0),1)</f>
        <v>1</v>
      </c>
      <c r="R17" s="1">
        <v>7</v>
      </c>
      <c r="S17" s="1">
        <v>9.25</v>
      </c>
      <c r="T17" s="1">
        <v>0</v>
      </c>
      <c r="V17" s="1" t="s">
        <v>11223</v>
      </c>
      <c r="W17" s="1">
        <v>100</v>
      </c>
      <c r="X17" s="1" t="s">
        <v>311</v>
      </c>
      <c r="Y17" s="1" t="s">
        <v>299</v>
      </c>
      <c r="Z17" s="1">
        <v>1</v>
      </c>
      <c r="AA17" s="1">
        <f>ROUND(H17*I17*Z17, 3)</f>
        <v>6.9660000000000002</v>
      </c>
      <c r="AB17" s="1">
        <f>ROUND(VLOOKUP(X17,'Base de dados'!A:B, 2, 0)*AA17, 2)</f>
        <v>0.7</v>
      </c>
      <c r="AC17" s="1">
        <f>ROUND((AA17*(Destino!AG17/100))*(W17/100),2)</f>
        <v>0.49</v>
      </c>
      <c r="AD17" s="1">
        <f>ROUND(AA17*(Destino!AH17/100),2)</f>
        <v>0.64</v>
      </c>
      <c r="AF17" s="1">
        <f>ROUND((AA17+ AB17)*(J17/100),2)</f>
        <v>0.23</v>
      </c>
      <c r="AG17" s="1">
        <f>ROUND(AA17*T17,2)</f>
        <v>0</v>
      </c>
      <c r="AH17" s="1">
        <f>ROUND(AA17-(AC17+AD17)+AF17+AG17, 3)</f>
        <v>6.0659999999999998</v>
      </c>
      <c r="AI17" s="1">
        <f>AH17*M17*K17</f>
        <v>6.0659999999999998</v>
      </c>
      <c r="BB17" s="1">
        <f>AI17</f>
        <v>6.0659999999999998</v>
      </c>
      <c r="BC17" s="1" t="s">
        <v>11352</v>
      </c>
      <c r="BD17" s="1">
        <f>N17</f>
        <v>1</v>
      </c>
    </row>
    <row r="18" spans="1:56" x14ac:dyDescent="0.25">
      <c r="A18" s="1">
        <v>600000204</v>
      </c>
      <c r="B18" s="1">
        <v>1100</v>
      </c>
      <c r="C18" s="1">
        <v>2200001473</v>
      </c>
      <c r="D18" s="1" t="s">
        <v>303</v>
      </c>
      <c r="E18" s="1">
        <f>IF(AND(B18&lt;&gt;1110,B18&lt;&gt;1210,B18&lt;&gt;1510,B18&lt;&gt;1710),B18,IF(B18=1110,"1100",IF(B18=1210,"1200",IF(B18=1510,"1500",IF(B18=1710,"1700","X")))))</f>
        <v>1100</v>
      </c>
      <c r="F18" s="1" t="s">
        <v>11198</v>
      </c>
      <c r="G18" s="1" t="s">
        <v>302</v>
      </c>
      <c r="H18" s="1">
        <f>ROUND(P18/(1-((R18+S18))/100)*Q18, 3)</f>
        <v>15.14</v>
      </c>
      <c r="I18" s="1">
        <v>0.45</v>
      </c>
      <c r="J18" s="1">
        <v>2</v>
      </c>
      <c r="K18" s="1">
        <v>1</v>
      </c>
      <c r="L18" s="1" t="s">
        <v>292</v>
      </c>
      <c r="M18" s="1">
        <v>1</v>
      </c>
      <c r="N18" s="1">
        <v>1</v>
      </c>
      <c r="O18" s="1" t="s">
        <v>296</v>
      </c>
      <c r="P18" s="1">
        <v>12.68</v>
      </c>
      <c r="Q18" s="1">
        <v>1</v>
      </c>
      <c r="R18" s="1">
        <v>7</v>
      </c>
      <c r="S18" s="1">
        <v>9.25</v>
      </c>
      <c r="T18" s="1">
        <v>0</v>
      </c>
      <c r="V18" s="1" t="s">
        <v>11223</v>
      </c>
      <c r="W18" s="1">
        <v>100</v>
      </c>
      <c r="X18" s="1" t="s">
        <v>311</v>
      </c>
      <c r="Y18" s="1" t="s">
        <v>299</v>
      </c>
      <c r="Z18" s="1">
        <v>1</v>
      </c>
      <c r="AA18" s="1">
        <f>ROUND(H18*I18*Z18, 3)</f>
        <v>6.8129999999999997</v>
      </c>
      <c r="AB18" s="1">
        <f>ROUND(VLOOKUP(X18,'Base de dados'!A:B, 2, 0)*AA18, 2)</f>
        <v>0.68</v>
      </c>
      <c r="AC18" s="1">
        <f>ROUND((AA18*(Destino!AG18/100))*(W18/100),2)</f>
        <v>0.48</v>
      </c>
      <c r="AD18" s="1">
        <f>ROUND(AA18*(Destino!AH18/100),2)</f>
        <v>0.63</v>
      </c>
      <c r="AF18" s="1">
        <f>ROUND((AA18+ AB18)*(J18/100),2)</f>
        <v>0.15</v>
      </c>
      <c r="AG18" s="1">
        <f>ROUND(AA18*T18,2)</f>
        <v>0</v>
      </c>
      <c r="AH18" s="1">
        <f>ROUND(AA18-(AC18+AD18)+AF18+AG18, 3)</f>
        <v>5.8529999999999998</v>
      </c>
      <c r="AI18" s="1">
        <f>AH18*M18*K18</f>
        <v>5.8529999999999998</v>
      </c>
      <c r="BA18" s="1" t="s">
        <v>11475</v>
      </c>
      <c r="BB18" s="1">
        <f>AI18</f>
        <v>5.8529999999999998</v>
      </c>
      <c r="BD18" s="1">
        <f>N18</f>
        <v>1</v>
      </c>
    </row>
    <row r="19" spans="1:56" x14ac:dyDescent="0.25">
      <c r="A19" s="1">
        <v>600000204</v>
      </c>
      <c r="B19" s="1">
        <v>1110</v>
      </c>
      <c r="C19" s="1">
        <v>2200001473</v>
      </c>
      <c r="D19" s="1" t="s">
        <v>303</v>
      </c>
      <c r="E19" s="1" t="str">
        <f>IF(AND(B19&lt;&gt;1110,B19&lt;&gt;1210,B19&lt;&gt;1510,B19&lt;&gt;1710),B19,IF(B19=1110,"1100",IF(B19=1210,"1200",IF(B19=1510,"1500",IF(B19=1710,"1700","X")))))</f>
        <v>1100</v>
      </c>
      <c r="F19" s="1" t="s">
        <v>447</v>
      </c>
      <c r="G19" s="1" t="s">
        <v>302</v>
      </c>
      <c r="H19" s="1">
        <f>ROUND(P19/(1-((R19+S19))/100)*Q19, 3)</f>
        <v>15.14</v>
      </c>
      <c r="I19" s="1">
        <v>0.45</v>
      </c>
      <c r="J19" s="1">
        <v>4</v>
      </c>
      <c r="K19" s="1">
        <v>1</v>
      </c>
      <c r="L19" s="1" t="s">
        <v>292</v>
      </c>
      <c r="M19" s="1">
        <v>1</v>
      </c>
      <c r="N19" s="1">
        <v>0.751973</v>
      </c>
      <c r="O19" s="1" t="s">
        <v>296</v>
      </c>
      <c r="P19" s="1">
        <v>12.68</v>
      </c>
      <c r="Q19" s="1">
        <v>1</v>
      </c>
      <c r="R19" s="1">
        <v>7</v>
      </c>
      <c r="S19" s="1">
        <v>9.25</v>
      </c>
      <c r="T19" s="1">
        <v>0</v>
      </c>
      <c r="V19" s="1" t="s">
        <v>11223</v>
      </c>
      <c r="W19" s="1">
        <v>100</v>
      </c>
      <c r="X19" s="1" t="s">
        <v>311</v>
      </c>
      <c r="Y19" s="1" t="s">
        <v>299</v>
      </c>
      <c r="Z19" s="1">
        <v>1</v>
      </c>
      <c r="AA19" s="1">
        <f>ROUND(H19*I19*Z19, 3)</f>
        <v>6.8129999999999997</v>
      </c>
      <c r="AB19" s="1">
        <f>ROUND(VLOOKUP(X19,'Base de dados'!A:B, 2, 0)*AA19, 2)</f>
        <v>0.68</v>
      </c>
      <c r="AC19" s="1">
        <f>ROUND((AA19*(Destino!AG19/100))*(W19/100),2)</f>
        <v>0.48</v>
      </c>
      <c r="AD19" s="1">
        <f>ROUND(AA19*(Destino!AH19/100),2)</f>
        <v>0.63</v>
      </c>
      <c r="AE19" s="1">
        <f>ROUND((((AA19+AB19)*1.5039)*(Destino!AI19/100))-AC19,2)</f>
        <v>1.44</v>
      </c>
      <c r="AF19" s="1">
        <f>ROUND((AA19+AB19+AE19)*(J19/100),2)</f>
        <v>0.36</v>
      </c>
      <c r="AG19" s="1">
        <f>ROUND(AA19*T19,2)</f>
        <v>0</v>
      </c>
      <c r="AH19" s="1">
        <f>ROUND(AA19-AD19+AE19+AF19+AG19, 3)</f>
        <v>7.9829999999999997</v>
      </c>
      <c r="AI19" s="1">
        <f>AH19*M19*K19</f>
        <v>7.9829999999999997</v>
      </c>
      <c r="BA19" s="1" t="s">
        <v>11476</v>
      </c>
      <c r="BB19" s="1">
        <f>AI19</f>
        <v>7.9829999999999997</v>
      </c>
      <c r="BD19" s="1">
        <f>N19</f>
        <v>0.751973</v>
      </c>
    </row>
    <row r="20" spans="1:56" x14ac:dyDescent="0.25">
      <c r="A20" s="1">
        <v>600000204</v>
      </c>
      <c r="B20" s="1">
        <v>1400</v>
      </c>
      <c r="C20" s="1">
        <v>2200001473</v>
      </c>
      <c r="D20" s="1" t="s">
        <v>303</v>
      </c>
      <c r="E20" s="1">
        <f>IF(AND(B20&lt;&gt;1110,B20&lt;&gt;1210,B20&lt;&gt;1510,B20&lt;&gt;1710),B20,IF(B20=1110,"1100",IF(B20=1210,"1200",IF(B20=1510,"1500",IF(B20=1710,"1700","X")))))</f>
        <v>1400</v>
      </c>
      <c r="F20" s="1" t="s">
        <v>11198</v>
      </c>
      <c r="G20" s="1" t="s">
        <v>302</v>
      </c>
      <c r="H20" s="1">
        <f>ROUND(P20/(1-((R20+S20))/100)*Q20, 3)</f>
        <v>17.43</v>
      </c>
      <c r="I20" s="1">
        <v>0.45</v>
      </c>
      <c r="J20" s="1">
        <v>1.5</v>
      </c>
      <c r="K20" s="1">
        <v>1</v>
      </c>
      <c r="L20" s="1" t="s">
        <v>292</v>
      </c>
      <c r="M20" s="1">
        <v>1</v>
      </c>
      <c r="N20" s="1">
        <v>1</v>
      </c>
      <c r="O20" s="1" t="s">
        <v>296</v>
      </c>
      <c r="P20" s="1">
        <v>12.68</v>
      </c>
      <c r="Q20" s="1">
        <v>1</v>
      </c>
      <c r="R20" s="1">
        <v>18</v>
      </c>
      <c r="S20" s="1">
        <v>9.25</v>
      </c>
      <c r="T20" s="1">
        <v>0</v>
      </c>
      <c r="V20" s="1" t="s">
        <v>11223</v>
      </c>
      <c r="W20" s="1">
        <v>100</v>
      </c>
      <c r="X20" s="1" t="s">
        <v>311</v>
      </c>
      <c r="Y20" s="1" t="s">
        <v>299</v>
      </c>
      <c r="Z20" s="1">
        <v>1</v>
      </c>
      <c r="AA20" s="1">
        <f>ROUND(H20*I20*Z20, 3)</f>
        <v>7.8440000000000003</v>
      </c>
      <c r="AB20" s="1">
        <f>ROUND(VLOOKUP(X20,'Base de dados'!A:B, 2, 0)*AA20, 2)</f>
        <v>0.78</v>
      </c>
      <c r="AC20" s="1">
        <f>ROUND((AA20*(Destino!AG20/100))*(W20/100),2)</f>
        <v>1.41</v>
      </c>
      <c r="AD20" s="1">
        <f>ROUND(AA20*(Destino!AH20/100),2)</f>
        <v>0.73</v>
      </c>
      <c r="AF20" s="1">
        <f>ROUND((AA20+ AB20)*(J20/100),2)</f>
        <v>0.13</v>
      </c>
      <c r="AG20" s="1">
        <f>ROUND(AA20*T20,2)</f>
        <v>0</v>
      </c>
      <c r="AH20" s="1">
        <f>ROUND(AA20-(AC20+AD20)+AF20+AG20, 3)</f>
        <v>5.8339999999999996</v>
      </c>
      <c r="AI20" s="1">
        <f>AH20*M20*K20</f>
        <v>5.8339999999999996</v>
      </c>
      <c r="BA20" s="1" t="s">
        <v>11352</v>
      </c>
      <c r="BB20" s="1">
        <f>AI20</f>
        <v>5.8339999999999996</v>
      </c>
      <c r="BD20" s="1">
        <f>N20</f>
        <v>1</v>
      </c>
    </row>
    <row r="21" spans="1:56" x14ac:dyDescent="0.25">
      <c r="A21" s="1">
        <v>600000205</v>
      </c>
      <c r="B21" s="1">
        <v>1000</v>
      </c>
      <c r="C21" s="1">
        <v>2200001473</v>
      </c>
      <c r="D21" s="1" t="s">
        <v>303</v>
      </c>
      <c r="E21" s="1">
        <f>IF(AND(B21&lt;&gt;1110,B21&lt;&gt;1210,B21&lt;&gt;1510,B21&lt;&gt;1710),B21,IF(B21=1110,"1100",IF(B21=1210,"1200",IF(B21=1510,"1500",IF(B21=1710,"1700","X")))))</f>
        <v>1000</v>
      </c>
      <c r="F21" s="1" t="s">
        <v>11198</v>
      </c>
      <c r="G21" s="1" t="s">
        <v>302</v>
      </c>
      <c r="H21" s="1">
        <f>ROUND(P21/(1-((R21+S21))/100)*Q21, 3)</f>
        <v>16.956</v>
      </c>
      <c r="I21" s="1">
        <v>0.45</v>
      </c>
      <c r="J21" s="1">
        <v>1.5</v>
      </c>
      <c r="K21" s="1">
        <v>1</v>
      </c>
      <c r="L21" s="1" t="s">
        <v>292</v>
      </c>
      <c r="M21" s="1">
        <v>1</v>
      </c>
      <c r="N21" s="1">
        <v>1</v>
      </c>
      <c r="O21" s="1" t="s">
        <v>296</v>
      </c>
      <c r="P21" s="1">
        <v>13.353</v>
      </c>
      <c r="Q21" s="1">
        <v>1</v>
      </c>
      <c r="R21" s="1">
        <v>12</v>
      </c>
      <c r="S21" s="1">
        <v>9.25</v>
      </c>
      <c r="T21" s="1">
        <v>0</v>
      </c>
      <c r="V21" s="1" t="s">
        <v>11223</v>
      </c>
      <c r="W21" s="1">
        <v>100</v>
      </c>
      <c r="X21" s="1" t="s">
        <v>311</v>
      </c>
      <c r="Y21" s="1" t="s">
        <v>299</v>
      </c>
      <c r="Z21" s="1">
        <v>1</v>
      </c>
      <c r="AA21" s="1">
        <f>ROUND(H21*I21*Z21, 3)</f>
        <v>7.63</v>
      </c>
      <c r="AB21" s="1">
        <f>ROUND(VLOOKUP(X21,'Base de dados'!A:B, 2, 0)*AA21, 2)</f>
        <v>0.76</v>
      </c>
      <c r="AC21" s="1">
        <f>ROUND((AA21*(Destino!AG21/100))*(W21/100),2)</f>
        <v>0.92</v>
      </c>
      <c r="AD21" s="1">
        <f>ROUND(AA21*(Destino!AH21/100),2)</f>
        <v>0.71</v>
      </c>
      <c r="AF21" s="1">
        <f>ROUND((AA21+ AB21)*(J21/100),2)</f>
        <v>0.13</v>
      </c>
      <c r="AG21" s="1">
        <f>ROUND(AA21*T21,2)</f>
        <v>0</v>
      </c>
      <c r="AH21" s="1">
        <f>ROUND(AA21-(AC21+AD21)+AF21+AG21, 3)</f>
        <v>6.13</v>
      </c>
      <c r="AI21" s="1">
        <f>AH21*M21*K21</f>
        <v>6.13</v>
      </c>
      <c r="BA21" s="1" t="s">
        <v>11477</v>
      </c>
      <c r="BB21" s="1">
        <f>AI21</f>
        <v>6.13</v>
      </c>
      <c r="BD21" s="1">
        <f>N21</f>
        <v>1</v>
      </c>
    </row>
    <row r="22" spans="1:56" x14ac:dyDescent="0.25">
      <c r="A22" s="1">
        <v>600000205</v>
      </c>
      <c r="B22" s="1">
        <v>1100</v>
      </c>
      <c r="C22" s="1">
        <v>2200001473</v>
      </c>
      <c r="D22" s="1" t="s">
        <v>303</v>
      </c>
      <c r="E22" s="1">
        <f>IF(AND(B22&lt;&gt;1110,B22&lt;&gt;1210,B22&lt;&gt;1510,B22&lt;&gt;1710),B22,IF(B22=1110,"1100",IF(B22=1210,"1200",IF(B22=1510,"1500",IF(B22=1710,"1700","X")))))</f>
        <v>1100</v>
      </c>
      <c r="F22" s="1" t="s">
        <v>11198</v>
      </c>
      <c r="G22" s="1" t="s">
        <v>302</v>
      </c>
      <c r="H22" s="1">
        <f>ROUND(P22/(1-((R22+S22))/100)*Q22, 3)</f>
        <v>15.94</v>
      </c>
      <c r="I22" s="1">
        <v>0.45</v>
      </c>
      <c r="J22" s="1">
        <v>2</v>
      </c>
      <c r="K22" s="1">
        <v>1</v>
      </c>
      <c r="L22" s="1" t="s">
        <v>292</v>
      </c>
      <c r="M22" s="1">
        <v>1</v>
      </c>
      <c r="N22" s="1">
        <v>1</v>
      </c>
      <c r="O22" s="1" t="s">
        <v>296</v>
      </c>
      <c r="P22" s="1">
        <v>13.35</v>
      </c>
      <c r="Q22" s="1">
        <v>1</v>
      </c>
      <c r="R22" s="1">
        <v>7</v>
      </c>
      <c r="S22" s="1">
        <v>9.25</v>
      </c>
      <c r="T22" s="1">
        <v>0</v>
      </c>
      <c r="V22" s="1" t="s">
        <v>11223</v>
      </c>
      <c r="W22" s="1">
        <v>100</v>
      </c>
      <c r="X22" s="1" t="s">
        <v>311</v>
      </c>
      <c r="Y22" s="1" t="s">
        <v>299</v>
      </c>
      <c r="Z22" s="1">
        <v>1</v>
      </c>
      <c r="AA22" s="1">
        <f>ROUND(H22*I22*Z22, 3)</f>
        <v>7.173</v>
      </c>
      <c r="AB22" s="1">
        <f>ROUND(VLOOKUP(X22,'Base de dados'!A:B, 2, 0)*AA22, 2)</f>
        <v>0.72</v>
      </c>
      <c r="AC22" s="1">
        <f>ROUND((AA22*(Destino!AG22/100))*(W22/100),2)</f>
        <v>0.5</v>
      </c>
      <c r="AD22" s="1">
        <f>ROUND(AA22*(Destino!AH22/100),2)</f>
        <v>0.66</v>
      </c>
      <c r="AF22" s="1">
        <f>ROUND((AA22+ AB22)*(J22/100),2)</f>
        <v>0.16</v>
      </c>
      <c r="AG22" s="1">
        <f>ROUND(AA22*T22,2)</f>
        <v>0</v>
      </c>
      <c r="AH22" s="1">
        <f>ROUND(AA22-(AC22+AD22)+AF22+AG22, 3)</f>
        <v>6.173</v>
      </c>
      <c r="AI22" s="1">
        <f>AH22*M22*K22</f>
        <v>6.173</v>
      </c>
      <c r="BA22" s="1" t="s">
        <v>11478</v>
      </c>
      <c r="BB22" s="1">
        <f>AI22</f>
        <v>6.173</v>
      </c>
      <c r="BD22" s="1">
        <f>N22</f>
        <v>1</v>
      </c>
    </row>
    <row r="23" spans="1:56" x14ac:dyDescent="0.25">
      <c r="A23" s="1">
        <v>600000205</v>
      </c>
      <c r="B23" s="1">
        <v>1110</v>
      </c>
      <c r="C23" s="1">
        <v>2200001473</v>
      </c>
      <c r="D23" s="1" t="s">
        <v>303</v>
      </c>
      <c r="E23" s="1" t="str">
        <f>IF(AND(B23&lt;&gt;1110,B23&lt;&gt;1210,B23&lt;&gt;1510,B23&lt;&gt;1710),B23,IF(B23=1110,"1100",IF(B23=1210,"1200",IF(B23=1510,"1500",IF(B23=1710,"1700","X")))))</f>
        <v>1100</v>
      </c>
      <c r="F23" s="1" t="s">
        <v>447</v>
      </c>
      <c r="G23" s="1" t="s">
        <v>302</v>
      </c>
      <c r="H23" s="1">
        <f>ROUND(P23/(1-((R23+S23))/100)*Q23, 3)</f>
        <v>15.94</v>
      </c>
      <c r="I23" s="1">
        <v>0.45</v>
      </c>
      <c r="J23" s="1">
        <v>4</v>
      </c>
      <c r="K23" s="1">
        <v>1</v>
      </c>
      <c r="L23" s="1" t="s">
        <v>292</v>
      </c>
      <c r="M23" s="1">
        <v>1</v>
      </c>
      <c r="N23" s="1">
        <v>0.75365899999999997</v>
      </c>
      <c r="O23" s="1" t="s">
        <v>296</v>
      </c>
      <c r="P23" s="1">
        <v>13.35</v>
      </c>
      <c r="Q23" s="1">
        <v>1</v>
      </c>
      <c r="R23" s="1">
        <v>7</v>
      </c>
      <c r="S23" s="1">
        <v>9.25</v>
      </c>
      <c r="T23" s="1">
        <v>0</v>
      </c>
      <c r="V23" s="1" t="s">
        <v>11223</v>
      </c>
      <c r="W23" s="1">
        <v>100</v>
      </c>
      <c r="X23" s="1" t="s">
        <v>311</v>
      </c>
      <c r="Y23" s="1" t="s">
        <v>299</v>
      </c>
      <c r="Z23" s="1">
        <v>1</v>
      </c>
      <c r="AA23" s="1">
        <f>ROUND(H23*I23*Z23, 3)</f>
        <v>7.173</v>
      </c>
      <c r="AB23" s="1">
        <f>ROUND(VLOOKUP(X23,'Base de dados'!A:B, 2, 0)*AA23, 2)</f>
        <v>0.72</v>
      </c>
      <c r="AC23" s="1">
        <f>ROUND((AA23*(Destino!AG23/100))*(W23/100),2)</f>
        <v>0.5</v>
      </c>
      <c r="AD23" s="1">
        <f>ROUND(AA23*(Destino!AH23/100),2)</f>
        <v>0.66</v>
      </c>
      <c r="AE23" s="1">
        <f>ROUND((((AA23+AB23)*1.5039)*(Destino!AI23/100))-AC23,2)</f>
        <v>1.52</v>
      </c>
      <c r="AF23" s="1">
        <f>ROUND((AA23+AB23+AE23)*(J23/100),2)</f>
        <v>0.38</v>
      </c>
      <c r="AG23" s="1">
        <f>ROUND(AA23*T23,2)</f>
        <v>0</v>
      </c>
      <c r="AH23" s="1">
        <f>ROUND(AA23-AD23+AE23+AF23+AG23, 3)</f>
        <v>8.4130000000000003</v>
      </c>
      <c r="AI23" s="1">
        <f>AH23*M23*K23</f>
        <v>8.4130000000000003</v>
      </c>
      <c r="BA23" s="1" t="s">
        <v>11479</v>
      </c>
      <c r="BB23" s="1">
        <f>AI23</f>
        <v>8.4130000000000003</v>
      </c>
      <c r="BD23" s="1">
        <f>N23</f>
        <v>0.75365899999999997</v>
      </c>
    </row>
    <row r="24" spans="1:56" x14ac:dyDescent="0.25">
      <c r="A24" s="1">
        <v>600000205</v>
      </c>
      <c r="B24" s="1">
        <v>1400</v>
      </c>
      <c r="C24" s="1">
        <v>2200001473</v>
      </c>
      <c r="D24" s="1" t="s">
        <v>303</v>
      </c>
      <c r="E24" s="1">
        <f>IF(AND(B24&lt;&gt;1110,B24&lt;&gt;1210,B24&lt;&gt;1510,B24&lt;&gt;1710),B24,IF(B24=1110,"1100",IF(B24=1210,"1200",IF(B24=1510,"1500",IF(B24=1710,"1700","X")))))</f>
        <v>1400</v>
      </c>
      <c r="F24" s="1" t="s">
        <v>11198</v>
      </c>
      <c r="G24" s="1" t="s">
        <v>302</v>
      </c>
      <c r="H24" s="1">
        <f>ROUND(P24/(1-((R24+S24))/100)*Q24, 3)</f>
        <v>18.350999999999999</v>
      </c>
      <c r="I24" s="1">
        <v>0.45</v>
      </c>
      <c r="J24" s="1">
        <v>1.5</v>
      </c>
      <c r="K24" s="1">
        <v>1</v>
      </c>
      <c r="L24" s="1" t="s">
        <v>292</v>
      </c>
      <c r="M24" s="1">
        <v>1</v>
      </c>
      <c r="N24" s="1">
        <v>1</v>
      </c>
      <c r="O24" s="1" t="s">
        <v>296</v>
      </c>
      <c r="P24" s="1">
        <v>13.35</v>
      </c>
      <c r="Q24" s="1">
        <v>1</v>
      </c>
      <c r="R24" s="1">
        <v>18</v>
      </c>
      <c r="S24" s="1">
        <v>9.25</v>
      </c>
      <c r="T24" s="1">
        <v>0</v>
      </c>
      <c r="V24" s="1" t="s">
        <v>11223</v>
      </c>
      <c r="W24" s="1">
        <v>100</v>
      </c>
      <c r="X24" s="1" t="s">
        <v>311</v>
      </c>
      <c r="Y24" s="1" t="s">
        <v>299</v>
      </c>
      <c r="Z24" s="1">
        <v>1</v>
      </c>
      <c r="AA24" s="1">
        <f>ROUND(H24*I24*Z24, 3)</f>
        <v>8.2579999999999991</v>
      </c>
      <c r="AB24" s="1">
        <f>ROUND(VLOOKUP(X24,'Base de dados'!A:B, 2, 0)*AA24, 2)</f>
        <v>0.83</v>
      </c>
      <c r="AC24" s="1">
        <f>ROUND((AA24*(Destino!AG24/100))*(W24/100),2)</f>
        <v>1.49</v>
      </c>
      <c r="AD24" s="1">
        <f>ROUND(AA24*(Destino!AH24/100),2)</f>
        <v>0.76</v>
      </c>
      <c r="AF24" s="1">
        <f>ROUND((AA24+ AB24)*(J24/100),2)</f>
        <v>0.14000000000000001</v>
      </c>
      <c r="AG24" s="1">
        <f>ROUND(AA24*T24,2)</f>
        <v>0</v>
      </c>
      <c r="AH24" s="1">
        <f>ROUND(AA24-(AC24+AD24)+AF24+AG24, 3)</f>
        <v>6.1479999999999997</v>
      </c>
      <c r="AI24" s="1">
        <f>AH24*M24*K24</f>
        <v>6.1479999999999997</v>
      </c>
      <c r="BA24" s="1" t="s">
        <v>11353</v>
      </c>
      <c r="BB24" s="1">
        <f>AI24</f>
        <v>6.1479999999999997</v>
      </c>
      <c r="BD24" s="1">
        <f>N24</f>
        <v>1</v>
      </c>
    </row>
    <row r="25" spans="1:56" x14ac:dyDescent="0.25">
      <c r="A25" s="1">
        <v>600000205</v>
      </c>
      <c r="B25" s="1">
        <v>1700</v>
      </c>
      <c r="C25" s="1">
        <v>2200001421</v>
      </c>
      <c r="D25" s="1" t="s">
        <v>303</v>
      </c>
      <c r="E25" s="1">
        <f>IF(AND(B25&lt;&gt;1110,B25&lt;&gt;1210,B25&lt;&gt;1510,B25&lt;&gt;1710),B25,IF(B25=1110,"1100",IF(B25=1210,"1200",IF(B25=1510,"1500",IF(B25=1710,"1700","X")))))</f>
        <v>1700</v>
      </c>
      <c r="F25" s="1" t="s">
        <v>11238</v>
      </c>
      <c r="G25" s="1" t="s">
        <v>302</v>
      </c>
      <c r="H25" s="1">
        <f>ROUND(P25/(1-((R25+S25))/100)*Q25, 3)</f>
        <v>7.3410000000000002</v>
      </c>
      <c r="I25" s="1">
        <v>0.25</v>
      </c>
      <c r="J25" s="1">
        <v>3</v>
      </c>
      <c r="K25" s="1">
        <v>1</v>
      </c>
      <c r="L25" s="1" t="s">
        <v>292</v>
      </c>
      <c r="M25" s="1">
        <v>4</v>
      </c>
      <c r="N25" s="1">
        <v>1</v>
      </c>
      <c r="O25" s="1" t="s">
        <v>296</v>
      </c>
      <c r="P25" s="1">
        <f>IFERROR(VLOOKUP(BC25, BA:BA:BB:BB, 2, 0),)</f>
        <v>6.1479999999999997</v>
      </c>
      <c r="Q25" s="1">
        <f>IFERROR(VLOOKUP(BC25, BA:BA:BD:BD, 4, 0),1)</f>
        <v>1</v>
      </c>
      <c r="R25" s="1">
        <v>7</v>
      </c>
      <c r="S25" s="1">
        <v>9.25</v>
      </c>
      <c r="T25" s="1">
        <v>0</v>
      </c>
      <c r="V25" s="1" t="s">
        <v>11223</v>
      </c>
      <c r="W25" s="1">
        <v>100</v>
      </c>
      <c r="X25" s="1" t="s">
        <v>311</v>
      </c>
      <c r="Y25" s="1" t="s">
        <v>299</v>
      </c>
      <c r="Z25" s="1">
        <v>1</v>
      </c>
      <c r="AA25" s="1">
        <f>ROUND(H25*I25*Z25, 3)</f>
        <v>1.835</v>
      </c>
      <c r="AB25" s="1">
        <f>ROUND(VLOOKUP(X25,'Base de dados'!A:B, 2, 0)*AA25, 2)</f>
        <v>0.18</v>
      </c>
      <c r="AC25" s="1">
        <f>ROUND((AA25*(Destino!AG25/100))*(W25/100),2)</f>
        <v>0.13</v>
      </c>
      <c r="AD25" s="1">
        <f>ROUND(AA25*(Destino!AH25/100),2)</f>
        <v>0</v>
      </c>
      <c r="AE25" s="1">
        <f>ROUND((((AA25+AB25)*1.48)*(Destino!AI25/100))-AC25,2)</f>
        <v>0.38</v>
      </c>
      <c r="AF25" s="1">
        <f>ROUND((AA25+AB25+AE25)*(J25/100),2)</f>
        <v>7.0000000000000007E-2</v>
      </c>
      <c r="AG25" s="1">
        <f>ROUND(AA25*T25,2)</f>
        <v>0</v>
      </c>
      <c r="AH25" s="1">
        <f>ROUND(AA25+AB25-AD25+AE25+AF25+AG25, 3)</f>
        <v>2.4649999999999999</v>
      </c>
      <c r="AI25" s="1">
        <f>AH25*M25*K25</f>
        <v>9.86</v>
      </c>
      <c r="BA25" s="1" t="s">
        <v>11251</v>
      </c>
      <c r="BB25" s="1">
        <f>AI25</f>
        <v>9.86</v>
      </c>
      <c r="BC25" s="1" t="s">
        <v>11353</v>
      </c>
      <c r="BD25" s="1">
        <f>N25</f>
        <v>1</v>
      </c>
    </row>
    <row r="26" spans="1:56" x14ac:dyDescent="0.25">
      <c r="A26" s="1">
        <v>600000206</v>
      </c>
      <c r="B26" s="1">
        <v>1000</v>
      </c>
      <c r="C26" s="1">
        <v>2200001473</v>
      </c>
      <c r="D26" s="1" t="s">
        <v>303</v>
      </c>
      <c r="E26" s="1">
        <f>IF(AND(B26&lt;&gt;1110,B26&lt;&gt;1210,B26&lt;&gt;1510,B26&lt;&gt;1710),B26,IF(B26=1110,"1100",IF(B26=1210,"1200",IF(B26=1510,"1500",IF(B26=1710,"1700","X")))))</f>
        <v>1000</v>
      </c>
      <c r="F26" s="1" t="s">
        <v>11198</v>
      </c>
      <c r="G26" s="1" t="s">
        <v>302</v>
      </c>
      <c r="H26" s="1">
        <f>ROUND(P26/(1-((R26+S26))/100)*Q26, 3)</f>
        <v>18.343</v>
      </c>
      <c r="I26" s="1">
        <v>0.45</v>
      </c>
      <c r="J26" s="1">
        <v>1.5</v>
      </c>
      <c r="K26" s="1">
        <v>1</v>
      </c>
      <c r="L26" s="1" t="s">
        <v>292</v>
      </c>
      <c r="M26" s="1">
        <v>1</v>
      </c>
      <c r="N26" s="1">
        <v>1</v>
      </c>
      <c r="O26" s="1" t="s">
        <v>296</v>
      </c>
      <c r="P26" s="1">
        <v>14.445</v>
      </c>
      <c r="Q26" s="1">
        <v>1</v>
      </c>
      <c r="R26" s="1">
        <v>12</v>
      </c>
      <c r="S26" s="1">
        <v>9.25</v>
      </c>
      <c r="T26" s="1">
        <v>0</v>
      </c>
      <c r="V26" s="1" t="s">
        <v>11223</v>
      </c>
      <c r="W26" s="1">
        <v>100</v>
      </c>
      <c r="X26" s="1" t="s">
        <v>319</v>
      </c>
      <c r="Y26" s="1" t="s">
        <v>299</v>
      </c>
      <c r="Z26" s="1">
        <v>1</v>
      </c>
      <c r="AA26" s="1">
        <f>ROUND(H26*I26*Z26, 3)</f>
        <v>8.2539999999999996</v>
      </c>
      <c r="AB26" s="1">
        <f>ROUND(VLOOKUP(X26,'Base de dados'!A:B, 2, 0)*AA26, 2)</f>
        <v>0.83</v>
      </c>
      <c r="AC26" s="1">
        <f>ROUND((AA26*(Destino!AG26/100))*(W26/100),2)</f>
        <v>0.99</v>
      </c>
      <c r="AD26" s="1">
        <f>ROUND(AA26*(Destino!AH26/100),2)</f>
        <v>0.76</v>
      </c>
      <c r="AF26" s="1">
        <f>ROUND((AA26+ AB26)*(J26/100),2)</f>
        <v>0.14000000000000001</v>
      </c>
      <c r="AG26" s="1">
        <f>ROUND(AA26*T26,2)</f>
        <v>0</v>
      </c>
      <c r="AH26" s="1">
        <f>ROUND(AA26-(AC26+AD26)+AF26+AG26, 3)</f>
        <v>6.6440000000000001</v>
      </c>
      <c r="AI26" s="1">
        <f>AH26*M26*K26</f>
        <v>6.6440000000000001</v>
      </c>
      <c r="BA26" s="1" t="s">
        <v>11480</v>
      </c>
      <c r="BB26" s="1">
        <f>AI26</f>
        <v>6.6440000000000001</v>
      </c>
      <c r="BD26" s="1">
        <f>N26</f>
        <v>1</v>
      </c>
    </row>
    <row r="27" spans="1:56" x14ac:dyDescent="0.25">
      <c r="A27" s="1">
        <v>600000206</v>
      </c>
      <c r="B27" s="1">
        <v>1100</v>
      </c>
      <c r="C27" s="1">
        <v>2200001473</v>
      </c>
      <c r="D27" s="1" t="s">
        <v>303</v>
      </c>
      <c r="E27" s="1">
        <f>IF(AND(B27&lt;&gt;1110,B27&lt;&gt;1210,B27&lt;&gt;1510,B27&lt;&gt;1710),B27,IF(B27=1110,"1100",IF(B27=1210,"1200",IF(B27=1510,"1500",IF(B27=1710,"1700","X")))))</f>
        <v>1100</v>
      </c>
      <c r="F27" s="1" t="s">
        <v>11198</v>
      </c>
      <c r="G27" s="1" t="s">
        <v>302</v>
      </c>
      <c r="H27" s="1">
        <f>ROUND(P27/(1-((R27+S27))/100)*Q27, 3)</f>
        <v>17.251000000000001</v>
      </c>
      <c r="I27" s="1">
        <v>0.45</v>
      </c>
      <c r="J27" s="1">
        <v>2</v>
      </c>
      <c r="K27" s="1">
        <v>1</v>
      </c>
      <c r="L27" s="1" t="s">
        <v>292</v>
      </c>
      <c r="M27" s="1">
        <v>1</v>
      </c>
      <c r="N27" s="1">
        <v>1</v>
      </c>
      <c r="O27" s="1" t="s">
        <v>296</v>
      </c>
      <c r="P27" s="1">
        <v>14.448</v>
      </c>
      <c r="Q27" s="1">
        <v>1</v>
      </c>
      <c r="R27" s="1">
        <v>7</v>
      </c>
      <c r="S27" s="1">
        <v>9.25</v>
      </c>
      <c r="T27" s="1">
        <v>0</v>
      </c>
      <c r="V27" s="1" t="s">
        <v>11223</v>
      </c>
      <c r="W27" s="1">
        <v>100</v>
      </c>
      <c r="X27" s="1" t="s">
        <v>319</v>
      </c>
      <c r="Y27" s="1" t="s">
        <v>299</v>
      </c>
      <c r="Z27" s="1">
        <v>1</v>
      </c>
      <c r="AA27" s="1">
        <f>ROUND(H27*I27*Z27, 3)</f>
        <v>7.7629999999999999</v>
      </c>
      <c r="AB27" s="1">
        <f>ROUND(VLOOKUP(X27,'Base de dados'!A:B, 2, 0)*AA27, 2)</f>
        <v>0.78</v>
      </c>
      <c r="AC27" s="1">
        <f>ROUND((AA27*(Destino!AG27/100))*(W27/100),2)</f>
        <v>0.54</v>
      </c>
      <c r="AD27" s="1">
        <f>ROUND(AA27*(Destino!AH27/100),2)</f>
        <v>0.72</v>
      </c>
      <c r="AF27" s="1">
        <f>ROUND((AA27+ AB27)*(J27/100),2)</f>
        <v>0.17</v>
      </c>
      <c r="AG27" s="1">
        <f>ROUND(AA27*T27,2)</f>
        <v>0</v>
      </c>
      <c r="AH27" s="1">
        <f>ROUND(AA27-(AC27+AD27)+AF27+AG27, 3)</f>
        <v>6.673</v>
      </c>
      <c r="AI27" s="1">
        <f>AH27*M27*K27</f>
        <v>6.673</v>
      </c>
      <c r="BA27" s="1" t="s">
        <v>11481</v>
      </c>
      <c r="BB27" s="1">
        <f>AI27</f>
        <v>6.673</v>
      </c>
      <c r="BD27" s="1">
        <f>N27</f>
        <v>1</v>
      </c>
    </row>
    <row r="28" spans="1:56" x14ac:dyDescent="0.25">
      <c r="A28" s="1">
        <v>600000206</v>
      </c>
      <c r="B28" s="1">
        <v>1400</v>
      </c>
      <c r="C28" s="1">
        <v>2200001473</v>
      </c>
      <c r="D28" s="1" t="s">
        <v>303</v>
      </c>
      <c r="E28" s="1">
        <f>IF(AND(B28&lt;&gt;1110,B28&lt;&gt;1210,B28&lt;&gt;1510,B28&lt;&gt;1710),B28,IF(B28=1110,"1100",IF(B28=1210,"1200",IF(B28=1510,"1500",IF(B28=1710,"1700","X")))))</f>
        <v>1400</v>
      </c>
      <c r="F28" s="1" t="s">
        <v>11198</v>
      </c>
      <c r="G28" s="1" t="s">
        <v>302</v>
      </c>
      <c r="H28" s="1">
        <f>ROUND(P28/(1-((R28+S28))/100)*Q28, 3)</f>
        <v>19.86</v>
      </c>
      <c r="I28" s="1">
        <v>0.45</v>
      </c>
      <c r="J28" s="1">
        <v>1.5</v>
      </c>
      <c r="K28" s="1">
        <v>1</v>
      </c>
      <c r="L28" s="1" t="s">
        <v>292</v>
      </c>
      <c r="M28" s="1">
        <v>1</v>
      </c>
      <c r="N28" s="1">
        <v>1</v>
      </c>
      <c r="O28" s="1" t="s">
        <v>296</v>
      </c>
      <c r="P28" s="1">
        <v>14.448</v>
      </c>
      <c r="Q28" s="1">
        <v>1</v>
      </c>
      <c r="R28" s="1">
        <v>18</v>
      </c>
      <c r="S28" s="1">
        <v>9.25</v>
      </c>
      <c r="T28" s="1">
        <v>0</v>
      </c>
      <c r="V28" s="1" t="s">
        <v>11223</v>
      </c>
      <c r="W28" s="1">
        <v>100</v>
      </c>
      <c r="X28" s="1" t="s">
        <v>319</v>
      </c>
      <c r="Y28" s="1" t="s">
        <v>299</v>
      </c>
      <c r="Z28" s="1">
        <v>1</v>
      </c>
      <c r="AA28" s="1">
        <f>ROUND(H28*I28*Z28, 3)</f>
        <v>8.9369999999999994</v>
      </c>
      <c r="AB28" s="1">
        <f>ROUND(VLOOKUP(X28,'Base de dados'!A:B, 2, 0)*AA28, 2)</f>
        <v>0.89</v>
      </c>
      <c r="AC28" s="1">
        <f>ROUND((AA28*(Destino!AG28/100))*(W28/100),2)</f>
        <v>1.61</v>
      </c>
      <c r="AD28" s="1">
        <f>ROUND(AA28*(Destino!AH28/100),2)</f>
        <v>0.83</v>
      </c>
      <c r="AF28" s="1">
        <f>ROUND((AA28+ AB28)*(J28/100),2)</f>
        <v>0.15</v>
      </c>
      <c r="AG28" s="1">
        <f>ROUND(AA28*T28,2)</f>
        <v>0</v>
      </c>
      <c r="AH28" s="1">
        <f>ROUND(AA28-(AC28+AD28)+AF28+AG28, 3)</f>
        <v>6.6470000000000002</v>
      </c>
      <c r="AI28" s="1">
        <f>AH28*M28*K28</f>
        <v>6.6470000000000002</v>
      </c>
      <c r="BA28" s="1" t="s">
        <v>11354</v>
      </c>
      <c r="BB28" s="1">
        <f>AI28</f>
        <v>6.6470000000000002</v>
      </c>
      <c r="BD28" s="1">
        <f>N28</f>
        <v>1</v>
      </c>
    </row>
    <row r="29" spans="1:56" x14ac:dyDescent="0.25">
      <c r="A29" s="1">
        <v>600000206</v>
      </c>
      <c r="B29" s="1">
        <v>1700</v>
      </c>
      <c r="C29" s="1">
        <v>2200001421</v>
      </c>
      <c r="D29" s="1" t="s">
        <v>303</v>
      </c>
      <c r="E29" s="1">
        <f>IF(AND(B29&lt;&gt;1110,B29&lt;&gt;1210,B29&lt;&gt;1510,B29&lt;&gt;1710),B29,IF(B29=1110,"1100",IF(B29=1210,"1200",IF(B29=1510,"1500",IF(B29=1710,"1700","X")))))</f>
        <v>1700</v>
      </c>
      <c r="F29" s="1" t="s">
        <v>11238</v>
      </c>
      <c r="G29" s="1" t="s">
        <v>302</v>
      </c>
      <c r="H29" s="1">
        <f>ROUND(P29/(1-((R29+S29))/100)*Q29, 3)</f>
        <v>7.9370000000000003</v>
      </c>
      <c r="I29" s="1">
        <v>0.25</v>
      </c>
      <c r="J29" s="1">
        <v>3</v>
      </c>
      <c r="K29" s="1">
        <v>1</v>
      </c>
      <c r="L29" s="1" t="s">
        <v>292</v>
      </c>
      <c r="M29" s="1">
        <v>4</v>
      </c>
      <c r="N29" s="1">
        <v>1</v>
      </c>
      <c r="O29" s="1" t="s">
        <v>296</v>
      </c>
      <c r="P29" s="1">
        <f>IFERROR(VLOOKUP(BC29, BA:BA:BB:BB, 2, 0),)</f>
        <v>6.6470000000000002</v>
      </c>
      <c r="Q29" s="1">
        <f>IFERROR(VLOOKUP(BC29, BA:BA:BD:BD, 4, 0),1)</f>
        <v>1</v>
      </c>
      <c r="R29" s="1">
        <v>7</v>
      </c>
      <c r="S29" s="1">
        <v>9.25</v>
      </c>
      <c r="T29" s="1">
        <v>0</v>
      </c>
      <c r="V29" s="1" t="s">
        <v>11223</v>
      </c>
      <c r="W29" s="1">
        <v>100</v>
      </c>
      <c r="X29" s="1" t="s">
        <v>319</v>
      </c>
      <c r="Y29" s="1" t="s">
        <v>299</v>
      </c>
      <c r="Z29" s="1">
        <v>1</v>
      </c>
      <c r="AA29" s="1">
        <f>ROUND(H29*I29*Z29, 3)</f>
        <v>1.984</v>
      </c>
      <c r="AB29" s="1">
        <f>ROUND(VLOOKUP(X29,'Base de dados'!A:B, 2, 0)*AA29, 2)</f>
        <v>0.2</v>
      </c>
      <c r="AC29" s="1">
        <f>ROUND((AA29*(Destino!AG29/100))*(W29/100),2)</f>
        <v>0.14000000000000001</v>
      </c>
      <c r="AD29" s="1">
        <f>ROUND(AA29*(Destino!AH29/100),2)</f>
        <v>0</v>
      </c>
      <c r="AE29" s="1">
        <f>ROUND((((AA29+AB29)*1.48)*(Destino!AI29/100))-AC29,2)</f>
        <v>0.41</v>
      </c>
      <c r="AF29" s="1">
        <f>ROUND((AA29+AB29+AE29)*(J29/100),2)</f>
        <v>0.08</v>
      </c>
      <c r="AG29" s="1">
        <f>ROUND(AA29*T29,2)</f>
        <v>0</v>
      </c>
      <c r="AH29" s="1">
        <f>ROUND(AA29+AB29-AD29+AE29+AF29+AG29, 3)</f>
        <v>2.6739999999999999</v>
      </c>
      <c r="AI29" s="1">
        <f>AH29*M29*K29</f>
        <v>10.696</v>
      </c>
      <c r="BA29" s="1" t="s">
        <v>11252</v>
      </c>
      <c r="BB29" s="1">
        <f>AI29</f>
        <v>10.696</v>
      </c>
      <c r="BC29" s="1" t="s">
        <v>11354</v>
      </c>
      <c r="BD29" s="1">
        <f>N29</f>
        <v>1</v>
      </c>
    </row>
    <row r="30" spans="1:56" x14ac:dyDescent="0.25">
      <c r="A30" s="1">
        <v>600000207</v>
      </c>
      <c r="B30" s="1">
        <v>1000</v>
      </c>
      <c r="C30" s="1">
        <v>2200001473</v>
      </c>
      <c r="D30" s="1" t="s">
        <v>303</v>
      </c>
      <c r="E30" s="1">
        <f>IF(AND(B30&lt;&gt;1110,B30&lt;&gt;1210,B30&lt;&gt;1510,B30&lt;&gt;1710),B30,IF(B30=1110,"1100",IF(B30=1210,"1200",IF(B30=1510,"1500",IF(B30=1710,"1700","X")))))</f>
        <v>1000</v>
      </c>
      <c r="F30" s="1" t="s">
        <v>11198</v>
      </c>
      <c r="G30" s="1" t="s">
        <v>302</v>
      </c>
      <c r="H30" s="1">
        <f>ROUND(P30/(1-((R30+S30))/100)*Q30, 3)</f>
        <v>14.51</v>
      </c>
      <c r="I30" s="1">
        <v>0.45</v>
      </c>
      <c r="J30" s="1">
        <v>1.5</v>
      </c>
      <c r="K30" s="1">
        <v>1</v>
      </c>
      <c r="L30" s="1" t="s">
        <v>292</v>
      </c>
      <c r="M30" s="1">
        <v>1</v>
      </c>
      <c r="N30" s="1">
        <v>1</v>
      </c>
      <c r="O30" s="1" t="s">
        <v>296</v>
      </c>
      <c r="P30" s="1">
        <v>11.427</v>
      </c>
      <c r="Q30" s="1">
        <v>1</v>
      </c>
      <c r="R30" s="1">
        <v>12</v>
      </c>
      <c r="S30" s="1">
        <v>9.25</v>
      </c>
      <c r="T30" s="1">
        <v>0</v>
      </c>
      <c r="V30" s="1" t="s">
        <v>11223</v>
      </c>
      <c r="W30" s="1">
        <v>100</v>
      </c>
      <c r="X30" s="1" t="s">
        <v>311</v>
      </c>
      <c r="Y30" s="1" t="s">
        <v>322</v>
      </c>
      <c r="Z30" s="1">
        <v>1</v>
      </c>
      <c r="AA30" s="1">
        <f>ROUND(H30*I30*Z30, 3)</f>
        <v>6.53</v>
      </c>
      <c r="AB30" s="1">
        <f>ROUND(VLOOKUP(X30,'Base de dados'!A:B, 2, 0)*AA30, 2)</f>
        <v>0.65</v>
      </c>
      <c r="AC30" s="1">
        <f>ROUND((AA30*(Destino!AG30/100))*(W30/100),2)</f>
        <v>0.78</v>
      </c>
      <c r="AD30" s="1">
        <f>ROUND(AA30*(Destino!AH30/100),2)</f>
        <v>0.6</v>
      </c>
      <c r="AF30" s="1">
        <f>ROUND((AA30+ AB30)*(J30/100),2)</f>
        <v>0.11</v>
      </c>
      <c r="AG30" s="1">
        <f>ROUND(AA30*T30,2)</f>
        <v>0</v>
      </c>
      <c r="AH30" s="1">
        <f>ROUND(AA30-(AC30+AD30)+AF30+AG30, 3)</f>
        <v>5.26</v>
      </c>
      <c r="AI30" s="1">
        <f>AH30*M30*K30</f>
        <v>5.26</v>
      </c>
      <c r="BA30" s="1" t="s">
        <v>11482</v>
      </c>
      <c r="BB30" s="1">
        <f>AI30</f>
        <v>5.26</v>
      </c>
      <c r="BD30" s="1">
        <f>N30</f>
        <v>1</v>
      </c>
    </row>
    <row r="31" spans="1:56" x14ac:dyDescent="0.25">
      <c r="A31" s="1">
        <v>600000207</v>
      </c>
      <c r="B31" s="1">
        <v>1100</v>
      </c>
      <c r="C31" s="1">
        <v>2200001473</v>
      </c>
      <c r="D31" s="1" t="s">
        <v>303</v>
      </c>
      <c r="E31" s="1">
        <f>IF(AND(B31&lt;&gt;1110,B31&lt;&gt;1210,B31&lt;&gt;1510,B31&lt;&gt;1710),B31,IF(B31=1110,"1100",IF(B31=1210,"1200",IF(B31=1510,"1500",IF(B31=1710,"1700","X")))))</f>
        <v>1100</v>
      </c>
      <c r="F31" s="1" t="s">
        <v>11198</v>
      </c>
      <c r="G31" s="1" t="s">
        <v>302</v>
      </c>
      <c r="H31" s="1">
        <f>ROUND(P31/(1-((R31+S31))/100)*Q31, 3)</f>
        <v>13.647</v>
      </c>
      <c r="I31" s="1">
        <v>0.45</v>
      </c>
      <c r="J31" s="1">
        <v>2</v>
      </c>
      <c r="K31" s="1">
        <v>1</v>
      </c>
      <c r="L31" s="1" t="s">
        <v>292</v>
      </c>
      <c r="M31" s="1">
        <v>1</v>
      </c>
      <c r="N31" s="1">
        <v>1</v>
      </c>
      <c r="O31" s="1" t="s">
        <v>296</v>
      </c>
      <c r="P31" s="1">
        <v>11.429</v>
      </c>
      <c r="Q31" s="1">
        <v>1</v>
      </c>
      <c r="R31" s="1">
        <v>7</v>
      </c>
      <c r="S31" s="1">
        <v>9.25</v>
      </c>
      <c r="T31" s="1">
        <v>0</v>
      </c>
      <c r="V31" s="1" t="s">
        <v>11223</v>
      </c>
      <c r="W31" s="1">
        <v>100</v>
      </c>
      <c r="X31" s="1" t="s">
        <v>311</v>
      </c>
      <c r="Y31" s="1" t="s">
        <v>322</v>
      </c>
      <c r="Z31" s="1">
        <v>1</v>
      </c>
      <c r="AA31" s="1">
        <f>ROUND(H31*I31*Z31, 3)</f>
        <v>6.141</v>
      </c>
      <c r="AB31" s="1">
        <f>ROUND(VLOOKUP(X31,'Base de dados'!A:B, 2, 0)*AA31, 2)</f>
        <v>0.61</v>
      </c>
      <c r="AC31" s="1">
        <f>ROUND((AA31*(Destino!AG31/100))*(W31/100),2)</f>
        <v>0.43</v>
      </c>
      <c r="AD31" s="1">
        <f>ROUND(AA31*(Destino!AH31/100),2)</f>
        <v>0.56999999999999995</v>
      </c>
      <c r="AF31" s="1">
        <f>ROUND((AA31+ AB31)*(J31/100),2)</f>
        <v>0.14000000000000001</v>
      </c>
      <c r="AG31" s="1">
        <f>ROUND(AA31*T31,2)</f>
        <v>0</v>
      </c>
      <c r="AH31" s="1">
        <f>ROUND(AA31-(AC31+AD31)+AF31+AG31, 3)</f>
        <v>5.2809999999999997</v>
      </c>
      <c r="AI31" s="1">
        <f>AH31*M31*K31</f>
        <v>5.2809999999999997</v>
      </c>
      <c r="BA31" s="1" t="s">
        <v>11483</v>
      </c>
      <c r="BB31" s="1">
        <f>AI31</f>
        <v>5.2809999999999997</v>
      </c>
      <c r="BD31" s="1">
        <f>N31</f>
        <v>1</v>
      </c>
    </row>
    <row r="32" spans="1:56" x14ac:dyDescent="0.25">
      <c r="A32" s="1">
        <v>600000207</v>
      </c>
      <c r="B32" s="1">
        <v>1110</v>
      </c>
      <c r="C32" s="1">
        <v>2200001473</v>
      </c>
      <c r="D32" s="1" t="s">
        <v>303</v>
      </c>
      <c r="E32" s="1" t="str">
        <f>IF(AND(B32&lt;&gt;1110,B32&lt;&gt;1210,B32&lt;&gt;1510,B32&lt;&gt;1710),B32,IF(B32=1110,"1100",IF(B32=1210,"1200",IF(B32=1510,"1500",IF(B32=1710,"1700","X")))))</f>
        <v>1100</v>
      </c>
      <c r="F32" s="1" t="s">
        <v>447</v>
      </c>
      <c r="G32" s="1" t="s">
        <v>302</v>
      </c>
      <c r="H32" s="1">
        <f>ROUND(P32/(1-((R32+S32))/100)*Q32, 3)</f>
        <v>13.647</v>
      </c>
      <c r="I32" s="1">
        <v>0.45</v>
      </c>
      <c r="J32" s="1">
        <v>4</v>
      </c>
      <c r="K32" s="1">
        <v>1</v>
      </c>
      <c r="L32" s="1" t="s">
        <v>292</v>
      </c>
      <c r="M32" s="1">
        <v>1</v>
      </c>
      <c r="N32" s="1">
        <v>0.75246800000000003</v>
      </c>
      <c r="O32" s="1" t="s">
        <v>296</v>
      </c>
      <c r="P32" s="1">
        <v>11.429</v>
      </c>
      <c r="Q32" s="1">
        <v>1</v>
      </c>
      <c r="R32" s="1">
        <v>7</v>
      </c>
      <c r="S32" s="1">
        <v>9.25</v>
      </c>
      <c r="T32" s="1">
        <v>0</v>
      </c>
      <c r="V32" s="1" t="s">
        <v>11223</v>
      </c>
      <c r="W32" s="1">
        <v>100</v>
      </c>
      <c r="X32" s="1" t="s">
        <v>311</v>
      </c>
      <c r="Y32" s="1" t="s">
        <v>322</v>
      </c>
      <c r="Z32" s="1">
        <v>1</v>
      </c>
      <c r="AA32" s="1">
        <f>ROUND(H32*I32*Z32, 3)</f>
        <v>6.141</v>
      </c>
      <c r="AB32" s="1">
        <f>ROUND(VLOOKUP(X32,'Base de dados'!A:B, 2, 0)*AA32, 2)</f>
        <v>0.61</v>
      </c>
      <c r="AC32" s="1">
        <f>ROUND((AA32*(Destino!AG32/100))*(W32/100),2)</f>
        <v>0.43</v>
      </c>
      <c r="AD32" s="1">
        <f>ROUND(AA32*(Destino!AH32/100),2)</f>
        <v>0.56999999999999995</v>
      </c>
      <c r="AE32" s="1">
        <f>ROUND((((AA32+AB32)*1.5039)*(Destino!AI32/100))-AC32,2)</f>
        <v>1.3</v>
      </c>
      <c r="AF32" s="1">
        <f>ROUND((AA32+AB32+AE32)*(J32/100),2)</f>
        <v>0.32</v>
      </c>
      <c r="AG32" s="1">
        <f>ROUND(AA32*T32,2)</f>
        <v>0</v>
      </c>
      <c r="AH32" s="1">
        <f>ROUND(AA32-AD32+AE32+AF32+AG32, 3)</f>
        <v>7.1909999999999998</v>
      </c>
      <c r="AI32" s="1">
        <f>AH32*M32*K32</f>
        <v>7.1909999999999998</v>
      </c>
      <c r="BA32" s="1" t="s">
        <v>11484</v>
      </c>
      <c r="BB32" s="1">
        <f>AI32</f>
        <v>7.1909999999999998</v>
      </c>
      <c r="BD32" s="1">
        <f>N32</f>
        <v>0.75246800000000003</v>
      </c>
    </row>
    <row r="33" spans="1:56" x14ac:dyDescent="0.25">
      <c r="A33" s="1">
        <v>600000207</v>
      </c>
      <c r="B33" s="1">
        <v>1400</v>
      </c>
      <c r="C33" s="1">
        <v>2200001473</v>
      </c>
      <c r="D33" s="1" t="s">
        <v>303</v>
      </c>
      <c r="E33" s="1">
        <f>IF(AND(B33&lt;&gt;1110,B33&lt;&gt;1210,B33&lt;&gt;1510,B33&lt;&gt;1710),B33,IF(B33=1110,"1100",IF(B33=1210,"1200",IF(B33=1510,"1500",IF(B33=1710,"1700","X")))))</f>
        <v>1400</v>
      </c>
      <c r="F33" s="1" t="s">
        <v>11198</v>
      </c>
      <c r="G33" s="1" t="s">
        <v>302</v>
      </c>
      <c r="H33" s="1">
        <f>ROUND(P33/(1-((R33+S33))/100)*Q33, 3)</f>
        <v>15.71</v>
      </c>
      <c r="I33" s="1">
        <v>0.45</v>
      </c>
      <c r="J33" s="1">
        <v>1.5</v>
      </c>
      <c r="K33" s="1">
        <v>1</v>
      </c>
      <c r="L33" s="1" t="s">
        <v>292</v>
      </c>
      <c r="M33" s="1">
        <v>1</v>
      </c>
      <c r="N33" s="1">
        <v>1</v>
      </c>
      <c r="O33" s="1" t="s">
        <v>296</v>
      </c>
      <c r="P33" s="1">
        <v>11.429</v>
      </c>
      <c r="Q33" s="1">
        <v>1</v>
      </c>
      <c r="R33" s="1">
        <v>18</v>
      </c>
      <c r="S33" s="1">
        <v>9.25</v>
      </c>
      <c r="T33" s="1">
        <v>0</v>
      </c>
      <c r="V33" s="1" t="s">
        <v>11224</v>
      </c>
      <c r="W33" s="1">
        <v>100</v>
      </c>
      <c r="X33" s="1" t="s">
        <v>5</v>
      </c>
      <c r="Y33" s="1" t="s">
        <v>322</v>
      </c>
      <c r="Z33" s="1">
        <v>1</v>
      </c>
      <c r="AA33" s="1">
        <f>ROUND(H33*I33*Z33, 3)</f>
        <v>7.07</v>
      </c>
      <c r="AB33" s="1">
        <f>ROUND(VLOOKUP(X33,'Base de dados'!A:B, 2, 0)*AA33, 2)</f>
        <v>0.71</v>
      </c>
      <c r="AC33" s="1">
        <f>ROUND((AA33*(Destino!AG33/100))*(W33/100),2)</f>
        <v>1.27</v>
      </c>
      <c r="AD33" s="1">
        <f>ROUND(AA33*(Destino!AH33/100),2)</f>
        <v>0.65</v>
      </c>
      <c r="AF33" s="1">
        <f>ROUND((AA33+ AB33)*(J33/100),2)</f>
        <v>0.12</v>
      </c>
      <c r="AG33" s="1">
        <f>ROUND(AA33*T33,2)</f>
        <v>0</v>
      </c>
      <c r="AH33" s="1">
        <f>ROUND(AA33-(AC33+AD33)+AF33+AG33, 3)</f>
        <v>5.27</v>
      </c>
      <c r="AI33" s="1">
        <f>AH33*M33*K33</f>
        <v>5.27</v>
      </c>
      <c r="BA33" s="1" t="s">
        <v>11355</v>
      </c>
      <c r="BB33" s="1">
        <f>AI33</f>
        <v>5.27</v>
      </c>
      <c r="BD33" s="1">
        <f>N33</f>
        <v>1</v>
      </c>
    </row>
    <row r="34" spans="1:56" x14ac:dyDescent="0.25">
      <c r="A34" s="1">
        <v>600000207</v>
      </c>
      <c r="B34" s="1">
        <v>1700</v>
      </c>
      <c r="C34" s="1">
        <v>2200001421</v>
      </c>
      <c r="D34" s="1" t="s">
        <v>303</v>
      </c>
      <c r="E34" s="1">
        <f>IF(AND(B34&lt;&gt;1110,B34&lt;&gt;1210,B34&lt;&gt;1510,B34&lt;&gt;1710),B34,IF(B34=1110,"1100",IF(B34=1210,"1200",IF(B34=1510,"1500",IF(B34=1710,"1700","X")))))</f>
        <v>1700</v>
      </c>
      <c r="F34" s="1" t="s">
        <v>11238</v>
      </c>
      <c r="G34" s="1" t="s">
        <v>302</v>
      </c>
      <c r="H34" s="1">
        <f>ROUND(P34/(1-((R34+S34))/100)*Q34, 3)</f>
        <v>6.2930000000000001</v>
      </c>
      <c r="I34" s="1">
        <v>0.25</v>
      </c>
      <c r="J34" s="1">
        <v>3</v>
      </c>
      <c r="K34" s="1">
        <v>1</v>
      </c>
      <c r="L34" s="1" t="s">
        <v>292</v>
      </c>
      <c r="M34" s="1">
        <v>4</v>
      </c>
      <c r="N34" s="1">
        <v>1</v>
      </c>
      <c r="O34" s="1" t="s">
        <v>296</v>
      </c>
      <c r="P34" s="1">
        <f>IFERROR(VLOOKUP(BC34, BA:BA:BB:BB, 2, 0),)</f>
        <v>5.27</v>
      </c>
      <c r="Q34" s="1">
        <f>IFERROR(VLOOKUP(BC34, BA:BA:BD:BD, 4, 0),1)</f>
        <v>1</v>
      </c>
      <c r="R34" s="1">
        <v>7</v>
      </c>
      <c r="S34" s="1">
        <v>9.25</v>
      </c>
      <c r="T34" s="1">
        <v>0</v>
      </c>
      <c r="V34" s="1" t="s">
        <v>11223</v>
      </c>
      <c r="W34" s="1">
        <v>100</v>
      </c>
      <c r="X34" s="1" t="s">
        <v>311</v>
      </c>
      <c r="Y34" s="1" t="s">
        <v>322</v>
      </c>
      <c r="Z34" s="1">
        <v>1</v>
      </c>
      <c r="AA34" s="1">
        <f>ROUND(H34*I34*Z34, 3)</f>
        <v>1.573</v>
      </c>
      <c r="AB34" s="1">
        <f>ROUND(VLOOKUP(X34,'Base de dados'!A:B, 2, 0)*AA34, 2)</f>
        <v>0.16</v>
      </c>
      <c r="AC34" s="1">
        <f>ROUND((AA34*(Destino!AG34/100))*(W34/100),2)</f>
        <v>0.11</v>
      </c>
      <c r="AD34" s="1">
        <f>ROUND(AA34*(Destino!AH34/100),2)</f>
        <v>0</v>
      </c>
      <c r="AE34" s="1">
        <f>ROUND((((AA34+AB34)*1.48)*(Destino!AI34/100))-AC34,2)</f>
        <v>0.33</v>
      </c>
      <c r="AF34" s="1">
        <f>ROUND((AA34+AB34+AE34)*(J34/100),2)</f>
        <v>0.06</v>
      </c>
      <c r="AG34" s="1">
        <f>ROUND(AA34*T34,2)</f>
        <v>0</v>
      </c>
      <c r="AH34" s="1">
        <f>ROUND(AA34+AB34-AD34+AE34+AF34+AG34, 3)</f>
        <v>2.1230000000000002</v>
      </c>
      <c r="AI34" s="1">
        <f>AH34*M34*K34</f>
        <v>8.4920000000000009</v>
      </c>
      <c r="BA34" s="1" t="s">
        <v>11253</v>
      </c>
      <c r="BB34" s="1">
        <f>AI34</f>
        <v>8.4920000000000009</v>
      </c>
      <c r="BC34" s="1" t="s">
        <v>11355</v>
      </c>
      <c r="BD34" s="1">
        <f>N34</f>
        <v>1</v>
      </c>
    </row>
    <row r="35" spans="1:56" x14ac:dyDescent="0.25">
      <c r="A35" s="1">
        <v>600000213</v>
      </c>
      <c r="B35" s="1">
        <v>1000</v>
      </c>
      <c r="C35" s="1">
        <v>2200001473</v>
      </c>
      <c r="D35" s="1" t="s">
        <v>303</v>
      </c>
      <c r="E35" s="1">
        <f>IF(AND(B35&lt;&gt;1110,B35&lt;&gt;1210,B35&lt;&gt;1510,B35&lt;&gt;1710),B35,IF(B35=1110,"1100",IF(B35=1210,"1200",IF(B35=1510,"1500",IF(B35=1710,"1700","X")))))</f>
        <v>1000</v>
      </c>
      <c r="F35" s="1" t="s">
        <v>11198</v>
      </c>
      <c r="G35" s="1" t="s">
        <v>302</v>
      </c>
      <c r="H35" s="1">
        <f>ROUND(P35/(1-((R35+S35))/100)*Q35, 3)</f>
        <v>20.273</v>
      </c>
      <c r="I35" s="1">
        <v>0.45</v>
      </c>
      <c r="J35" s="1">
        <v>1.5</v>
      </c>
      <c r="K35" s="1">
        <v>1</v>
      </c>
      <c r="L35" s="1" t="s">
        <v>292</v>
      </c>
      <c r="M35" s="1">
        <v>1</v>
      </c>
      <c r="N35" s="1">
        <v>1</v>
      </c>
      <c r="O35" s="1" t="s">
        <v>296</v>
      </c>
      <c r="P35" s="1">
        <v>15.965</v>
      </c>
      <c r="Q35" s="1">
        <v>1</v>
      </c>
      <c r="R35" s="1">
        <v>12</v>
      </c>
      <c r="S35" s="1">
        <v>9.25</v>
      </c>
      <c r="T35" s="1">
        <v>0</v>
      </c>
      <c r="V35" s="1" t="s">
        <v>11224</v>
      </c>
      <c r="W35" s="1">
        <v>100</v>
      </c>
      <c r="X35" s="1" t="s">
        <v>7</v>
      </c>
      <c r="Y35" s="1" t="s">
        <v>322</v>
      </c>
      <c r="Z35" s="1">
        <v>1</v>
      </c>
      <c r="AA35" s="1">
        <f>ROUND(H35*I35*Z35, 3)</f>
        <v>9.1229999999999993</v>
      </c>
      <c r="AB35" s="1">
        <f>ROUND(VLOOKUP(X35,'Base de dados'!A:B, 2, 0)*AA35, 2)</f>
        <v>0.91</v>
      </c>
      <c r="AC35" s="1">
        <f>ROUND((AA35*(Destino!AG35/100))*(W35/100),2)</f>
        <v>1.0900000000000001</v>
      </c>
      <c r="AD35" s="1">
        <f>ROUND(AA35*(Destino!AH35/100),2)</f>
        <v>0.84</v>
      </c>
      <c r="AF35" s="1">
        <f>ROUND((AA35+ AB35)*(J35/100),2)</f>
        <v>0.15</v>
      </c>
      <c r="AG35" s="1">
        <f>ROUND(AA35*T35,2)</f>
        <v>0</v>
      </c>
      <c r="AH35" s="1">
        <f>ROUND(AA35-(AC35+AD35)+AF35+AG35, 3)</f>
        <v>7.343</v>
      </c>
      <c r="AI35" s="1">
        <f>AH35*M35*K35</f>
        <v>7.343</v>
      </c>
      <c r="BA35" s="1" t="s">
        <v>11485</v>
      </c>
      <c r="BB35" s="1">
        <f>AI35</f>
        <v>7.343</v>
      </c>
      <c r="BD35" s="1">
        <f>N35</f>
        <v>1</v>
      </c>
    </row>
    <row r="36" spans="1:56" x14ac:dyDescent="0.25">
      <c r="A36" s="1">
        <v>600000213</v>
      </c>
      <c r="B36" s="1">
        <v>1100</v>
      </c>
      <c r="C36" s="1">
        <v>2200001473</v>
      </c>
      <c r="D36" s="1" t="s">
        <v>303</v>
      </c>
      <c r="E36" s="1">
        <f>IF(AND(B36&lt;&gt;1110,B36&lt;&gt;1210,B36&lt;&gt;1510,B36&lt;&gt;1710),B36,IF(B36=1110,"1100",IF(B36=1210,"1200",IF(B36=1510,"1500",IF(B36=1710,"1700","X")))))</f>
        <v>1100</v>
      </c>
      <c r="F36" s="1" t="s">
        <v>11198</v>
      </c>
      <c r="G36" s="1" t="s">
        <v>302</v>
      </c>
      <c r="H36" s="1">
        <f>ROUND(P36/(1-((R36+S36))/100)*Q36, 3)</f>
        <v>19.067</v>
      </c>
      <c r="I36" s="1">
        <v>0.45</v>
      </c>
      <c r="J36" s="1">
        <v>2</v>
      </c>
      <c r="K36" s="1">
        <v>1</v>
      </c>
      <c r="L36" s="1" t="s">
        <v>292</v>
      </c>
      <c r="M36" s="1">
        <v>1</v>
      </c>
      <c r="N36" s="1">
        <v>1</v>
      </c>
      <c r="O36" s="1" t="s">
        <v>296</v>
      </c>
      <c r="P36" s="1">
        <v>15.968999999999999</v>
      </c>
      <c r="Q36" s="1">
        <v>1</v>
      </c>
      <c r="R36" s="1">
        <v>7</v>
      </c>
      <c r="S36" s="1">
        <v>9.25</v>
      </c>
      <c r="T36" s="1">
        <v>0</v>
      </c>
      <c r="V36" s="1" t="s">
        <v>11224</v>
      </c>
      <c r="W36" s="1">
        <v>100</v>
      </c>
      <c r="X36" s="1" t="s">
        <v>8</v>
      </c>
      <c r="Y36" s="1" t="s">
        <v>322</v>
      </c>
      <c r="Z36" s="1">
        <v>1</v>
      </c>
      <c r="AA36" s="1">
        <f>ROUND(H36*I36*Z36, 3)</f>
        <v>8.58</v>
      </c>
      <c r="AB36" s="1">
        <f>ROUND(VLOOKUP(X36,'Base de dados'!A:B, 2, 0)*AA36, 2)</f>
        <v>0.86</v>
      </c>
      <c r="AC36" s="1">
        <f>ROUND((AA36*(Destino!AG36/100))*(W36/100),2)</f>
        <v>0.6</v>
      </c>
      <c r="AD36" s="1">
        <f>ROUND(AA36*(Destino!AH36/100),2)</f>
        <v>0.79</v>
      </c>
      <c r="AF36" s="1">
        <f>ROUND((AA36+ AB36)*(J36/100),2)</f>
        <v>0.19</v>
      </c>
      <c r="AG36" s="1">
        <f>ROUND(AA36*T36,2)</f>
        <v>0</v>
      </c>
      <c r="AH36" s="1">
        <f>ROUND(AA36-(AC36+AD36)+AF36+AG36, 3)</f>
        <v>7.38</v>
      </c>
      <c r="AI36" s="1">
        <f>AH36*M36*K36</f>
        <v>7.38</v>
      </c>
      <c r="BA36" s="1" t="s">
        <v>11486</v>
      </c>
      <c r="BB36" s="1">
        <f>AI36</f>
        <v>7.38</v>
      </c>
      <c r="BD36" s="1">
        <f>N36</f>
        <v>1</v>
      </c>
    </row>
    <row r="37" spans="1:56" x14ac:dyDescent="0.25">
      <c r="A37" s="1">
        <v>600000213</v>
      </c>
      <c r="B37" s="1">
        <v>1110</v>
      </c>
      <c r="C37" s="1">
        <v>2200001473</v>
      </c>
      <c r="D37" s="1" t="s">
        <v>303</v>
      </c>
      <c r="E37" s="1" t="str">
        <f>IF(AND(B37&lt;&gt;1110,B37&lt;&gt;1210,B37&lt;&gt;1510,B37&lt;&gt;1710),B37,IF(B37=1110,"1100",IF(B37=1210,"1200",IF(B37=1510,"1500",IF(B37=1710,"1700","X")))))</f>
        <v>1100</v>
      </c>
      <c r="F37" s="1" t="s">
        <v>447</v>
      </c>
      <c r="G37" s="1" t="s">
        <v>302</v>
      </c>
      <c r="H37" s="1">
        <f>ROUND(P37/(1-((R37+S37))/100)*Q37, 3)</f>
        <v>19.067</v>
      </c>
      <c r="I37" s="1">
        <v>0.45</v>
      </c>
      <c r="J37" s="1">
        <v>4</v>
      </c>
      <c r="K37" s="1">
        <v>1</v>
      </c>
      <c r="L37" s="1" t="s">
        <v>292</v>
      </c>
      <c r="M37" s="1">
        <v>1</v>
      </c>
      <c r="N37" s="1">
        <v>0.75323399999999996</v>
      </c>
      <c r="O37" s="1" t="s">
        <v>296</v>
      </c>
      <c r="P37" s="1">
        <v>15.968999999999999</v>
      </c>
      <c r="Q37" s="1">
        <v>1</v>
      </c>
      <c r="R37" s="1">
        <v>7</v>
      </c>
      <c r="S37" s="1">
        <v>9.25</v>
      </c>
      <c r="T37" s="1">
        <v>0</v>
      </c>
      <c r="V37" s="1" t="s">
        <v>11224</v>
      </c>
      <c r="W37" s="1">
        <v>100</v>
      </c>
      <c r="X37" s="1" t="s">
        <v>9</v>
      </c>
      <c r="Y37" s="1" t="s">
        <v>322</v>
      </c>
      <c r="Z37" s="1">
        <v>1</v>
      </c>
      <c r="AA37" s="1">
        <f>ROUND(H37*I37*Z37, 3)</f>
        <v>8.58</v>
      </c>
      <c r="AB37" s="1">
        <f>ROUND(VLOOKUP(X37,'Base de dados'!A:B, 2, 0)*AA37, 2)</f>
        <v>0.86</v>
      </c>
      <c r="AC37" s="1">
        <f>ROUND((AA37*(Destino!AG37/100))*(W37/100),2)</f>
        <v>0.6</v>
      </c>
      <c r="AD37" s="1">
        <f>ROUND(AA37*(Destino!AH37/100),2)</f>
        <v>0.79</v>
      </c>
      <c r="AE37" s="1">
        <f>ROUND((((AA37+AB37)*1.5039)*(Destino!AI37/100))-AC37,2)</f>
        <v>1.81</v>
      </c>
      <c r="AF37" s="1">
        <f>ROUND((AA37+AB37+AE37)*(J37/100),2)</f>
        <v>0.45</v>
      </c>
      <c r="AG37" s="1">
        <f>ROUND(AA37*T37,2)</f>
        <v>0</v>
      </c>
      <c r="AH37" s="1">
        <f>ROUND(AA37-AD37+AE37+AF37+AG37, 3)</f>
        <v>10.050000000000001</v>
      </c>
      <c r="AI37" s="1">
        <f>AH37*M37*K37</f>
        <v>10.050000000000001</v>
      </c>
      <c r="BA37" s="1" t="s">
        <v>11487</v>
      </c>
      <c r="BB37" s="1">
        <f>AI37</f>
        <v>10.050000000000001</v>
      </c>
      <c r="BD37" s="1">
        <f>N37</f>
        <v>0.75323399999999996</v>
      </c>
    </row>
    <row r="38" spans="1:56" x14ac:dyDescent="0.25">
      <c r="A38" s="1">
        <v>600000213</v>
      </c>
      <c r="B38" s="1">
        <v>1400</v>
      </c>
      <c r="C38" s="1">
        <v>2200001473</v>
      </c>
      <c r="D38" s="1" t="s">
        <v>303</v>
      </c>
      <c r="E38" s="1">
        <f>IF(AND(B38&lt;&gt;1110,B38&lt;&gt;1210,B38&lt;&gt;1510,B38&lt;&gt;1710),B38,IF(B38=1110,"1100",IF(B38=1210,"1200",IF(B38=1510,"1500",IF(B38=1710,"1700","X")))))</f>
        <v>1400</v>
      </c>
      <c r="F38" s="1" t="s">
        <v>11198</v>
      </c>
      <c r="G38" s="1" t="s">
        <v>302</v>
      </c>
      <c r="H38" s="1">
        <f>ROUND(P38/(1-((R38+S38))/100)*Q38, 3)</f>
        <v>21.951000000000001</v>
      </c>
      <c r="I38" s="1">
        <v>0.45</v>
      </c>
      <c r="J38" s="1">
        <v>1.5</v>
      </c>
      <c r="K38" s="1">
        <v>1</v>
      </c>
      <c r="L38" s="1" t="s">
        <v>292</v>
      </c>
      <c r="M38" s="1">
        <v>1</v>
      </c>
      <c r="N38" s="1">
        <v>1</v>
      </c>
      <c r="O38" s="1" t="s">
        <v>296</v>
      </c>
      <c r="P38" s="1">
        <v>15.968999999999999</v>
      </c>
      <c r="Q38" s="1">
        <v>1</v>
      </c>
      <c r="R38" s="1">
        <v>18</v>
      </c>
      <c r="S38" s="1">
        <v>9.25</v>
      </c>
      <c r="T38" s="1">
        <v>0</v>
      </c>
      <c r="V38" s="1" t="s">
        <v>11224</v>
      </c>
      <c r="W38" s="1">
        <v>100</v>
      </c>
      <c r="X38" s="1" t="s">
        <v>11</v>
      </c>
      <c r="Y38" s="1" t="s">
        <v>322</v>
      </c>
      <c r="Z38" s="1">
        <v>1</v>
      </c>
      <c r="AA38" s="1">
        <f>ROUND(H38*I38*Z38, 3)</f>
        <v>9.8780000000000001</v>
      </c>
      <c r="AB38" s="1">
        <f>ROUND(VLOOKUP(X38,'Base de dados'!A:B, 2, 0)*AA38, 2)</f>
        <v>1.78</v>
      </c>
      <c r="AC38" s="1">
        <f>ROUND((AA38*(Destino!AG38/100))*(W38/100),2)</f>
        <v>1.78</v>
      </c>
      <c r="AD38" s="1">
        <f>ROUND(AA38*(Destino!AH38/100),2)</f>
        <v>0.91</v>
      </c>
      <c r="AF38" s="1">
        <f>ROUND((AA38+ AB38)*(J38/100),2)</f>
        <v>0.17</v>
      </c>
      <c r="AG38" s="1">
        <f>ROUND(AA38*T38,2)</f>
        <v>0</v>
      </c>
      <c r="AH38" s="1">
        <f>ROUND(AA38-(AC38+AD38)+AF38+AG38, 3)</f>
        <v>7.3579999999999997</v>
      </c>
      <c r="AI38" s="1">
        <f>AH38*M38*K38</f>
        <v>7.3579999999999997</v>
      </c>
      <c r="BA38" s="1" t="s">
        <v>11356</v>
      </c>
      <c r="BB38" s="1">
        <f>AI38</f>
        <v>7.3579999999999997</v>
      </c>
      <c r="BD38" s="1">
        <f>N38</f>
        <v>1</v>
      </c>
    </row>
    <row r="39" spans="1:56" x14ac:dyDescent="0.25">
      <c r="A39" s="1">
        <v>600000213</v>
      </c>
      <c r="B39" s="1">
        <v>1700</v>
      </c>
      <c r="C39" s="1">
        <v>2200001421</v>
      </c>
      <c r="D39" s="1" t="s">
        <v>303</v>
      </c>
      <c r="E39" s="1">
        <f>IF(AND(B39&lt;&gt;1110,B39&lt;&gt;1210,B39&lt;&gt;1510,B39&lt;&gt;1710),B39,IF(B39=1110,"1100",IF(B39=1210,"1200",IF(B39=1510,"1500",IF(B39=1710,"1700","X")))))</f>
        <v>1700</v>
      </c>
      <c r="F39" s="1" t="s">
        <v>11238</v>
      </c>
      <c r="G39" s="1" t="s">
        <v>302</v>
      </c>
      <c r="H39" s="1">
        <f>ROUND(P39/(1-((R39+S39))/100)*Q39, 3)</f>
        <v>8.7859999999999996</v>
      </c>
      <c r="I39" s="1">
        <v>0.25</v>
      </c>
      <c r="J39" s="1">
        <v>3</v>
      </c>
      <c r="K39" s="1">
        <v>1</v>
      </c>
      <c r="L39" s="1" t="s">
        <v>292</v>
      </c>
      <c r="M39" s="1">
        <v>4</v>
      </c>
      <c r="N39" s="1">
        <v>1</v>
      </c>
      <c r="O39" s="1" t="s">
        <v>296</v>
      </c>
      <c r="P39" s="1">
        <f>IFERROR(VLOOKUP(BC39, BA:BA:BB:BB, 2, 0),)</f>
        <v>7.3579999999999997</v>
      </c>
      <c r="Q39" s="1">
        <f>IFERROR(VLOOKUP(BC39, BA:BA:BD:BD, 4, 0),1)</f>
        <v>1</v>
      </c>
      <c r="R39" s="1">
        <v>7</v>
      </c>
      <c r="S39" s="1">
        <v>9.25</v>
      </c>
      <c r="T39" s="1">
        <v>0</v>
      </c>
      <c r="V39" s="1" t="s">
        <v>11223</v>
      </c>
      <c r="W39" s="1">
        <v>100</v>
      </c>
      <c r="X39" s="1" t="s">
        <v>311</v>
      </c>
      <c r="Y39" s="1" t="s">
        <v>322</v>
      </c>
      <c r="Z39" s="1">
        <v>1</v>
      </c>
      <c r="AA39" s="1">
        <f>ROUND(H39*I39*Z39, 3)</f>
        <v>2.1970000000000001</v>
      </c>
      <c r="AB39" s="1">
        <f>ROUND(VLOOKUP(X39,'Base de dados'!A:B, 2, 0)*AA39, 2)</f>
        <v>0.22</v>
      </c>
      <c r="AC39" s="1">
        <f>ROUND((AA39*(Destino!AG39/100))*(W39/100),2)</f>
        <v>0.15</v>
      </c>
      <c r="AD39" s="1">
        <f>ROUND(AA39*(Destino!AH39/100),2)</f>
        <v>0</v>
      </c>
      <c r="AE39" s="1">
        <f>ROUND((((AA39+AB39)*1.48)*(Destino!AI39/100))-AC39,2)</f>
        <v>0.46</v>
      </c>
      <c r="AF39" s="1">
        <f>ROUND((AA39+AB39+AE39)*(J39/100),2)</f>
        <v>0.09</v>
      </c>
      <c r="AG39" s="1">
        <f>ROUND(AA39*T39,2)</f>
        <v>0</v>
      </c>
      <c r="AH39" s="1">
        <f>ROUND(AA39+AB39-AD39+AE39+AF39+AG39, 3)</f>
        <v>2.9670000000000001</v>
      </c>
      <c r="AI39" s="1">
        <f>AH39*M39*K39</f>
        <v>11.868</v>
      </c>
      <c r="BA39" s="1" t="s">
        <v>11254</v>
      </c>
      <c r="BB39" s="1">
        <f>AI39</f>
        <v>11.868</v>
      </c>
      <c r="BC39" s="1" t="s">
        <v>11356</v>
      </c>
      <c r="BD39" s="1">
        <f>N39</f>
        <v>1</v>
      </c>
    </row>
    <row r="40" spans="1:56" x14ac:dyDescent="0.25">
      <c r="A40" s="1">
        <v>600000299</v>
      </c>
      <c r="B40" s="1">
        <v>1000</v>
      </c>
      <c r="C40" s="1">
        <v>2200001473</v>
      </c>
      <c r="D40" s="1" t="s">
        <v>303</v>
      </c>
      <c r="E40" s="1">
        <f>IF(AND(B40&lt;&gt;1110,B40&lt;&gt;1210,B40&lt;&gt;1510,B40&lt;&gt;1710),B40,IF(B40=1110,"1100",IF(B40=1210,"1200",IF(B40=1510,"1500",IF(B40=1710,"1700","X")))))</f>
        <v>1000</v>
      </c>
      <c r="F40" s="1" t="s">
        <v>11198</v>
      </c>
      <c r="G40" s="1" t="s">
        <v>302</v>
      </c>
      <c r="H40" s="1">
        <f>ROUND(P40/(1-((R40+S40))/100)*Q40, 3)</f>
        <v>107.63</v>
      </c>
      <c r="I40" s="1">
        <v>0.45</v>
      </c>
      <c r="J40" s="1">
        <v>1.5</v>
      </c>
      <c r="K40" s="1">
        <v>1</v>
      </c>
      <c r="L40" s="1" t="s">
        <v>292</v>
      </c>
      <c r="M40" s="1">
        <v>1</v>
      </c>
      <c r="N40" s="1">
        <v>1</v>
      </c>
      <c r="O40" s="1" t="s">
        <v>296</v>
      </c>
      <c r="P40" s="1">
        <v>84.759</v>
      </c>
      <c r="Q40" s="1">
        <v>1</v>
      </c>
      <c r="R40" s="1">
        <v>12</v>
      </c>
      <c r="S40" s="1">
        <v>9.25</v>
      </c>
      <c r="T40" s="1">
        <v>0</v>
      </c>
      <c r="V40" s="1" t="s">
        <v>11223</v>
      </c>
      <c r="W40" s="1">
        <v>100</v>
      </c>
      <c r="X40" s="1" t="s">
        <v>298</v>
      </c>
      <c r="Y40" s="1" t="s">
        <v>299</v>
      </c>
      <c r="Z40" s="1">
        <v>1</v>
      </c>
      <c r="AA40" s="1">
        <f>ROUND(H40*I40*Z40, 3)</f>
        <v>48.433999999999997</v>
      </c>
      <c r="AB40" s="1">
        <f>ROUND(VLOOKUP(X40,'Base de dados'!A:B, 2, 0)*AA40, 2)</f>
        <v>4.84</v>
      </c>
      <c r="AC40" s="1">
        <f>ROUND((AA40*(Destino!AG40/100))*(W40/100),2)</f>
        <v>5.81</v>
      </c>
      <c r="AD40" s="1">
        <f>ROUND(AA40*(Destino!AH40/100),2)</f>
        <v>4.4800000000000004</v>
      </c>
      <c r="AF40" s="1">
        <f>ROUND((AA40+ AB40)*(J40/100),2)</f>
        <v>0.8</v>
      </c>
      <c r="AG40" s="1">
        <f>ROUND(AA40*T40,2)</f>
        <v>0</v>
      </c>
      <c r="AH40" s="1">
        <f>ROUND(AA40-(AC40+AD40)+AF40+AG40, 3)</f>
        <v>38.944000000000003</v>
      </c>
      <c r="AI40" s="1">
        <f>AH40*M40*K40</f>
        <v>38.944000000000003</v>
      </c>
      <c r="BA40" s="1" t="s">
        <v>11488</v>
      </c>
      <c r="BB40" s="1">
        <f>AI40</f>
        <v>38.944000000000003</v>
      </c>
      <c r="BD40" s="1">
        <f>N40</f>
        <v>1</v>
      </c>
    </row>
    <row r="41" spans="1:56" x14ac:dyDescent="0.25">
      <c r="A41" s="1">
        <v>600000299</v>
      </c>
      <c r="B41" s="1">
        <v>1100</v>
      </c>
      <c r="C41" s="1">
        <v>2200001473</v>
      </c>
      <c r="D41" s="1" t="s">
        <v>303</v>
      </c>
      <c r="E41" s="1">
        <f>IF(AND(B41&lt;&gt;1110,B41&lt;&gt;1210,B41&lt;&gt;1510,B41&lt;&gt;1710),B41,IF(B41=1110,"1100",IF(B41=1210,"1200",IF(B41=1510,"1500",IF(B41=1710,"1700","X")))))</f>
        <v>1100</v>
      </c>
      <c r="F41" s="1" t="s">
        <v>11198</v>
      </c>
      <c r="G41" s="1" t="s">
        <v>302</v>
      </c>
      <c r="H41" s="1">
        <f>ROUND(P41/(1-((R41+S41))/100)*Q41, 3)</f>
        <v>101.20699999999999</v>
      </c>
      <c r="I41" s="1">
        <v>0.45</v>
      </c>
      <c r="J41" s="1">
        <v>2</v>
      </c>
      <c r="K41" s="1">
        <v>1</v>
      </c>
      <c r="L41" s="1" t="s">
        <v>292</v>
      </c>
      <c r="M41" s="1">
        <v>1</v>
      </c>
      <c r="N41" s="1">
        <v>1</v>
      </c>
      <c r="O41" s="1" t="s">
        <v>296</v>
      </c>
      <c r="P41" s="1">
        <v>84.760999999999996</v>
      </c>
      <c r="Q41" s="1">
        <v>1</v>
      </c>
      <c r="R41" s="1">
        <v>7</v>
      </c>
      <c r="S41" s="1">
        <v>9.25</v>
      </c>
      <c r="T41" s="1">
        <v>0</v>
      </c>
      <c r="V41" s="1" t="s">
        <v>11223</v>
      </c>
      <c r="W41" s="1">
        <v>100</v>
      </c>
      <c r="X41" s="1" t="s">
        <v>298</v>
      </c>
      <c r="Y41" s="1" t="s">
        <v>299</v>
      </c>
      <c r="Z41" s="1">
        <v>1</v>
      </c>
      <c r="AA41" s="1">
        <f>ROUND(H41*I41*Z41, 3)</f>
        <v>45.542999999999999</v>
      </c>
      <c r="AB41" s="1">
        <f>ROUND(VLOOKUP(X41,'Base de dados'!A:B, 2, 0)*AA41, 2)</f>
        <v>4.55</v>
      </c>
      <c r="AC41" s="1">
        <f>ROUND((AA41*(Destino!AG41/100))*(W41/100),2)</f>
        <v>3.19</v>
      </c>
      <c r="AD41" s="1">
        <f>ROUND(AA41*(Destino!AH41/100),2)</f>
        <v>4.21</v>
      </c>
      <c r="AF41" s="1">
        <f>ROUND((AA41+ AB41)*(J41/100),2)</f>
        <v>1</v>
      </c>
      <c r="AG41" s="1">
        <f>ROUND(AA41*T41,2)</f>
        <v>0</v>
      </c>
      <c r="AH41" s="1">
        <f>ROUND(AA41-(AC41+AD41)+AF41+AG41, 3)</f>
        <v>39.143000000000001</v>
      </c>
      <c r="AI41" s="1">
        <f>AH41*M41*K41</f>
        <v>39.143000000000001</v>
      </c>
      <c r="BA41" s="1" t="s">
        <v>11489</v>
      </c>
      <c r="BB41" s="1">
        <f>AI41</f>
        <v>39.143000000000001</v>
      </c>
      <c r="BD41" s="1">
        <f>N41</f>
        <v>1</v>
      </c>
    </row>
    <row r="42" spans="1:56" x14ac:dyDescent="0.25">
      <c r="A42" s="1">
        <v>600000299</v>
      </c>
      <c r="B42" s="1">
        <v>1110</v>
      </c>
      <c r="C42" s="1">
        <v>2200001473</v>
      </c>
      <c r="D42" s="1" t="s">
        <v>303</v>
      </c>
      <c r="E42" s="1" t="str">
        <f>IF(AND(B42&lt;&gt;1110,B42&lt;&gt;1210,B42&lt;&gt;1510,B42&lt;&gt;1710),B42,IF(B42=1110,"1100",IF(B42=1210,"1200",IF(B42=1510,"1500",IF(B42=1710,"1700","X")))))</f>
        <v>1100</v>
      </c>
      <c r="F42" s="1" t="s">
        <v>447</v>
      </c>
      <c r="G42" s="1" t="s">
        <v>302</v>
      </c>
      <c r="H42" s="1">
        <f>ROUND(P42/(1-((R42+S42))/100)*Q42, 3)</f>
        <v>101.20699999999999</v>
      </c>
      <c r="I42" s="1">
        <v>0.45</v>
      </c>
      <c r="J42" s="1">
        <v>4</v>
      </c>
      <c r="K42" s="1">
        <v>1</v>
      </c>
      <c r="L42" s="1" t="s">
        <v>292</v>
      </c>
      <c r="M42" s="1">
        <v>1</v>
      </c>
      <c r="N42" s="1">
        <v>0.75254500000000002</v>
      </c>
      <c r="O42" s="1" t="s">
        <v>296</v>
      </c>
      <c r="P42" s="1">
        <v>84.760999999999996</v>
      </c>
      <c r="Q42" s="1">
        <v>1</v>
      </c>
      <c r="R42" s="1">
        <v>7</v>
      </c>
      <c r="S42" s="1">
        <v>9.25</v>
      </c>
      <c r="T42" s="1">
        <v>0</v>
      </c>
      <c r="V42" s="1" t="s">
        <v>11223</v>
      </c>
      <c r="W42" s="1">
        <v>100</v>
      </c>
      <c r="X42" s="1" t="s">
        <v>298</v>
      </c>
      <c r="Y42" s="1" t="s">
        <v>299</v>
      </c>
      <c r="Z42" s="1">
        <v>1</v>
      </c>
      <c r="AA42" s="1">
        <f>ROUND(H42*I42*Z42, 3)</f>
        <v>45.542999999999999</v>
      </c>
      <c r="AB42" s="1">
        <f>ROUND(VLOOKUP(X42,'Base de dados'!A:B, 2, 0)*AA42, 2)</f>
        <v>4.55</v>
      </c>
      <c r="AC42" s="1">
        <f>ROUND((AA42*(Destino!AG42/100))*(W42/100),2)</f>
        <v>3.19</v>
      </c>
      <c r="AD42" s="1">
        <f>ROUND(AA42*(Destino!AH42/100),2)</f>
        <v>4.21</v>
      </c>
      <c r="AE42" s="1">
        <f>ROUND((((AA42+AB42)*1.5039)*(Destino!AI42/100))-AC42,2)</f>
        <v>9.6199999999999992</v>
      </c>
      <c r="AF42" s="1">
        <f>ROUND((AA42+AB42+AE42)*(J42/100),2)</f>
        <v>2.39</v>
      </c>
      <c r="AG42" s="1">
        <f>ROUND(AA42*T42,2)</f>
        <v>0</v>
      </c>
      <c r="AH42" s="1">
        <f>ROUND(AA42-AD42+AE42+AF42+AG42, 3)</f>
        <v>53.343000000000004</v>
      </c>
      <c r="AI42" s="1">
        <f>AH42*M42*K42</f>
        <v>53.343000000000004</v>
      </c>
      <c r="BA42" s="1" t="s">
        <v>11490</v>
      </c>
      <c r="BB42" s="1">
        <f>AI42</f>
        <v>53.343000000000004</v>
      </c>
      <c r="BD42" s="1">
        <f>N42</f>
        <v>0.75254500000000002</v>
      </c>
    </row>
    <row r="43" spans="1:56" x14ac:dyDescent="0.25">
      <c r="A43" s="1">
        <v>600000299</v>
      </c>
      <c r="B43" s="1">
        <v>1400</v>
      </c>
      <c r="C43" s="1">
        <v>2200001473</v>
      </c>
      <c r="D43" s="1" t="s">
        <v>303</v>
      </c>
      <c r="E43" s="1">
        <f>IF(AND(B43&lt;&gt;1110,B43&lt;&gt;1210,B43&lt;&gt;1510,B43&lt;&gt;1710),B43,IF(B43=1110,"1100",IF(B43=1210,"1200",IF(B43=1510,"1500",IF(B43=1710,"1700","X")))))</f>
        <v>1400</v>
      </c>
      <c r="F43" s="1" t="s">
        <v>11198</v>
      </c>
      <c r="G43" s="1" t="s">
        <v>302</v>
      </c>
      <c r="H43" s="1">
        <f>ROUND(P43/(1-((R43+S43))/100)*Q43, 3)</f>
        <v>116.51</v>
      </c>
      <c r="I43" s="1">
        <v>0.45</v>
      </c>
      <c r="J43" s="1">
        <v>1.5</v>
      </c>
      <c r="K43" s="1">
        <v>1</v>
      </c>
      <c r="L43" s="1" t="s">
        <v>292</v>
      </c>
      <c r="M43" s="1">
        <v>1</v>
      </c>
      <c r="N43" s="1">
        <v>1</v>
      </c>
      <c r="O43" s="1" t="s">
        <v>296</v>
      </c>
      <c r="P43" s="1">
        <v>84.760999999999996</v>
      </c>
      <c r="Q43" s="1">
        <v>1</v>
      </c>
      <c r="R43" s="1">
        <v>18</v>
      </c>
      <c r="S43" s="1">
        <v>9.25</v>
      </c>
      <c r="T43" s="1">
        <v>0</v>
      </c>
      <c r="V43" s="1" t="s">
        <v>11223</v>
      </c>
      <c r="W43" s="1">
        <v>100</v>
      </c>
      <c r="X43" s="1" t="s">
        <v>298</v>
      </c>
      <c r="Y43" s="1" t="s">
        <v>299</v>
      </c>
      <c r="Z43" s="1">
        <v>1</v>
      </c>
      <c r="AA43" s="1">
        <f>ROUND(H43*I43*Z43, 3)</f>
        <v>52.43</v>
      </c>
      <c r="AB43" s="1">
        <f>ROUND(VLOOKUP(X43,'Base de dados'!A:B, 2, 0)*AA43, 2)</f>
        <v>5.24</v>
      </c>
      <c r="AC43" s="1">
        <f>ROUND((AA43*(Destino!AG43/100))*(W43/100),2)</f>
        <v>9.44</v>
      </c>
      <c r="AD43" s="1">
        <f>ROUND(AA43*(Destino!AH43/100),2)</f>
        <v>4.8499999999999996</v>
      </c>
      <c r="AF43" s="1">
        <f>ROUND((AA43+ AB43)*(J43/100),2)</f>
        <v>0.87</v>
      </c>
      <c r="AG43" s="1">
        <f>ROUND(AA43*T43,2)</f>
        <v>0</v>
      </c>
      <c r="AH43" s="1">
        <f>ROUND(AA43-(AC43+AD43)+AF43+AG43, 3)</f>
        <v>39.01</v>
      </c>
      <c r="AI43" s="1">
        <f>AH43*M43*K43</f>
        <v>39.01</v>
      </c>
      <c r="BA43" s="1" t="s">
        <v>11357</v>
      </c>
      <c r="BB43" s="1">
        <f>AI43</f>
        <v>39.01</v>
      </c>
      <c r="BD43" s="1">
        <f>N43</f>
        <v>1</v>
      </c>
    </row>
    <row r="44" spans="1:56" x14ac:dyDescent="0.25">
      <c r="A44" s="1">
        <v>600000299</v>
      </c>
      <c r="B44" s="1">
        <v>1700</v>
      </c>
      <c r="C44" s="1">
        <v>2200001421</v>
      </c>
      <c r="D44" s="1" t="s">
        <v>303</v>
      </c>
      <c r="E44" s="1">
        <f>IF(AND(B44&lt;&gt;1110,B44&lt;&gt;1210,B44&lt;&gt;1510,B44&lt;&gt;1710),B44,IF(B44=1110,"1100",IF(B44=1210,"1200",IF(B44=1510,"1500",IF(B44=1710,"1700","X")))))</f>
        <v>1700</v>
      </c>
      <c r="F44" s="1" t="s">
        <v>11238</v>
      </c>
      <c r="G44" s="1" t="s">
        <v>302</v>
      </c>
      <c r="H44" s="1">
        <f>ROUND(P44/(1-((R44+S44))/100)*Q44, 3)</f>
        <v>46.579000000000001</v>
      </c>
      <c r="I44" s="1">
        <v>0.25</v>
      </c>
      <c r="J44" s="1">
        <v>3</v>
      </c>
      <c r="K44" s="1">
        <v>1</v>
      </c>
      <c r="L44" s="1" t="s">
        <v>292</v>
      </c>
      <c r="M44" s="1">
        <v>4</v>
      </c>
      <c r="N44" s="1">
        <v>1</v>
      </c>
      <c r="O44" s="1" t="s">
        <v>296</v>
      </c>
      <c r="P44" s="1">
        <f>IFERROR(VLOOKUP(BC44, BA:BA:BB:BB, 2, 0),)</f>
        <v>39.01</v>
      </c>
      <c r="Q44" s="1">
        <f>IFERROR(VLOOKUP(BC44, BA:BA:BD:BD, 4, 0),1)</f>
        <v>1</v>
      </c>
      <c r="R44" s="1">
        <v>7</v>
      </c>
      <c r="S44" s="1">
        <v>9.25</v>
      </c>
      <c r="T44" s="1">
        <v>0</v>
      </c>
      <c r="V44" s="1" t="s">
        <v>11223</v>
      </c>
      <c r="W44" s="1">
        <v>100</v>
      </c>
      <c r="X44" s="1" t="s">
        <v>298</v>
      </c>
      <c r="Y44" s="1" t="s">
        <v>299</v>
      </c>
      <c r="Z44" s="1">
        <v>1</v>
      </c>
      <c r="AA44" s="1">
        <f>ROUND(H44*I44*Z44, 3)</f>
        <v>11.645</v>
      </c>
      <c r="AB44" s="1">
        <f>ROUND(VLOOKUP(X44,'Base de dados'!A:B, 2, 0)*AA44, 2)</f>
        <v>1.1599999999999999</v>
      </c>
      <c r="AC44" s="1">
        <f>ROUND((AA44*(Destino!AG44/100))*(W44/100),2)</f>
        <v>0.82</v>
      </c>
      <c r="AD44" s="1">
        <f>ROUND(AA44*(Destino!AH44/100),2)</f>
        <v>0</v>
      </c>
      <c r="AE44" s="1">
        <f>ROUND((((AA44+AB44)*1.48)*(Destino!AI44/100))-AC44,2)</f>
        <v>2.4</v>
      </c>
      <c r="AF44" s="1">
        <f>ROUND((AA44+AB44+AE44)*(J44/100),2)</f>
        <v>0.46</v>
      </c>
      <c r="AG44" s="1">
        <f>ROUND(AA44*T44,2)</f>
        <v>0</v>
      </c>
      <c r="AH44" s="1">
        <f>ROUND(AA44+AB44-AD44+AE44+AF44+AG44, 3)</f>
        <v>15.664999999999999</v>
      </c>
      <c r="AI44" s="1">
        <f>AH44*M44*K44</f>
        <v>62.66</v>
      </c>
      <c r="BA44" s="1" t="s">
        <v>11255</v>
      </c>
      <c r="BB44" s="1">
        <f>AI44</f>
        <v>62.66</v>
      </c>
      <c r="BC44" s="1" t="s">
        <v>11357</v>
      </c>
      <c r="BD44" s="1">
        <f>N44</f>
        <v>1</v>
      </c>
    </row>
    <row r="45" spans="1:56" x14ac:dyDescent="0.25">
      <c r="A45" s="1">
        <v>600000302</v>
      </c>
      <c r="B45" s="1">
        <v>1000</v>
      </c>
      <c r="C45" s="1">
        <v>2200001421</v>
      </c>
      <c r="D45" s="1" t="s">
        <v>303</v>
      </c>
      <c r="E45" s="1">
        <f>IF(AND(B45&lt;&gt;1110,B45&lt;&gt;1210,B45&lt;&gt;1510,B45&lt;&gt;1710),B45,IF(B45=1110,"1100",IF(B45=1210,"1200",IF(B45=1510,"1500",IF(B45=1710,"1700","X")))))</f>
        <v>1000</v>
      </c>
      <c r="F45" s="1" t="s">
        <v>11198</v>
      </c>
      <c r="G45" s="1" t="s">
        <v>302</v>
      </c>
      <c r="H45" s="1">
        <f>ROUND(P45/(1-((R45+S45))/100)*Q45, 3)</f>
        <v>76.837000000000003</v>
      </c>
      <c r="I45" s="1">
        <v>1</v>
      </c>
      <c r="J45" s="1">
        <v>4</v>
      </c>
      <c r="K45" s="1">
        <v>1</v>
      </c>
      <c r="L45" s="1" t="s">
        <v>292</v>
      </c>
      <c r="M45" s="1">
        <v>1</v>
      </c>
      <c r="N45" s="1">
        <v>1</v>
      </c>
      <c r="O45" s="1" t="s">
        <v>292</v>
      </c>
      <c r="P45" s="1">
        <f>IFERROR(VLOOKUP(BC45, BA:BA:BB:BB, 2, 0),)</f>
        <v>60.509</v>
      </c>
      <c r="Q45" s="1">
        <f>IFERROR(VLOOKUP(BC45, BA:BA:BD:BD, 4, 0),1)</f>
        <v>1</v>
      </c>
      <c r="R45" s="1">
        <v>12</v>
      </c>
      <c r="S45" s="1">
        <v>9.25</v>
      </c>
      <c r="T45" s="1">
        <v>0</v>
      </c>
      <c r="V45" s="1" t="s">
        <v>11223</v>
      </c>
      <c r="W45" s="1">
        <v>100</v>
      </c>
      <c r="X45" s="1" t="s">
        <v>298</v>
      </c>
      <c r="Y45" s="1" t="s">
        <v>299</v>
      </c>
      <c r="Z45" s="1">
        <v>1</v>
      </c>
      <c r="AA45" s="1">
        <f>ROUND(H45*I45*Z45, 3)</f>
        <v>76.837000000000003</v>
      </c>
      <c r="AB45" s="1">
        <f>ROUND(VLOOKUP(X45,'Base de dados'!A:B, 2, 0)*AA45, 2)</f>
        <v>7.68</v>
      </c>
      <c r="AC45" s="1">
        <f>ROUND((AA45*(Destino!AG45/100))*(W45/100),2)</f>
        <v>9.2200000000000006</v>
      </c>
      <c r="AD45" s="1">
        <f>ROUND(AA45*(Destino!AH45/100),2)</f>
        <v>7.11</v>
      </c>
      <c r="AF45" s="1">
        <f>ROUND((AA45+ AB45)*(J45/100),2)</f>
        <v>3.38</v>
      </c>
      <c r="AG45" s="1">
        <f>ROUND(AA45*T45,2)</f>
        <v>0</v>
      </c>
      <c r="AH45" s="1">
        <f>ROUND(AA45-(AC45+AD45)+AF45+AG45, 3)</f>
        <v>63.887</v>
      </c>
      <c r="AI45" s="1">
        <f>AH45*M45*K45</f>
        <v>63.887</v>
      </c>
      <c r="BB45" s="1">
        <f>AI45</f>
        <v>63.887</v>
      </c>
      <c r="BC45" s="1" t="s">
        <v>11358</v>
      </c>
      <c r="BD45" s="1">
        <f>N45</f>
        <v>1</v>
      </c>
    </row>
    <row r="46" spans="1:56" x14ac:dyDescent="0.25">
      <c r="A46" s="1">
        <v>600000302</v>
      </c>
      <c r="B46" s="1">
        <v>1000</v>
      </c>
      <c r="C46" s="1">
        <v>2200001473</v>
      </c>
      <c r="D46" s="1" t="s">
        <v>303</v>
      </c>
      <c r="E46" s="1">
        <f>IF(AND(B46&lt;&gt;1110,B46&lt;&gt;1210,B46&lt;&gt;1510,B46&lt;&gt;1710),B46,IF(B46=1110,"1100",IF(B46=1210,"1200",IF(B46=1510,"1500",IF(B46=1710,"1700","X")))))</f>
        <v>1000</v>
      </c>
      <c r="F46" s="1" t="s">
        <v>11198</v>
      </c>
      <c r="G46" s="1" t="s">
        <v>302</v>
      </c>
      <c r="H46" s="1">
        <f>ROUND(P46/(1-((R46+S46))/100)*Q46, 3)</f>
        <v>166.96</v>
      </c>
      <c r="I46" s="1">
        <v>0.45</v>
      </c>
      <c r="J46" s="1">
        <v>1.5</v>
      </c>
      <c r="K46" s="1">
        <v>1</v>
      </c>
      <c r="L46" s="1" t="s">
        <v>292</v>
      </c>
      <c r="M46" s="1">
        <v>1</v>
      </c>
      <c r="N46" s="1">
        <v>1</v>
      </c>
      <c r="O46" s="1" t="s">
        <v>296</v>
      </c>
      <c r="P46" s="1">
        <v>131.48099999999999</v>
      </c>
      <c r="Q46" s="1">
        <v>1</v>
      </c>
      <c r="R46" s="1">
        <v>12</v>
      </c>
      <c r="S46" s="1">
        <v>9.25</v>
      </c>
      <c r="T46" s="1">
        <v>0</v>
      </c>
      <c r="V46" s="1" t="s">
        <v>11223</v>
      </c>
      <c r="W46" s="1">
        <v>100</v>
      </c>
      <c r="X46" s="1" t="s">
        <v>298</v>
      </c>
      <c r="Y46" s="1" t="s">
        <v>299</v>
      </c>
      <c r="Z46" s="1">
        <v>1</v>
      </c>
      <c r="AA46" s="1">
        <f>ROUND(H46*I46*Z46, 3)</f>
        <v>75.132000000000005</v>
      </c>
      <c r="AB46" s="1">
        <f>ROUND(VLOOKUP(X46,'Base de dados'!A:B, 2, 0)*AA46, 2)</f>
        <v>7.51</v>
      </c>
      <c r="AC46" s="1">
        <f>ROUND((AA46*(Destino!AG46/100))*(W46/100),2)</f>
        <v>9.02</v>
      </c>
      <c r="AD46" s="1">
        <f>ROUND(AA46*(Destino!AH46/100),2)</f>
        <v>6.95</v>
      </c>
      <c r="AF46" s="1">
        <f>ROUND((AA46+ AB46)*(J46/100),2)</f>
        <v>1.24</v>
      </c>
      <c r="AG46" s="1">
        <f>ROUND(AA46*T46,2)</f>
        <v>0</v>
      </c>
      <c r="AH46" s="1">
        <f>ROUND(AA46-(AC46+AD46)+AF46+AG46, 3)</f>
        <v>60.402000000000001</v>
      </c>
      <c r="AI46" s="1">
        <f>AH46*M46*K46</f>
        <v>60.402000000000001</v>
      </c>
      <c r="BA46" s="1" t="s">
        <v>11491</v>
      </c>
      <c r="BB46" s="1">
        <f>AI46</f>
        <v>60.402000000000001</v>
      </c>
      <c r="BD46" s="1">
        <f>N46</f>
        <v>1</v>
      </c>
    </row>
    <row r="47" spans="1:56" x14ac:dyDescent="0.25">
      <c r="A47" s="1">
        <v>600000302</v>
      </c>
      <c r="B47" s="1">
        <v>1100</v>
      </c>
      <c r="C47" s="1">
        <v>2200001473</v>
      </c>
      <c r="D47" s="1" t="s">
        <v>303</v>
      </c>
      <c r="E47" s="1">
        <f>IF(AND(B47&lt;&gt;1110,B47&lt;&gt;1210,B47&lt;&gt;1510,B47&lt;&gt;1710),B47,IF(B47=1110,"1100",IF(B47=1210,"1200",IF(B47=1510,"1500",IF(B47=1710,"1700","X")))))</f>
        <v>1100</v>
      </c>
      <c r="F47" s="1" t="s">
        <v>11198</v>
      </c>
      <c r="G47" s="1" t="s">
        <v>302</v>
      </c>
      <c r="H47" s="1">
        <f>ROUND(P47/(1-((R47+S47))/100)*Q47, 3)</f>
        <v>156.99199999999999</v>
      </c>
      <c r="I47" s="1">
        <v>0.45</v>
      </c>
      <c r="J47" s="1">
        <v>2</v>
      </c>
      <c r="K47" s="1">
        <v>1</v>
      </c>
      <c r="L47" s="1" t="s">
        <v>292</v>
      </c>
      <c r="M47" s="1">
        <v>1</v>
      </c>
      <c r="N47" s="1">
        <v>1</v>
      </c>
      <c r="O47" s="1" t="s">
        <v>296</v>
      </c>
      <c r="P47" s="1">
        <v>131.48099999999999</v>
      </c>
      <c r="Q47" s="1">
        <v>1</v>
      </c>
      <c r="R47" s="1">
        <v>7</v>
      </c>
      <c r="S47" s="1">
        <v>9.25</v>
      </c>
      <c r="T47" s="1">
        <v>0</v>
      </c>
      <c r="V47" s="1" t="s">
        <v>11224</v>
      </c>
      <c r="W47" s="1">
        <v>100</v>
      </c>
      <c r="X47" s="1" t="s">
        <v>5</v>
      </c>
      <c r="Y47" s="1" t="s">
        <v>299</v>
      </c>
      <c r="Z47" s="1">
        <v>1</v>
      </c>
      <c r="AA47" s="1">
        <f>ROUND(H47*I47*Z47, 3)</f>
        <v>70.646000000000001</v>
      </c>
      <c r="AB47" s="1">
        <f>ROUND(VLOOKUP(X47,'Base de dados'!A:B, 2, 0)*AA47, 2)</f>
        <v>7.06</v>
      </c>
      <c r="AC47" s="1">
        <f>ROUND((AA47*(Destino!AG47/100))*(W47/100),2)</f>
        <v>4.95</v>
      </c>
      <c r="AD47" s="1">
        <f>ROUND(AA47*(Destino!AH47/100),2)</f>
        <v>6.53</v>
      </c>
      <c r="AF47" s="1">
        <f>ROUND((AA47+ AB47)*(J47/100),2)</f>
        <v>1.55</v>
      </c>
      <c r="AG47" s="1">
        <f>ROUND(AA47*T47,2)</f>
        <v>0</v>
      </c>
      <c r="AH47" s="1">
        <f>ROUND(AA47-(AC47+AD47)+AF47+AG47, 3)</f>
        <v>60.716000000000001</v>
      </c>
      <c r="AI47" s="1">
        <f>AH47*M47*K47</f>
        <v>60.716000000000001</v>
      </c>
      <c r="BA47" s="1" t="s">
        <v>11492</v>
      </c>
      <c r="BB47" s="1">
        <f>AI47</f>
        <v>60.716000000000001</v>
      </c>
      <c r="BD47" s="1">
        <f>N47</f>
        <v>1</v>
      </c>
    </row>
    <row r="48" spans="1:56" x14ac:dyDescent="0.25">
      <c r="A48" s="1">
        <v>600000302</v>
      </c>
      <c r="B48" s="1">
        <v>1110</v>
      </c>
      <c r="C48" s="1">
        <v>2200001473</v>
      </c>
      <c r="D48" s="1" t="s">
        <v>303</v>
      </c>
      <c r="E48" s="1" t="str">
        <f>IF(AND(B48&lt;&gt;1110,B48&lt;&gt;1210,B48&lt;&gt;1510,B48&lt;&gt;1710),B48,IF(B48=1110,"1100",IF(B48=1210,"1200",IF(B48=1510,"1500",IF(B48=1710,"1700","X")))))</f>
        <v>1100</v>
      </c>
      <c r="F48" s="1" t="s">
        <v>447</v>
      </c>
      <c r="G48" s="1" t="s">
        <v>302</v>
      </c>
      <c r="H48" s="1">
        <f>ROUND(P48/(1-((R48+S48))/100)*Q48, 3)</f>
        <v>156.99199999999999</v>
      </c>
      <c r="I48" s="1">
        <v>0.45</v>
      </c>
      <c r="J48" s="1">
        <v>4</v>
      </c>
      <c r="K48" s="1">
        <v>1</v>
      </c>
      <c r="L48" s="1" t="s">
        <v>292</v>
      </c>
      <c r="M48" s="1">
        <v>1</v>
      </c>
      <c r="N48" s="1">
        <v>0.75258700000000001</v>
      </c>
      <c r="O48" s="1" t="s">
        <v>296</v>
      </c>
      <c r="P48" s="1">
        <v>131.48099999999999</v>
      </c>
      <c r="Q48" s="1">
        <v>1</v>
      </c>
      <c r="R48" s="1">
        <v>7</v>
      </c>
      <c r="S48" s="1">
        <v>9.25</v>
      </c>
      <c r="T48" s="1">
        <v>0</v>
      </c>
      <c r="V48" s="1" t="s">
        <v>11224</v>
      </c>
      <c r="W48" s="1">
        <v>100</v>
      </c>
      <c r="X48" s="1" t="s">
        <v>6</v>
      </c>
      <c r="Y48" s="1" t="s">
        <v>299</v>
      </c>
      <c r="Z48" s="1">
        <v>1</v>
      </c>
      <c r="AA48" s="1">
        <f>ROUND(H48*I48*Z48, 3)</f>
        <v>70.646000000000001</v>
      </c>
      <c r="AB48" s="1">
        <f>ROUND(VLOOKUP(X48,'Base de dados'!A:B, 2, 0)*AA48, 2)</f>
        <v>7.06</v>
      </c>
      <c r="AC48" s="1">
        <f>ROUND((AA48*(Destino!AG48/100))*(W48/100),2)</f>
        <v>4.95</v>
      </c>
      <c r="AD48" s="1">
        <f>ROUND(AA48*(Destino!AH48/100),2)</f>
        <v>6.53</v>
      </c>
      <c r="AE48" s="1">
        <f>ROUND((((AA48+AB48)*1.5039)*(Destino!AI48/100))-AC48,2)</f>
        <v>14.92</v>
      </c>
      <c r="AF48" s="1">
        <f>ROUND((AA48+AB48+AE48)*(J48/100),2)</f>
        <v>3.71</v>
      </c>
      <c r="AG48" s="1">
        <f>ROUND(AA48*T48,2)</f>
        <v>0</v>
      </c>
      <c r="AH48" s="1">
        <f>ROUND(AA48-AD48+AE48+AF48+AG48, 3)</f>
        <v>82.745999999999995</v>
      </c>
      <c r="AI48" s="1">
        <f>AH48*M48*K48</f>
        <v>82.745999999999995</v>
      </c>
      <c r="BA48" s="1" t="s">
        <v>11493</v>
      </c>
      <c r="BB48" s="1">
        <f>AI48</f>
        <v>82.745999999999995</v>
      </c>
      <c r="BD48" s="1">
        <f>N48</f>
        <v>0.75258700000000001</v>
      </c>
    </row>
    <row r="49" spans="1:56" x14ac:dyDescent="0.25">
      <c r="A49" s="1">
        <v>600000302</v>
      </c>
      <c r="B49" s="1">
        <v>1400</v>
      </c>
      <c r="C49" s="1">
        <v>2200001473</v>
      </c>
      <c r="D49" s="1" t="s">
        <v>303</v>
      </c>
      <c r="E49" s="1">
        <f>IF(AND(B49&lt;&gt;1110,B49&lt;&gt;1210,B49&lt;&gt;1510,B49&lt;&gt;1710),B49,IF(B49=1110,"1100",IF(B49=1210,"1200",IF(B49=1510,"1500",IF(B49=1710,"1700","X")))))</f>
        <v>1400</v>
      </c>
      <c r="F49" s="1" t="s">
        <v>11198</v>
      </c>
      <c r="G49" s="1" t="s">
        <v>302</v>
      </c>
      <c r="H49" s="1">
        <f>ROUND(P49/(1-((R49+S49))/100)*Q49, 3)</f>
        <v>180.73</v>
      </c>
      <c r="I49" s="1">
        <v>0.45</v>
      </c>
      <c r="J49" s="1">
        <v>1.5</v>
      </c>
      <c r="K49" s="1">
        <v>1</v>
      </c>
      <c r="L49" s="1" t="s">
        <v>292</v>
      </c>
      <c r="M49" s="1">
        <v>1</v>
      </c>
      <c r="N49" s="1">
        <v>1</v>
      </c>
      <c r="O49" s="1" t="s">
        <v>296</v>
      </c>
      <c r="P49" s="1">
        <v>131.48099999999999</v>
      </c>
      <c r="Q49" s="1">
        <v>1</v>
      </c>
      <c r="R49" s="1">
        <v>18</v>
      </c>
      <c r="S49" s="1">
        <v>9.25</v>
      </c>
      <c r="T49" s="1">
        <v>0</v>
      </c>
      <c r="V49" s="1" t="s">
        <v>11224</v>
      </c>
      <c r="W49" s="1">
        <v>100</v>
      </c>
      <c r="X49" s="1" t="s">
        <v>8</v>
      </c>
      <c r="Y49" s="1" t="s">
        <v>299</v>
      </c>
      <c r="Z49" s="1">
        <v>1</v>
      </c>
      <c r="AA49" s="1">
        <f>ROUND(H49*I49*Z49, 3)</f>
        <v>81.328999999999994</v>
      </c>
      <c r="AB49" s="1">
        <f>ROUND(VLOOKUP(X49,'Base de dados'!A:B, 2, 0)*AA49, 2)</f>
        <v>8.1300000000000008</v>
      </c>
      <c r="AC49" s="1">
        <f>ROUND((AA49*(Destino!AG49/100))*(W49/100),2)</f>
        <v>14.64</v>
      </c>
      <c r="AD49" s="1">
        <f>ROUND(AA49*(Destino!AH49/100),2)</f>
        <v>7.52</v>
      </c>
      <c r="AF49" s="1">
        <f>ROUND((AA49+ AB49)*(J49/100),2)</f>
        <v>1.34</v>
      </c>
      <c r="AG49" s="1">
        <f>ROUND(AA49*T49,2)</f>
        <v>0</v>
      </c>
      <c r="AH49" s="1">
        <f>ROUND(AA49-(AC49+AD49)+AF49+AG49, 3)</f>
        <v>60.509</v>
      </c>
      <c r="AI49" s="1">
        <f>AH49*M49*K49</f>
        <v>60.509</v>
      </c>
      <c r="BA49" s="1" t="s">
        <v>11358</v>
      </c>
      <c r="BB49" s="1">
        <f>AI49</f>
        <v>60.509</v>
      </c>
      <c r="BD49" s="1">
        <f>N49</f>
        <v>1</v>
      </c>
    </row>
    <row r="50" spans="1:56" x14ac:dyDescent="0.25">
      <c r="A50" s="1">
        <v>600000302</v>
      </c>
      <c r="B50" s="1">
        <v>1700</v>
      </c>
      <c r="C50" s="1">
        <v>2200001421</v>
      </c>
      <c r="D50" s="1" t="s">
        <v>303</v>
      </c>
      <c r="E50" s="1">
        <f>IF(AND(B50&lt;&gt;1110,B50&lt;&gt;1210,B50&lt;&gt;1510,B50&lt;&gt;1710),B50,IF(B50=1110,"1100",IF(B50=1210,"1200",IF(B50=1510,"1500",IF(B50=1710,"1700","X")))))</f>
        <v>1700</v>
      </c>
      <c r="F50" s="1" t="s">
        <v>11238</v>
      </c>
      <c r="G50" s="1" t="s">
        <v>302</v>
      </c>
      <c r="H50" s="1">
        <f>ROUND(P50/(1-((R50+S50))/100)*Q50, 3)</f>
        <v>72.25</v>
      </c>
      <c r="I50" s="1">
        <v>0.25</v>
      </c>
      <c r="J50" s="1">
        <v>3</v>
      </c>
      <c r="K50" s="1">
        <v>1</v>
      </c>
      <c r="L50" s="1" t="s">
        <v>292</v>
      </c>
      <c r="M50" s="1">
        <v>4</v>
      </c>
      <c r="N50" s="1">
        <v>1</v>
      </c>
      <c r="O50" s="1" t="s">
        <v>296</v>
      </c>
      <c r="P50" s="1">
        <f>IFERROR(VLOOKUP(BC50, BA:BA:BB:BB, 2, 0),)</f>
        <v>60.509</v>
      </c>
      <c r="Q50" s="1">
        <f>IFERROR(VLOOKUP(BC50, BA:BA:BD:BD, 4, 0),1)</f>
        <v>1</v>
      </c>
      <c r="R50" s="1">
        <v>7</v>
      </c>
      <c r="S50" s="1">
        <v>9.25</v>
      </c>
      <c r="T50" s="1">
        <v>0</v>
      </c>
      <c r="V50" s="1" t="s">
        <v>11223</v>
      </c>
      <c r="W50" s="1">
        <v>100</v>
      </c>
      <c r="X50" s="1" t="s">
        <v>298</v>
      </c>
      <c r="Y50" s="1" t="s">
        <v>299</v>
      </c>
      <c r="Z50" s="1">
        <v>1</v>
      </c>
      <c r="AA50" s="1">
        <f>ROUND(H50*I50*Z50, 3)</f>
        <v>18.062999999999999</v>
      </c>
      <c r="AB50" s="1">
        <f>ROUND(VLOOKUP(X50,'Base de dados'!A:B, 2, 0)*AA50, 2)</f>
        <v>1.81</v>
      </c>
      <c r="AC50" s="1">
        <f>ROUND((AA50*(Destino!AG50/100))*(W50/100),2)</f>
        <v>1.26</v>
      </c>
      <c r="AD50" s="1">
        <f>ROUND(AA50*(Destino!AH50/100),2)</f>
        <v>0</v>
      </c>
      <c r="AE50" s="1">
        <f>ROUND((((AA50+AB50)*1.48)*(Destino!AI50/100))-AC50,2)</f>
        <v>3.74</v>
      </c>
      <c r="AF50" s="1">
        <f>ROUND((AA50+AB50+AE50)*(J50/100),2)</f>
        <v>0.71</v>
      </c>
      <c r="AG50" s="1">
        <f>ROUND(AA50*T50,2)</f>
        <v>0</v>
      </c>
      <c r="AH50" s="1">
        <f>ROUND(AA50+AB50-AD50+AE50+AF50+AG50, 3)</f>
        <v>24.323</v>
      </c>
      <c r="AI50" s="1">
        <f>AH50*M50*K50</f>
        <v>97.292000000000002</v>
      </c>
      <c r="BA50" s="1" t="s">
        <v>11257</v>
      </c>
      <c r="BB50" s="1">
        <f>AI50</f>
        <v>97.292000000000002</v>
      </c>
      <c r="BC50" s="1" t="s">
        <v>11358</v>
      </c>
      <c r="BD50" s="1">
        <f>N50</f>
        <v>1</v>
      </c>
    </row>
    <row r="51" spans="1:56" x14ac:dyDescent="0.25">
      <c r="A51" s="1">
        <v>600000329</v>
      </c>
      <c r="B51" s="1">
        <v>1000</v>
      </c>
      <c r="C51" s="1">
        <v>2200001473</v>
      </c>
      <c r="D51" s="1" t="s">
        <v>303</v>
      </c>
      <c r="E51" s="1">
        <f>IF(AND(B51&lt;&gt;1110,B51&lt;&gt;1210,B51&lt;&gt;1510,B51&lt;&gt;1710),B51,IF(B51=1110,"1100",IF(B51=1210,"1200",IF(B51=1510,"1500",IF(B51=1710,"1700","X")))))</f>
        <v>1000</v>
      </c>
      <c r="F51" s="1" t="s">
        <v>11198</v>
      </c>
      <c r="G51" s="1" t="s">
        <v>302</v>
      </c>
      <c r="H51" s="1">
        <f>ROUND(P51/(1-((R51+S51))/100)*Q51, 3)</f>
        <v>439.90899999999999</v>
      </c>
      <c r="I51" s="1">
        <v>0.45</v>
      </c>
      <c r="J51" s="1">
        <v>1.5</v>
      </c>
      <c r="K51" s="1">
        <v>1</v>
      </c>
      <c r="L51" s="1" t="s">
        <v>292</v>
      </c>
      <c r="M51" s="1">
        <v>1</v>
      </c>
      <c r="N51" s="1">
        <v>1</v>
      </c>
      <c r="O51" s="1" t="s">
        <v>296</v>
      </c>
      <c r="P51" s="1">
        <v>346.428</v>
      </c>
      <c r="Q51" s="1">
        <v>1</v>
      </c>
      <c r="R51" s="1">
        <v>12</v>
      </c>
      <c r="S51" s="1">
        <v>9.25</v>
      </c>
      <c r="T51" s="1">
        <v>0</v>
      </c>
      <c r="V51" s="1" t="s">
        <v>11223</v>
      </c>
      <c r="W51" s="1">
        <v>100</v>
      </c>
      <c r="X51" s="1" t="s">
        <v>298</v>
      </c>
      <c r="Y51" s="1" t="s">
        <v>299</v>
      </c>
      <c r="Z51" s="1">
        <v>1</v>
      </c>
      <c r="AA51" s="1">
        <f>ROUND(H51*I51*Z51, 3)</f>
        <v>197.959</v>
      </c>
      <c r="AB51" s="1">
        <f>ROUND(VLOOKUP(X51,'Base de dados'!A:B, 2, 0)*AA51, 2)</f>
        <v>19.8</v>
      </c>
      <c r="AC51" s="1">
        <f>ROUND((AA51*(Destino!AG51/100))*(W51/100),2)</f>
        <v>23.76</v>
      </c>
      <c r="AD51" s="1">
        <f>ROUND(AA51*(Destino!AH51/100),2)</f>
        <v>18.309999999999999</v>
      </c>
      <c r="AF51" s="1">
        <f>ROUND((AA51+ AB51)*(J51/100),2)</f>
        <v>3.27</v>
      </c>
      <c r="AG51" s="1">
        <f>ROUND(AA51*T51,2)</f>
        <v>0</v>
      </c>
      <c r="AH51" s="1">
        <f>ROUND(AA51-(AC51+AD51)+AF51+AG51, 3)</f>
        <v>159.15899999999999</v>
      </c>
      <c r="AI51" s="1">
        <f>AH51*M51*K51</f>
        <v>159.15899999999999</v>
      </c>
      <c r="BA51" s="1" t="s">
        <v>11494</v>
      </c>
      <c r="BB51" s="1">
        <f>AI51</f>
        <v>159.15899999999999</v>
      </c>
      <c r="BD51" s="1">
        <f>N51</f>
        <v>1</v>
      </c>
    </row>
    <row r="52" spans="1:56" x14ac:dyDescent="0.25">
      <c r="A52" s="1">
        <v>600000329</v>
      </c>
      <c r="B52" s="1">
        <v>1100</v>
      </c>
      <c r="C52" s="1">
        <v>2200001473</v>
      </c>
      <c r="D52" s="1" t="s">
        <v>303</v>
      </c>
      <c r="E52" s="1">
        <f>IF(AND(B52&lt;&gt;1110,B52&lt;&gt;1210,B52&lt;&gt;1510,B52&lt;&gt;1710),B52,IF(B52=1110,"1100",IF(B52=1210,"1200",IF(B52=1510,"1500",IF(B52=1710,"1700","X")))))</f>
        <v>1100</v>
      </c>
      <c r="F52" s="1" t="s">
        <v>11198</v>
      </c>
      <c r="G52" s="1" t="s">
        <v>302</v>
      </c>
      <c r="H52" s="1">
        <f>ROUND(P52/(1-((R52+S52))/100)*Q52, 3)</f>
        <v>413.64499999999998</v>
      </c>
      <c r="I52" s="1">
        <v>0.45</v>
      </c>
      <c r="J52" s="1">
        <v>2</v>
      </c>
      <c r="K52" s="1">
        <v>1</v>
      </c>
      <c r="L52" s="1" t="s">
        <v>292</v>
      </c>
      <c r="M52" s="1">
        <v>1</v>
      </c>
      <c r="N52" s="1">
        <v>1</v>
      </c>
      <c r="O52" s="1" t="s">
        <v>296</v>
      </c>
      <c r="P52" s="1">
        <v>346.428</v>
      </c>
      <c r="Q52" s="1">
        <v>1</v>
      </c>
      <c r="R52" s="1">
        <v>7</v>
      </c>
      <c r="S52" s="1">
        <v>9.25</v>
      </c>
      <c r="T52" s="1">
        <v>0</v>
      </c>
      <c r="V52" s="1" t="s">
        <v>11223</v>
      </c>
      <c r="W52" s="1">
        <v>100</v>
      </c>
      <c r="X52" s="1" t="s">
        <v>298</v>
      </c>
      <c r="Y52" s="1" t="s">
        <v>299</v>
      </c>
      <c r="Z52" s="1">
        <v>1</v>
      </c>
      <c r="AA52" s="1">
        <f>ROUND(H52*I52*Z52, 3)</f>
        <v>186.14</v>
      </c>
      <c r="AB52" s="1">
        <f>ROUND(VLOOKUP(X52,'Base de dados'!A:B, 2, 0)*AA52, 2)</f>
        <v>18.61</v>
      </c>
      <c r="AC52" s="1">
        <f>ROUND((AA52*(Destino!AG52/100))*(W52/100),2)</f>
        <v>13.03</v>
      </c>
      <c r="AD52" s="1">
        <f>ROUND(AA52*(Destino!AH52/100),2)</f>
        <v>17.22</v>
      </c>
      <c r="AF52" s="1">
        <f>ROUND((AA52+ AB52)*(J52/100),2)</f>
        <v>4.0999999999999996</v>
      </c>
      <c r="AG52" s="1">
        <f>ROUND(AA52*T52,2)</f>
        <v>0</v>
      </c>
      <c r="AH52" s="1">
        <f>ROUND(AA52-(AC52+AD52)+AF52+AG52, 3)</f>
        <v>159.99</v>
      </c>
      <c r="AI52" s="1">
        <f>AH52*M52*K52</f>
        <v>159.99</v>
      </c>
      <c r="BA52" s="1" t="s">
        <v>11495</v>
      </c>
      <c r="BB52" s="1">
        <f>AI52</f>
        <v>159.99</v>
      </c>
      <c r="BD52" s="1">
        <f>N52</f>
        <v>1</v>
      </c>
    </row>
    <row r="53" spans="1:56" x14ac:dyDescent="0.25">
      <c r="A53" s="1">
        <v>600000329</v>
      </c>
      <c r="B53" s="1">
        <v>1110</v>
      </c>
      <c r="C53" s="1">
        <v>2200001473</v>
      </c>
      <c r="D53" s="1" t="s">
        <v>303</v>
      </c>
      <c r="E53" s="1" t="str">
        <f>IF(AND(B53&lt;&gt;1110,B53&lt;&gt;1210,B53&lt;&gt;1510,B53&lt;&gt;1710),B53,IF(B53=1110,"1100",IF(B53=1210,"1200",IF(B53=1510,"1500",IF(B53=1710,"1700","X")))))</f>
        <v>1100</v>
      </c>
      <c r="F53" s="1" t="s">
        <v>447</v>
      </c>
      <c r="G53" s="1" t="s">
        <v>302</v>
      </c>
      <c r="H53" s="1">
        <f>ROUND(P53/(1-((R53+S53))/100)*Q53, 3)</f>
        <v>413.64499999999998</v>
      </c>
      <c r="I53" s="1">
        <v>0.45</v>
      </c>
      <c r="J53" s="1">
        <v>4</v>
      </c>
      <c r="K53" s="1">
        <v>1</v>
      </c>
      <c r="L53" s="1" t="s">
        <v>292</v>
      </c>
      <c r="M53" s="1">
        <v>1</v>
      </c>
      <c r="N53" s="1">
        <v>0.75266100000000002</v>
      </c>
      <c r="O53" s="1" t="s">
        <v>296</v>
      </c>
      <c r="P53" s="1">
        <v>346.428</v>
      </c>
      <c r="Q53" s="1">
        <v>1</v>
      </c>
      <c r="R53" s="1">
        <v>7</v>
      </c>
      <c r="S53" s="1">
        <v>9.25</v>
      </c>
      <c r="T53" s="1">
        <v>0</v>
      </c>
      <c r="V53" s="1" t="s">
        <v>11223</v>
      </c>
      <c r="W53" s="1">
        <v>100</v>
      </c>
      <c r="X53" s="1" t="s">
        <v>298</v>
      </c>
      <c r="Y53" s="1" t="s">
        <v>299</v>
      </c>
      <c r="Z53" s="1">
        <v>1</v>
      </c>
      <c r="AA53" s="1">
        <f>ROUND(H53*I53*Z53, 3)</f>
        <v>186.14</v>
      </c>
      <c r="AB53" s="1">
        <f>ROUND(VLOOKUP(X53,'Base de dados'!A:B, 2, 0)*AA53, 2)</f>
        <v>18.61</v>
      </c>
      <c r="AC53" s="1">
        <f>ROUND((AA53*(Destino!AG53/100))*(W53/100),2)</f>
        <v>13.03</v>
      </c>
      <c r="AD53" s="1">
        <f>ROUND(AA53*(Destino!AH53/100),2)</f>
        <v>17.22</v>
      </c>
      <c r="AE53" s="1">
        <f>ROUND((((AA53+AB53)*1.5039)*(Destino!AI53/100))-AC53,2)</f>
        <v>39.32</v>
      </c>
      <c r="AF53" s="1">
        <f>ROUND((AA53+AB53+AE53)*(J53/100),2)</f>
        <v>9.76</v>
      </c>
      <c r="AG53" s="1">
        <f>ROUND(AA53*T53,2)</f>
        <v>0</v>
      </c>
      <c r="AH53" s="1">
        <f>ROUND(AA53-AD53+AE53+AF53+AG53, 3)</f>
        <v>218</v>
      </c>
      <c r="AI53" s="1">
        <f>AH53*M53*K53</f>
        <v>218</v>
      </c>
      <c r="BA53" s="1" t="s">
        <v>11496</v>
      </c>
      <c r="BB53" s="1">
        <f>AI53</f>
        <v>218</v>
      </c>
      <c r="BD53" s="1">
        <f>N53</f>
        <v>0.75266100000000002</v>
      </c>
    </row>
    <row r="54" spans="1:56" x14ac:dyDescent="0.25">
      <c r="A54" s="1">
        <v>600000329</v>
      </c>
      <c r="B54" s="1">
        <v>1400</v>
      </c>
      <c r="C54" s="1">
        <v>2200001473</v>
      </c>
      <c r="D54" s="1" t="s">
        <v>303</v>
      </c>
      <c r="E54" s="1">
        <f>IF(AND(B54&lt;&gt;1110,B54&lt;&gt;1210,B54&lt;&gt;1510,B54&lt;&gt;1710),B54,IF(B54=1110,"1100",IF(B54=1210,"1200",IF(B54=1510,"1500",IF(B54=1710,"1700","X")))))</f>
        <v>1400</v>
      </c>
      <c r="F54" s="1" t="s">
        <v>11198</v>
      </c>
      <c r="G54" s="1" t="s">
        <v>302</v>
      </c>
      <c r="H54" s="1">
        <f>ROUND(P54/(1-((R54+S54))/100)*Q54, 3)</f>
        <v>476.19</v>
      </c>
      <c r="I54" s="1">
        <v>0.45</v>
      </c>
      <c r="J54" s="1">
        <v>1.5</v>
      </c>
      <c r="K54" s="1">
        <v>1</v>
      </c>
      <c r="L54" s="1" t="s">
        <v>292</v>
      </c>
      <c r="M54" s="1">
        <v>1</v>
      </c>
      <c r="N54" s="1">
        <v>1</v>
      </c>
      <c r="O54" s="1" t="s">
        <v>296</v>
      </c>
      <c r="P54" s="1">
        <v>346.428</v>
      </c>
      <c r="Q54" s="1">
        <v>1</v>
      </c>
      <c r="R54" s="1">
        <v>18</v>
      </c>
      <c r="S54" s="1">
        <v>9.25</v>
      </c>
      <c r="T54" s="1">
        <v>0</v>
      </c>
      <c r="V54" s="1" t="s">
        <v>11223</v>
      </c>
      <c r="W54" s="1">
        <v>100</v>
      </c>
      <c r="X54" s="1" t="s">
        <v>298</v>
      </c>
      <c r="Y54" s="1" t="s">
        <v>299</v>
      </c>
      <c r="Z54" s="1">
        <v>1</v>
      </c>
      <c r="AA54" s="1">
        <f>ROUND(H54*I54*Z54, 3)</f>
        <v>214.286</v>
      </c>
      <c r="AB54" s="1">
        <f>ROUND(VLOOKUP(X54,'Base de dados'!A:B, 2, 0)*AA54, 2)</f>
        <v>21.43</v>
      </c>
      <c r="AC54" s="1">
        <f>ROUND((AA54*(Destino!AG54/100))*(W54/100),2)</f>
        <v>38.57</v>
      </c>
      <c r="AD54" s="1">
        <f>ROUND(AA54*(Destino!AH54/100),2)</f>
        <v>19.82</v>
      </c>
      <c r="AF54" s="1">
        <f>ROUND((AA54+ AB54)*(J54/100),2)</f>
        <v>3.54</v>
      </c>
      <c r="AG54" s="1">
        <f>ROUND(AA54*T54,2)</f>
        <v>0</v>
      </c>
      <c r="AH54" s="1">
        <f>ROUND(AA54-(AC54+AD54)+AF54+AG54, 3)</f>
        <v>159.43600000000001</v>
      </c>
      <c r="AI54" s="1">
        <f>AH54*M54*K54</f>
        <v>159.43600000000001</v>
      </c>
      <c r="BA54" s="1" t="s">
        <v>11359</v>
      </c>
      <c r="BB54" s="1">
        <f>AI54</f>
        <v>159.43600000000001</v>
      </c>
      <c r="BD54" s="1">
        <f>N54</f>
        <v>1</v>
      </c>
    </row>
    <row r="55" spans="1:56" x14ac:dyDescent="0.25">
      <c r="A55" s="1">
        <v>600000329</v>
      </c>
      <c r="B55" s="1">
        <v>1700</v>
      </c>
      <c r="C55" s="1">
        <v>2200001421</v>
      </c>
      <c r="D55" s="1" t="s">
        <v>303</v>
      </c>
      <c r="E55" s="1">
        <f>IF(AND(B55&lt;&gt;1110,B55&lt;&gt;1210,B55&lt;&gt;1510,B55&lt;&gt;1710),B55,IF(B55=1110,"1100",IF(B55=1210,"1200",IF(B55=1510,"1500",IF(B55=1710,"1700","X")))))</f>
        <v>1700</v>
      </c>
      <c r="F55" s="1" t="s">
        <v>11238</v>
      </c>
      <c r="G55" s="1" t="s">
        <v>302</v>
      </c>
      <c r="H55" s="1">
        <f>ROUND(P55/(1-((R55+S55))/100)*Q55, 3)</f>
        <v>190.37100000000001</v>
      </c>
      <c r="I55" s="1">
        <v>0.25</v>
      </c>
      <c r="J55" s="1">
        <v>3</v>
      </c>
      <c r="K55" s="1">
        <v>1</v>
      </c>
      <c r="L55" s="1" t="s">
        <v>292</v>
      </c>
      <c r="M55" s="1">
        <v>4</v>
      </c>
      <c r="N55" s="1">
        <v>1</v>
      </c>
      <c r="O55" s="1" t="s">
        <v>296</v>
      </c>
      <c r="P55" s="1">
        <f>IFERROR(VLOOKUP(BC55, BA:BA:BB:BB, 2, 0),)</f>
        <v>159.43600000000001</v>
      </c>
      <c r="Q55" s="1">
        <f>IFERROR(VLOOKUP(BC55, BA:BA:BD:BD, 4, 0),1)</f>
        <v>1</v>
      </c>
      <c r="R55" s="1">
        <v>7</v>
      </c>
      <c r="S55" s="1">
        <v>9.25</v>
      </c>
      <c r="T55" s="1">
        <v>0</v>
      </c>
      <c r="V55" s="1" t="s">
        <v>11223</v>
      </c>
      <c r="W55" s="1">
        <v>100</v>
      </c>
      <c r="X55" s="1" t="s">
        <v>298</v>
      </c>
      <c r="Y55" s="1" t="s">
        <v>299</v>
      </c>
      <c r="Z55" s="1">
        <v>1</v>
      </c>
      <c r="AA55" s="1">
        <f>ROUND(H55*I55*Z55, 3)</f>
        <v>47.593000000000004</v>
      </c>
      <c r="AB55" s="1">
        <f>ROUND(VLOOKUP(X55,'Base de dados'!A:B, 2, 0)*AA55, 2)</f>
        <v>4.76</v>
      </c>
      <c r="AC55" s="1">
        <f>ROUND((AA55*(Destino!AG55/100))*(W55/100),2)</f>
        <v>3.33</v>
      </c>
      <c r="AD55" s="1">
        <f>ROUND(AA55*(Destino!AH55/100),2)</f>
        <v>0</v>
      </c>
      <c r="AE55" s="1">
        <f>ROUND((((AA55+AB55)*1.48)*(Destino!AI55/100))-AC55,2)</f>
        <v>9.84</v>
      </c>
      <c r="AF55" s="1">
        <f>ROUND((AA55+AB55+AE55)*(J55/100),2)</f>
        <v>1.87</v>
      </c>
      <c r="AG55" s="1">
        <f>ROUND(AA55*T55,2)</f>
        <v>0</v>
      </c>
      <c r="AH55" s="1">
        <f>ROUND(AA55+AB55-AD55+AE55+AF55+AG55, 3)</f>
        <v>64.063000000000002</v>
      </c>
      <c r="AI55" s="1">
        <f>AH55*M55*K55</f>
        <v>256.25200000000001</v>
      </c>
      <c r="BA55" s="1" t="s">
        <v>11258</v>
      </c>
      <c r="BB55" s="1">
        <f>AI55</f>
        <v>256.25200000000001</v>
      </c>
      <c r="BC55" s="1" t="s">
        <v>11359</v>
      </c>
      <c r="BD55" s="1">
        <f>N55</f>
        <v>1</v>
      </c>
    </row>
    <row r="56" spans="1:56" x14ac:dyDescent="0.25">
      <c r="A56" s="1">
        <v>600000876</v>
      </c>
      <c r="B56" s="1">
        <v>1000</v>
      </c>
      <c r="C56" s="1">
        <v>2200001473</v>
      </c>
      <c r="D56" s="1" t="s">
        <v>303</v>
      </c>
      <c r="E56" s="1">
        <f>IF(AND(B56&lt;&gt;1110,B56&lt;&gt;1210,B56&lt;&gt;1510,B56&lt;&gt;1710),B56,IF(B56=1110,"1100",IF(B56=1210,"1200",IF(B56=1510,"1500",IF(B56=1710,"1700","X")))))</f>
        <v>1000</v>
      </c>
      <c r="F56" s="1" t="s">
        <v>11198</v>
      </c>
      <c r="G56" s="1" t="s">
        <v>302</v>
      </c>
      <c r="H56" s="1">
        <f>ROUND(P56/(1-((R56+S56))/100)*Q56, 3)</f>
        <v>26.937000000000001</v>
      </c>
      <c r="I56" s="1">
        <v>0.45</v>
      </c>
      <c r="J56" s="1">
        <v>1.5</v>
      </c>
      <c r="K56" s="1">
        <v>1</v>
      </c>
      <c r="L56" s="1" t="s">
        <v>292</v>
      </c>
      <c r="M56" s="1">
        <v>1</v>
      </c>
      <c r="N56" s="1">
        <v>1</v>
      </c>
      <c r="O56" s="1" t="s">
        <v>296</v>
      </c>
      <c r="P56" s="1">
        <v>21.213000000000001</v>
      </c>
      <c r="Q56" s="1">
        <v>1</v>
      </c>
      <c r="R56" s="1">
        <v>12</v>
      </c>
      <c r="S56" s="1">
        <v>9.25</v>
      </c>
      <c r="T56" s="1">
        <v>0</v>
      </c>
      <c r="V56" s="1" t="s">
        <v>11223</v>
      </c>
      <c r="W56" s="1">
        <v>100</v>
      </c>
      <c r="X56" s="1" t="s">
        <v>319</v>
      </c>
      <c r="Y56" s="1" t="s">
        <v>299</v>
      </c>
      <c r="Z56" s="1">
        <v>1</v>
      </c>
      <c r="AA56" s="1">
        <f>ROUND(H56*I56*Z56, 3)</f>
        <v>12.122</v>
      </c>
      <c r="AB56" s="1">
        <f>ROUND(VLOOKUP(X56,'Base de dados'!A:B, 2, 0)*AA56, 2)</f>
        <v>1.21</v>
      </c>
      <c r="AC56" s="1">
        <f>ROUND((AA56*(Destino!AG56/100))*(W56/100),2)</f>
        <v>1.45</v>
      </c>
      <c r="AD56" s="1">
        <f>ROUND(AA56*(Destino!AH56/100),2)</f>
        <v>1.1200000000000001</v>
      </c>
      <c r="AF56" s="1">
        <f>ROUND((AA56+ AB56)*(J56/100),2)</f>
        <v>0.2</v>
      </c>
      <c r="AG56" s="1">
        <f>ROUND(AA56*T56,2)</f>
        <v>0</v>
      </c>
      <c r="AH56" s="1">
        <f>ROUND(AA56-(AC56+AD56)+AF56+AG56, 3)</f>
        <v>9.7520000000000007</v>
      </c>
      <c r="AI56" s="1">
        <f>AH56*M56*K56</f>
        <v>9.7520000000000007</v>
      </c>
      <c r="BA56" s="1" t="s">
        <v>11497</v>
      </c>
      <c r="BB56" s="1">
        <f>AI56</f>
        <v>9.7520000000000007</v>
      </c>
      <c r="BD56" s="1">
        <f>N56</f>
        <v>1</v>
      </c>
    </row>
    <row r="57" spans="1:56" x14ac:dyDescent="0.25">
      <c r="A57" s="1">
        <v>600000876</v>
      </c>
      <c r="B57" s="1">
        <v>1100</v>
      </c>
      <c r="C57" s="1">
        <v>2200001473</v>
      </c>
      <c r="D57" s="1" t="s">
        <v>303</v>
      </c>
      <c r="E57" s="1">
        <f>IF(AND(B57&lt;&gt;1110,B57&lt;&gt;1210,B57&lt;&gt;1510,B57&lt;&gt;1710),B57,IF(B57=1110,"1100",IF(B57=1210,"1200",IF(B57=1510,"1500",IF(B57=1710,"1700","X")))))</f>
        <v>1100</v>
      </c>
      <c r="F57" s="1" t="s">
        <v>11198</v>
      </c>
      <c r="G57" s="1" t="s">
        <v>302</v>
      </c>
      <c r="H57" s="1">
        <f>ROUND(P57/(1-((R57+S57))/100)*Q57, 3)</f>
        <v>25.33</v>
      </c>
      <c r="I57" s="1">
        <v>0.45</v>
      </c>
      <c r="J57" s="1">
        <v>2</v>
      </c>
      <c r="K57" s="1">
        <v>1</v>
      </c>
      <c r="L57" s="1" t="s">
        <v>292</v>
      </c>
      <c r="M57" s="1">
        <v>1</v>
      </c>
      <c r="N57" s="1">
        <v>1</v>
      </c>
      <c r="O57" s="1" t="s">
        <v>296</v>
      </c>
      <c r="P57" s="1">
        <v>21.213999999999999</v>
      </c>
      <c r="Q57" s="1">
        <v>1</v>
      </c>
      <c r="R57" s="1">
        <v>7</v>
      </c>
      <c r="S57" s="1">
        <v>9.25</v>
      </c>
      <c r="T57" s="1">
        <v>0</v>
      </c>
      <c r="V57" s="1" t="s">
        <v>11223</v>
      </c>
      <c r="W57" s="1">
        <v>100</v>
      </c>
      <c r="X57" s="1" t="s">
        <v>319</v>
      </c>
      <c r="Y57" s="1" t="s">
        <v>299</v>
      </c>
      <c r="Z57" s="1">
        <v>1</v>
      </c>
      <c r="AA57" s="1">
        <f>ROUND(H57*I57*Z57, 3)</f>
        <v>11.398999999999999</v>
      </c>
      <c r="AB57" s="1">
        <f>ROUND(VLOOKUP(X57,'Base de dados'!A:B, 2, 0)*AA57, 2)</f>
        <v>1.1399999999999999</v>
      </c>
      <c r="AC57" s="1">
        <f>ROUND((AA57*(Destino!AG57/100))*(W57/100),2)</f>
        <v>0.8</v>
      </c>
      <c r="AD57" s="1">
        <f>ROUND(AA57*(Destino!AH57/100),2)</f>
        <v>1.05</v>
      </c>
      <c r="AF57" s="1">
        <f>ROUND((AA57+ AB57)*(J57/100),2)</f>
        <v>0.25</v>
      </c>
      <c r="AG57" s="1">
        <f>ROUND(AA57*T57,2)</f>
        <v>0</v>
      </c>
      <c r="AH57" s="1">
        <f>ROUND(AA57-(AC57+AD57)+AF57+AG57, 3)</f>
        <v>9.7989999999999995</v>
      </c>
      <c r="AI57" s="1">
        <f>AH57*M57*K57</f>
        <v>9.7989999999999995</v>
      </c>
      <c r="BA57" s="1" t="s">
        <v>11498</v>
      </c>
      <c r="BB57" s="1">
        <f>AI57</f>
        <v>9.7989999999999995</v>
      </c>
      <c r="BD57" s="1">
        <f>N57</f>
        <v>1</v>
      </c>
    </row>
    <row r="58" spans="1:56" x14ac:dyDescent="0.25">
      <c r="A58" s="1">
        <v>600000876</v>
      </c>
      <c r="B58" s="1">
        <v>1110</v>
      </c>
      <c r="C58" s="1">
        <v>2200001473</v>
      </c>
      <c r="D58" s="1" t="s">
        <v>303</v>
      </c>
      <c r="E58" s="1" t="str">
        <f>IF(AND(B58&lt;&gt;1110,B58&lt;&gt;1210,B58&lt;&gt;1510,B58&lt;&gt;1710),B58,IF(B58=1110,"1100",IF(B58=1210,"1200",IF(B58=1510,"1500",IF(B58=1710,"1700","X")))))</f>
        <v>1100</v>
      </c>
      <c r="F58" s="1" t="s">
        <v>447</v>
      </c>
      <c r="G58" s="1" t="s">
        <v>302</v>
      </c>
      <c r="H58" s="1">
        <f>ROUND(P58/(1-((R58+S58))/100)*Q58, 3)</f>
        <v>25.33</v>
      </c>
      <c r="I58" s="1">
        <v>0.45</v>
      </c>
      <c r="J58" s="1">
        <v>4</v>
      </c>
      <c r="K58" s="1">
        <v>1</v>
      </c>
      <c r="L58" s="1" t="s">
        <v>292</v>
      </c>
      <c r="M58" s="1">
        <v>1</v>
      </c>
      <c r="N58" s="1">
        <v>0.75204099999999996</v>
      </c>
      <c r="O58" s="1" t="s">
        <v>296</v>
      </c>
      <c r="P58" s="1">
        <v>21.213999999999999</v>
      </c>
      <c r="Q58" s="1">
        <v>1</v>
      </c>
      <c r="R58" s="1">
        <v>7</v>
      </c>
      <c r="S58" s="1">
        <v>9.25</v>
      </c>
      <c r="T58" s="1">
        <v>0</v>
      </c>
      <c r="V58" s="1" t="s">
        <v>11223</v>
      </c>
      <c r="W58" s="1">
        <v>100</v>
      </c>
      <c r="X58" s="1" t="s">
        <v>319</v>
      </c>
      <c r="Y58" s="1" t="s">
        <v>299</v>
      </c>
      <c r="Z58" s="1">
        <v>1</v>
      </c>
      <c r="AA58" s="1">
        <f>ROUND(H58*I58*Z58, 3)</f>
        <v>11.398999999999999</v>
      </c>
      <c r="AB58" s="1">
        <f>ROUND(VLOOKUP(X58,'Base de dados'!A:B, 2, 0)*AA58, 2)</f>
        <v>1.1399999999999999</v>
      </c>
      <c r="AC58" s="1">
        <f>ROUND((AA58*(Destino!AG58/100))*(W58/100),2)</f>
        <v>0.8</v>
      </c>
      <c r="AD58" s="1">
        <f>ROUND(AA58*(Destino!AH58/100),2)</f>
        <v>1.05</v>
      </c>
      <c r="AE58" s="1">
        <f>ROUND((((AA58+AB58)*1.5039)*(Destino!AI58/100))-AC58,2)</f>
        <v>2.41</v>
      </c>
      <c r="AF58" s="1">
        <f>ROUND((AA58+AB58+AE58)*(J58/100),2)</f>
        <v>0.6</v>
      </c>
      <c r="AG58" s="1">
        <f>ROUND(AA58*T58,2)</f>
        <v>0</v>
      </c>
      <c r="AH58" s="1">
        <f>ROUND(AA58-AD58+AE58+AF58+AG58, 3)</f>
        <v>13.359</v>
      </c>
      <c r="AI58" s="1">
        <f>AH58*M58*K58</f>
        <v>13.359</v>
      </c>
      <c r="BA58" s="1" t="s">
        <v>11499</v>
      </c>
      <c r="BB58" s="1">
        <f>AI58</f>
        <v>13.359</v>
      </c>
      <c r="BD58" s="1">
        <f>N58</f>
        <v>0.75204099999999996</v>
      </c>
    </row>
    <row r="59" spans="1:56" x14ac:dyDescent="0.25">
      <c r="A59" s="1">
        <v>600000876</v>
      </c>
      <c r="B59" s="1">
        <v>1400</v>
      </c>
      <c r="C59" s="1">
        <v>2200001473</v>
      </c>
      <c r="D59" s="1" t="s">
        <v>303</v>
      </c>
      <c r="E59" s="1">
        <f>IF(AND(B59&lt;&gt;1110,B59&lt;&gt;1210,B59&lt;&gt;1510,B59&lt;&gt;1710),B59,IF(B59=1110,"1100",IF(B59=1210,"1200",IF(B59=1510,"1500",IF(B59=1710,"1700","X")))))</f>
        <v>1400</v>
      </c>
      <c r="F59" s="1" t="s">
        <v>11198</v>
      </c>
      <c r="G59" s="1" t="s">
        <v>302</v>
      </c>
      <c r="H59" s="1">
        <f>ROUND(P59/(1-((R59+S59))/100)*Q59, 3)</f>
        <v>29.16</v>
      </c>
      <c r="I59" s="1">
        <v>0.45</v>
      </c>
      <c r="J59" s="1">
        <v>1.5</v>
      </c>
      <c r="K59" s="1">
        <v>1</v>
      </c>
      <c r="L59" s="1" t="s">
        <v>292</v>
      </c>
      <c r="M59" s="1">
        <v>1</v>
      </c>
      <c r="N59" s="1">
        <v>1</v>
      </c>
      <c r="O59" s="1" t="s">
        <v>296</v>
      </c>
      <c r="P59" s="1">
        <v>21.213999999999999</v>
      </c>
      <c r="Q59" s="1">
        <v>1</v>
      </c>
      <c r="R59" s="1">
        <v>18</v>
      </c>
      <c r="S59" s="1">
        <v>9.25</v>
      </c>
      <c r="T59" s="1">
        <v>0</v>
      </c>
      <c r="V59" s="1" t="s">
        <v>11223</v>
      </c>
      <c r="W59" s="1">
        <v>100</v>
      </c>
      <c r="X59" s="1" t="s">
        <v>319</v>
      </c>
      <c r="Y59" s="1" t="s">
        <v>299</v>
      </c>
      <c r="Z59" s="1">
        <v>1</v>
      </c>
      <c r="AA59" s="1">
        <f>ROUND(H59*I59*Z59, 3)</f>
        <v>13.122</v>
      </c>
      <c r="AB59" s="1">
        <f>ROUND(VLOOKUP(X59,'Base de dados'!A:B, 2, 0)*AA59, 2)</f>
        <v>1.31</v>
      </c>
      <c r="AC59" s="1">
        <f>ROUND((AA59*(Destino!AG59/100))*(W59/100),2)</f>
        <v>2.36</v>
      </c>
      <c r="AD59" s="1">
        <f>ROUND(AA59*(Destino!AH59/100),2)</f>
        <v>1.21</v>
      </c>
      <c r="AF59" s="1">
        <f>ROUND((AA59+ AB59)*(J59/100),2)</f>
        <v>0.22</v>
      </c>
      <c r="AG59" s="1">
        <f>ROUND(AA59*T59,2)</f>
        <v>0</v>
      </c>
      <c r="AH59" s="1">
        <f>ROUND(AA59-(AC59+AD59)+AF59+AG59, 3)</f>
        <v>9.7720000000000002</v>
      </c>
      <c r="AI59" s="1">
        <f>AH59*M59*K59</f>
        <v>9.7720000000000002</v>
      </c>
      <c r="BA59" s="1" t="s">
        <v>11360</v>
      </c>
      <c r="BB59" s="1">
        <f>AI59</f>
        <v>9.7720000000000002</v>
      </c>
      <c r="BD59" s="1">
        <f>N59</f>
        <v>1</v>
      </c>
    </row>
    <row r="60" spans="1:56" x14ac:dyDescent="0.25">
      <c r="A60" s="1">
        <v>600000876</v>
      </c>
      <c r="B60" s="1">
        <v>1700</v>
      </c>
      <c r="C60" s="1">
        <v>2200001421</v>
      </c>
      <c r="D60" s="1" t="s">
        <v>303</v>
      </c>
      <c r="E60" s="1">
        <f>IF(AND(B60&lt;&gt;1110,B60&lt;&gt;1210,B60&lt;&gt;1510,B60&lt;&gt;1710),B60,IF(B60=1110,"1100",IF(B60=1210,"1200",IF(B60=1510,"1500",IF(B60=1710,"1700","X")))))</f>
        <v>1700</v>
      </c>
      <c r="F60" s="1" t="s">
        <v>11238</v>
      </c>
      <c r="G60" s="1" t="s">
        <v>302</v>
      </c>
      <c r="H60" s="1">
        <f>ROUND(P60/(1-((R60+S60))/100)*Q60, 3)</f>
        <v>11.667999999999999</v>
      </c>
      <c r="I60" s="1">
        <v>0.25</v>
      </c>
      <c r="J60" s="1">
        <v>3</v>
      </c>
      <c r="K60" s="1">
        <v>1</v>
      </c>
      <c r="L60" s="1" t="s">
        <v>292</v>
      </c>
      <c r="M60" s="1">
        <v>4</v>
      </c>
      <c r="N60" s="1">
        <v>1</v>
      </c>
      <c r="O60" s="1" t="s">
        <v>296</v>
      </c>
      <c r="P60" s="1">
        <f>IFERROR(VLOOKUP(BC60, BA:BA:BB:BB, 2, 0),)</f>
        <v>9.7720000000000002</v>
      </c>
      <c r="Q60" s="1">
        <f>IFERROR(VLOOKUP(BC60, BA:BA:BD:BD, 4, 0),1)</f>
        <v>1</v>
      </c>
      <c r="R60" s="1">
        <v>7</v>
      </c>
      <c r="S60" s="1">
        <v>9.25</v>
      </c>
      <c r="T60" s="1">
        <v>0</v>
      </c>
      <c r="V60" s="1" t="s">
        <v>11223</v>
      </c>
      <c r="W60" s="1">
        <v>100</v>
      </c>
      <c r="X60" s="1" t="s">
        <v>319</v>
      </c>
      <c r="Y60" s="1" t="s">
        <v>299</v>
      </c>
      <c r="Z60" s="1">
        <v>1</v>
      </c>
      <c r="AA60" s="1">
        <f>ROUND(H60*I60*Z60, 3)</f>
        <v>2.9169999999999998</v>
      </c>
      <c r="AB60" s="1">
        <f>ROUND(VLOOKUP(X60,'Base de dados'!A:B, 2, 0)*AA60, 2)</f>
        <v>0.28999999999999998</v>
      </c>
      <c r="AC60" s="1">
        <f>ROUND((AA60*(Destino!AG60/100))*(W60/100),2)</f>
        <v>0.2</v>
      </c>
      <c r="AD60" s="1">
        <f>ROUND(AA60*(Destino!AH60/100),2)</f>
        <v>0</v>
      </c>
      <c r="AE60" s="1">
        <f>ROUND((((AA60+AB60)*1.48)*(Destino!AI60/100))-AC60,2)</f>
        <v>0.61</v>
      </c>
      <c r="AF60" s="1">
        <f>ROUND((AA60+AB60+AE60)*(J60/100),2)</f>
        <v>0.11</v>
      </c>
      <c r="AG60" s="1">
        <f>ROUND(AA60*T60,2)</f>
        <v>0</v>
      </c>
      <c r="AH60" s="1">
        <f>ROUND(AA60+AB60-AD60+AE60+AF60+AG60, 3)</f>
        <v>3.927</v>
      </c>
      <c r="AI60" s="1">
        <f>AH60*M60*K60</f>
        <v>15.708</v>
      </c>
      <c r="BA60" s="1" t="s">
        <v>11259</v>
      </c>
      <c r="BB60" s="1">
        <f>AI60</f>
        <v>15.708</v>
      </c>
      <c r="BC60" s="1" t="s">
        <v>11360</v>
      </c>
      <c r="BD60" s="1">
        <f>N60</f>
        <v>1</v>
      </c>
    </row>
    <row r="61" spans="1:56" x14ac:dyDescent="0.25">
      <c r="A61" s="1">
        <v>600000907</v>
      </c>
      <c r="B61" s="1">
        <v>1000</v>
      </c>
      <c r="C61" s="1">
        <v>2200001473</v>
      </c>
      <c r="D61" s="1" t="s">
        <v>303</v>
      </c>
      <c r="E61" s="1">
        <f>IF(AND(B61&lt;&gt;1110,B61&lt;&gt;1210,B61&lt;&gt;1510,B61&lt;&gt;1710),B61,IF(B61=1110,"1100",IF(B61=1210,"1200",IF(B61=1510,"1500",IF(B61=1710,"1700","X")))))</f>
        <v>1000</v>
      </c>
      <c r="F61" s="1" t="s">
        <v>11198</v>
      </c>
      <c r="G61" s="1" t="s">
        <v>302</v>
      </c>
      <c r="H61" s="1">
        <f>ROUND(P61/(1-((R61+S61))/100)*Q61, 3)</f>
        <v>220.73400000000001</v>
      </c>
      <c r="I61" s="1">
        <v>0.45</v>
      </c>
      <c r="J61" s="1">
        <v>1.5</v>
      </c>
      <c r="K61" s="1">
        <v>1</v>
      </c>
      <c r="L61" s="1" t="s">
        <v>292</v>
      </c>
      <c r="M61" s="1">
        <v>1</v>
      </c>
      <c r="N61" s="1">
        <v>1</v>
      </c>
      <c r="O61" s="1" t="s">
        <v>296</v>
      </c>
      <c r="P61" s="1">
        <v>173.828</v>
      </c>
      <c r="Q61" s="1">
        <v>1</v>
      </c>
      <c r="R61" s="1">
        <v>12</v>
      </c>
      <c r="S61" s="1">
        <v>9.25</v>
      </c>
      <c r="T61" s="1">
        <v>0</v>
      </c>
      <c r="V61" s="1" t="s">
        <v>11223</v>
      </c>
      <c r="W61" s="1">
        <v>100</v>
      </c>
      <c r="X61" s="1" t="s">
        <v>298</v>
      </c>
      <c r="Y61" s="1" t="s">
        <v>299</v>
      </c>
      <c r="Z61" s="1">
        <v>1</v>
      </c>
      <c r="AA61" s="1">
        <f>ROUND(H61*I61*Z61, 3)</f>
        <v>99.33</v>
      </c>
      <c r="AB61" s="1">
        <f>ROUND(VLOOKUP(X61,'Base de dados'!A:B, 2, 0)*AA61, 2)</f>
        <v>9.93</v>
      </c>
      <c r="AC61" s="1">
        <f>ROUND((AA61*(Destino!AG61/100))*(W61/100),2)</f>
        <v>11.92</v>
      </c>
      <c r="AD61" s="1">
        <f>ROUND(AA61*(Destino!AH61/100),2)</f>
        <v>9.19</v>
      </c>
      <c r="AF61" s="1">
        <f>ROUND((AA61+ AB61)*(J61/100),2)</f>
        <v>1.64</v>
      </c>
      <c r="AG61" s="1">
        <f>ROUND(AA61*T61,2)</f>
        <v>0</v>
      </c>
      <c r="AH61" s="1">
        <f>ROUND(AA61-(AC61+AD61)+AF61+AG61, 3)</f>
        <v>79.86</v>
      </c>
      <c r="AI61" s="1">
        <f>AH61*M61*K61</f>
        <v>79.86</v>
      </c>
      <c r="BA61" s="1" t="s">
        <v>11500</v>
      </c>
      <c r="BB61" s="1">
        <f>AI61</f>
        <v>79.86</v>
      </c>
      <c r="BD61" s="1">
        <f>N61</f>
        <v>1</v>
      </c>
    </row>
    <row r="62" spans="1:56" x14ac:dyDescent="0.25">
      <c r="A62" s="1">
        <v>600000907</v>
      </c>
      <c r="B62" s="1">
        <v>1100</v>
      </c>
      <c r="C62" s="1">
        <v>2200001473</v>
      </c>
      <c r="D62" s="1" t="s">
        <v>303</v>
      </c>
      <c r="E62" s="1">
        <f>IF(AND(B62&lt;&gt;1110,B62&lt;&gt;1210,B62&lt;&gt;1510,B62&lt;&gt;1710),B62,IF(B62=1110,"1100",IF(B62=1210,"1200",IF(B62=1510,"1500",IF(B62=1710,"1700","X")))))</f>
        <v>1100</v>
      </c>
      <c r="F62" s="1" t="s">
        <v>11198</v>
      </c>
      <c r="G62" s="1" t="s">
        <v>302</v>
      </c>
      <c r="H62" s="1">
        <f>ROUND(P62/(1-((R62+S62))/100)*Q62, 3)</f>
        <v>207.55699999999999</v>
      </c>
      <c r="I62" s="1">
        <v>0.45</v>
      </c>
      <c r="J62" s="1">
        <v>2</v>
      </c>
      <c r="K62" s="1">
        <v>1</v>
      </c>
      <c r="L62" s="1" t="s">
        <v>292</v>
      </c>
      <c r="M62" s="1">
        <v>1</v>
      </c>
      <c r="N62" s="1">
        <v>1</v>
      </c>
      <c r="O62" s="1" t="s">
        <v>296</v>
      </c>
      <c r="P62" s="1">
        <v>173.82900000000001</v>
      </c>
      <c r="Q62" s="1">
        <v>1</v>
      </c>
      <c r="R62" s="1">
        <v>7</v>
      </c>
      <c r="S62" s="1">
        <v>9.25</v>
      </c>
      <c r="T62" s="1">
        <v>0</v>
      </c>
      <c r="V62" s="1" t="s">
        <v>11223</v>
      </c>
      <c r="W62" s="1">
        <v>100</v>
      </c>
      <c r="X62" s="1" t="s">
        <v>298</v>
      </c>
      <c r="Y62" s="1" t="s">
        <v>299</v>
      </c>
      <c r="Z62" s="1">
        <v>1</v>
      </c>
      <c r="AA62" s="1">
        <f>ROUND(H62*I62*Z62, 3)</f>
        <v>93.400999999999996</v>
      </c>
      <c r="AB62" s="1">
        <f>ROUND(VLOOKUP(X62,'Base de dados'!A:B, 2, 0)*AA62, 2)</f>
        <v>9.34</v>
      </c>
      <c r="AC62" s="1">
        <f>ROUND((AA62*(Destino!AG62/100))*(W62/100),2)</f>
        <v>6.54</v>
      </c>
      <c r="AD62" s="1">
        <f>ROUND(AA62*(Destino!AH62/100),2)</f>
        <v>8.64</v>
      </c>
      <c r="AF62" s="1">
        <f>ROUND((AA62+ AB62)*(J62/100),2)</f>
        <v>2.0499999999999998</v>
      </c>
      <c r="AG62" s="1">
        <f>ROUND(AA62*T62,2)</f>
        <v>0</v>
      </c>
      <c r="AH62" s="1">
        <f>ROUND(AA62-(AC62+AD62)+AF62+AG62, 3)</f>
        <v>80.271000000000001</v>
      </c>
      <c r="AI62" s="1">
        <f>AH62*M62*K62</f>
        <v>80.271000000000001</v>
      </c>
      <c r="BA62" s="1" t="s">
        <v>11501</v>
      </c>
      <c r="BB62" s="1">
        <f>AI62</f>
        <v>80.271000000000001</v>
      </c>
      <c r="BD62" s="1">
        <f>N62</f>
        <v>1</v>
      </c>
    </row>
    <row r="63" spans="1:56" x14ac:dyDescent="0.25">
      <c r="A63" s="1">
        <v>600000907</v>
      </c>
      <c r="B63" s="1">
        <v>1110</v>
      </c>
      <c r="C63" s="1">
        <v>2200001473</v>
      </c>
      <c r="D63" s="1" t="s">
        <v>303</v>
      </c>
      <c r="E63" s="1" t="str">
        <f>IF(AND(B63&lt;&gt;1110,B63&lt;&gt;1210,B63&lt;&gt;1510,B63&lt;&gt;1710),B63,IF(B63=1110,"1100",IF(B63=1210,"1200",IF(B63=1510,"1500",IF(B63=1710,"1700","X")))))</f>
        <v>1100</v>
      </c>
      <c r="F63" s="1" t="s">
        <v>447</v>
      </c>
      <c r="G63" s="1" t="s">
        <v>302</v>
      </c>
      <c r="H63" s="1">
        <f>ROUND(P63/(1-((R63+S63))/100)*Q63, 3)</f>
        <v>207.55699999999999</v>
      </c>
      <c r="I63" s="1">
        <v>0.45</v>
      </c>
      <c r="J63" s="1">
        <v>4</v>
      </c>
      <c r="K63" s="1">
        <v>1</v>
      </c>
      <c r="L63" s="1" t="s">
        <v>292</v>
      </c>
      <c r="M63" s="1">
        <v>1</v>
      </c>
      <c r="N63" s="1">
        <v>0.75263000000000002</v>
      </c>
      <c r="O63" s="1" t="s">
        <v>296</v>
      </c>
      <c r="P63" s="1">
        <v>173.82900000000001</v>
      </c>
      <c r="Q63" s="1">
        <v>1</v>
      </c>
      <c r="R63" s="1">
        <v>7</v>
      </c>
      <c r="S63" s="1">
        <v>9.25</v>
      </c>
      <c r="T63" s="1">
        <v>0</v>
      </c>
      <c r="V63" s="1" t="s">
        <v>11223</v>
      </c>
      <c r="W63" s="1">
        <v>100</v>
      </c>
      <c r="X63" s="1" t="s">
        <v>298</v>
      </c>
      <c r="Y63" s="1" t="s">
        <v>299</v>
      </c>
      <c r="Z63" s="1">
        <v>1</v>
      </c>
      <c r="AA63" s="1">
        <f>ROUND(H63*I63*Z63, 3)</f>
        <v>93.400999999999996</v>
      </c>
      <c r="AB63" s="1">
        <f>ROUND(VLOOKUP(X63,'Base de dados'!A:B, 2, 0)*AA63, 2)</f>
        <v>9.34</v>
      </c>
      <c r="AC63" s="1">
        <f>ROUND((AA63*(Destino!AG63/100))*(W63/100),2)</f>
        <v>6.54</v>
      </c>
      <c r="AD63" s="1">
        <f>ROUND(AA63*(Destino!AH63/100),2)</f>
        <v>8.64</v>
      </c>
      <c r="AE63" s="1">
        <f>ROUND((((AA63+AB63)*1.5039)*(Destino!AI63/100))-AC63,2)</f>
        <v>19.73</v>
      </c>
      <c r="AF63" s="1">
        <f>ROUND((AA63+AB63+AE63)*(J63/100),2)</f>
        <v>4.9000000000000004</v>
      </c>
      <c r="AG63" s="1">
        <f>ROUND(AA63*T63,2)</f>
        <v>0</v>
      </c>
      <c r="AH63" s="1">
        <f>ROUND(AA63-AD63+AE63+AF63+AG63, 3)</f>
        <v>109.39100000000001</v>
      </c>
      <c r="AI63" s="1">
        <f>AH63*M63*K63</f>
        <v>109.39100000000001</v>
      </c>
      <c r="BA63" s="1" t="s">
        <v>11502</v>
      </c>
      <c r="BB63" s="1">
        <f>AI63</f>
        <v>109.39100000000001</v>
      </c>
      <c r="BD63" s="1">
        <f>N63</f>
        <v>0.75263000000000002</v>
      </c>
    </row>
    <row r="64" spans="1:56" x14ac:dyDescent="0.25">
      <c r="A64" s="1">
        <v>600000907</v>
      </c>
      <c r="B64" s="1">
        <v>1400</v>
      </c>
      <c r="C64" s="1">
        <v>2200001473</v>
      </c>
      <c r="D64" s="1" t="s">
        <v>303</v>
      </c>
      <c r="E64" s="1">
        <f>IF(AND(B64&lt;&gt;1110,B64&lt;&gt;1210,B64&lt;&gt;1510,B64&lt;&gt;1710),B64,IF(B64=1110,"1100",IF(B64=1210,"1200",IF(B64=1510,"1500",IF(B64=1710,"1700","X")))))</f>
        <v>1400</v>
      </c>
      <c r="F64" s="1" t="s">
        <v>11198</v>
      </c>
      <c r="G64" s="1" t="s">
        <v>302</v>
      </c>
      <c r="H64" s="1">
        <f>ROUND(P64/(1-((R64+S64))/100)*Q64, 3)</f>
        <v>238.94</v>
      </c>
      <c r="I64" s="1">
        <v>0.45</v>
      </c>
      <c r="J64" s="1">
        <v>1.5</v>
      </c>
      <c r="K64" s="1">
        <v>1</v>
      </c>
      <c r="L64" s="1" t="s">
        <v>292</v>
      </c>
      <c r="M64" s="1">
        <v>1</v>
      </c>
      <c r="N64" s="1">
        <v>1</v>
      </c>
      <c r="O64" s="1" t="s">
        <v>296</v>
      </c>
      <c r="P64" s="1">
        <v>173.82900000000001</v>
      </c>
      <c r="Q64" s="1">
        <v>1</v>
      </c>
      <c r="R64" s="1">
        <v>18</v>
      </c>
      <c r="S64" s="1">
        <v>9.25</v>
      </c>
      <c r="T64" s="1">
        <v>0</v>
      </c>
      <c r="V64" s="1" t="s">
        <v>11223</v>
      </c>
      <c r="W64" s="1">
        <v>100</v>
      </c>
      <c r="X64" s="1" t="s">
        <v>298</v>
      </c>
      <c r="Y64" s="1" t="s">
        <v>299</v>
      </c>
      <c r="Z64" s="1">
        <v>1</v>
      </c>
      <c r="AA64" s="1">
        <f>ROUND(H64*I64*Z64, 3)</f>
        <v>107.523</v>
      </c>
      <c r="AB64" s="1">
        <f>ROUND(VLOOKUP(X64,'Base de dados'!A:B, 2, 0)*AA64, 2)</f>
        <v>10.75</v>
      </c>
      <c r="AC64" s="1">
        <f>ROUND((AA64*(Destino!AG64/100))*(W64/100),2)</f>
        <v>19.350000000000001</v>
      </c>
      <c r="AD64" s="1">
        <f>ROUND(AA64*(Destino!AH64/100),2)</f>
        <v>9.9499999999999993</v>
      </c>
      <c r="AF64" s="1">
        <f>ROUND((AA64+ AB64)*(J64/100),2)</f>
        <v>1.77</v>
      </c>
      <c r="AG64" s="1">
        <f>ROUND(AA64*T64,2)</f>
        <v>0</v>
      </c>
      <c r="AH64" s="1">
        <f>ROUND(AA64-(AC64+AD64)+AF64+AG64, 3)</f>
        <v>79.992999999999995</v>
      </c>
      <c r="AI64" s="1">
        <f>AH64*M64*K64</f>
        <v>79.992999999999995</v>
      </c>
      <c r="BA64" s="1" t="s">
        <v>11361</v>
      </c>
      <c r="BB64" s="1">
        <f>AI64</f>
        <v>79.992999999999995</v>
      </c>
      <c r="BD64" s="1">
        <f>N64</f>
        <v>1</v>
      </c>
    </row>
    <row r="65" spans="1:56" x14ac:dyDescent="0.25">
      <c r="A65" s="1">
        <v>600000907</v>
      </c>
      <c r="B65" s="1">
        <v>1700</v>
      </c>
      <c r="C65" s="1">
        <v>2200001421</v>
      </c>
      <c r="D65" s="1" t="s">
        <v>303</v>
      </c>
      <c r="E65" s="1">
        <f>IF(AND(B65&lt;&gt;1110,B65&lt;&gt;1210,B65&lt;&gt;1510,B65&lt;&gt;1710),B65,IF(B65=1110,"1100",IF(B65=1210,"1200",IF(B65=1510,"1500",IF(B65=1710,"1700","X")))))</f>
        <v>1700</v>
      </c>
      <c r="F65" s="1" t="s">
        <v>11238</v>
      </c>
      <c r="G65" s="1" t="s">
        <v>302</v>
      </c>
      <c r="H65" s="1">
        <f>ROUND(P65/(1-((R65+S65))/100)*Q65, 3)</f>
        <v>95.513999999999996</v>
      </c>
      <c r="I65" s="1">
        <v>0.25</v>
      </c>
      <c r="J65" s="1">
        <v>3</v>
      </c>
      <c r="K65" s="1">
        <v>1</v>
      </c>
      <c r="L65" s="1" t="s">
        <v>292</v>
      </c>
      <c r="M65" s="1">
        <v>4</v>
      </c>
      <c r="N65" s="1">
        <v>1</v>
      </c>
      <c r="O65" s="1" t="s">
        <v>296</v>
      </c>
      <c r="P65" s="1">
        <f>IFERROR(VLOOKUP(BC65, BA:BA:BB:BB, 2, 0),)</f>
        <v>79.992999999999995</v>
      </c>
      <c r="Q65" s="1">
        <f>IFERROR(VLOOKUP(BC65, BA:BA:BD:BD, 4, 0),1)</f>
        <v>1</v>
      </c>
      <c r="R65" s="1">
        <v>7</v>
      </c>
      <c r="S65" s="1">
        <v>9.25</v>
      </c>
      <c r="T65" s="1">
        <v>0</v>
      </c>
      <c r="V65" s="1" t="s">
        <v>11223</v>
      </c>
      <c r="W65" s="1">
        <v>100</v>
      </c>
      <c r="X65" s="1" t="s">
        <v>298</v>
      </c>
      <c r="Y65" s="1" t="s">
        <v>299</v>
      </c>
      <c r="Z65" s="1">
        <v>1</v>
      </c>
      <c r="AA65" s="1">
        <f>ROUND(H65*I65*Z65, 3)</f>
        <v>23.879000000000001</v>
      </c>
      <c r="AB65" s="1">
        <f>ROUND(VLOOKUP(X65,'Base de dados'!A:B, 2, 0)*AA65, 2)</f>
        <v>2.39</v>
      </c>
      <c r="AC65" s="1">
        <f>ROUND((AA65*(Destino!AG65/100))*(W65/100),2)</f>
        <v>1.67</v>
      </c>
      <c r="AD65" s="1">
        <f>ROUND(AA65*(Destino!AH65/100),2)</f>
        <v>0</v>
      </c>
      <c r="AE65" s="1">
        <f>ROUND((((AA65+AB65)*1.48)*(Destino!AI65/100))-AC65,2)</f>
        <v>4.9400000000000004</v>
      </c>
      <c r="AF65" s="1">
        <f>ROUND((AA65+AB65+AE65)*(J65/100),2)</f>
        <v>0.94</v>
      </c>
      <c r="AG65" s="1">
        <f>ROUND(AA65*T65,2)</f>
        <v>0</v>
      </c>
      <c r="AH65" s="1">
        <f>ROUND(AA65+AB65-AD65+AE65+AF65+AG65, 3)</f>
        <v>32.149000000000001</v>
      </c>
      <c r="AI65" s="1">
        <f>AH65*M65*K65</f>
        <v>128.596</v>
      </c>
      <c r="BA65" s="1" t="s">
        <v>11260</v>
      </c>
      <c r="BB65" s="1">
        <f>AI65</f>
        <v>128.596</v>
      </c>
      <c r="BC65" s="1" t="s">
        <v>11361</v>
      </c>
      <c r="BD65" s="1">
        <f>N65</f>
        <v>1</v>
      </c>
    </row>
    <row r="66" spans="1:56" x14ac:dyDescent="0.25">
      <c r="A66" s="1">
        <v>600000908</v>
      </c>
      <c r="B66" s="1">
        <v>1000</v>
      </c>
      <c r="C66" s="1">
        <v>2200001473</v>
      </c>
      <c r="D66" s="1" t="s">
        <v>303</v>
      </c>
      <c r="E66" s="1">
        <f>IF(AND(B66&lt;&gt;1110,B66&lt;&gt;1210,B66&lt;&gt;1510,B66&lt;&gt;1710),B66,IF(B66=1110,"1100",IF(B66=1210,"1200",IF(B66=1510,"1500",IF(B66=1710,"1700","X")))))</f>
        <v>1000</v>
      </c>
      <c r="F66" s="1" t="s">
        <v>11198</v>
      </c>
      <c r="G66" s="1" t="s">
        <v>302</v>
      </c>
      <c r="H66" s="1">
        <f>ROUND(P66/(1-((R66+S66))/100)*Q66, 3)</f>
        <v>238.291</v>
      </c>
      <c r="I66" s="1">
        <v>0.45</v>
      </c>
      <c r="J66" s="1">
        <v>1.5</v>
      </c>
      <c r="K66" s="1">
        <v>1</v>
      </c>
      <c r="L66" s="1" t="s">
        <v>292</v>
      </c>
      <c r="M66" s="1">
        <v>1</v>
      </c>
      <c r="N66" s="1">
        <v>1</v>
      </c>
      <c r="O66" s="1" t="s">
        <v>296</v>
      </c>
      <c r="P66" s="1">
        <v>187.654</v>
      </c>
      <c r="Q66" s="1">
        <v>1</v>
      </c>
      <c r="R66" s="1">
        <v>12</v>
      </c>
      <c r="S66" s="1">
        <v>9.25</v>
      </c>
      <c r="T66" s="1">
        <v>0</v>
      </c>
      <c r="V66" s="1" t="s">
        <v>11223</v>
      </c>
      <c r="W66" s="1">
        <v>100</v>
      </c>
      <c r="X66" s="1" t="s">
        <v>298</v>
      </c>
      <c r="Y66" s="1" t="s">
        <v>322</v>
      </c>
      <c r="Z66" s="1">
        <v>1</v>
      </c>
      <c r="AA66" s="1">
        <f>ROUND(H66*I66*Z66, 3)</f>
        <v>107.23099999999999</v>
      </c>
      <c r="AB66" s="1">
        <f>ROUND(VLOOKUP(X66,'Base de dados'!A:B, 2, 0)*AA66, 2)</f>
        <v>10.72</v>
      </c>
      <c r="AC66" s="1">
        <f>ROUND((AA66*(Destino!AG66/100))*(W66/100),2)</f>
        <v>12.87</v>
      </c>
      <c r="AD66" s="1">
        <f>ROUND(AA66*(Destino!AH66/100),2)</f>
        <v>9.92</v>
      </c>
      <c r="AF66" s="1">
        <f>ROUND((AA66+ AB66)*(J66/100),2)</f>
        <v>1.77</v>
      </c>
      <c r="AG66" s="1">
        <f>ROUND(AA66*T66,2)</f>
        <v>0</v>
      </c>
      <c r="AH66" s="1">
        <f>ROUND(AA66-(AC66+AD66)+AF66+AG66, 3)</f>
        <v>86.210999999999999</v>
      </c>
      <c r="AI66" s="1">
        <f>AH66*M66*K66</f>
        <v>86.210999999999999</v>
      </c>
      <c r="BA66" s="1" t="s">
        <v>11503</v>
      </c>
      <c r="BB66" s="1">
        <f>AI66</f>
        <v>86.210999999999999</v>
      </c>
      <c r="BD66" s="1">
        <f>N66</f>
        <v>1</v>
      </c>
    </row>
    <row r="67" spans="1:56" x14ac:dyDescent="0.25">
      <c r="A67" s="1">
        <v>600000908</v>
      </c>
      <c r="B67" s="1">
        <v>1100</v>
      </c>
      <c r="C67" s="1">
        <v>2200001473</v>
      </c>
      <c r="D67" s="1" t="s">
        <v>303</v>
      </c>
      <c r="E67" s="1">
        <f>IF(AND(B67&lt;&gt;1110,B67&lt;&gt;1210,B67&lt;&gt;1510,B67&lt;&gt;1710),B67,IF(B67=1110,"1100",IF(B67=1210,"1200",IF(B67=1510,"1500",IF(B67=1710,"1700","X")))))</f>
        <v>1100</v>
      </c>
      <c r="F67" s="1" t="s">
        <v>11198</v>
      </c>
      <c r="G67" s="1" t="s">
        <v>302</v>
      </c>
      <c r="H67" s="1">
        <f>ROUND(P67/(1-((R67+S67))/100)*Q67, 3)</f>
        <v>224.06100000000001</v>
      </c>
      <c r="I67" s="1">
        <v>0.45</v>
      </c>
      <c r="J67" s="1">
        <v>2</v>
      </c>
      <c r="K67" s="1">
        <v>1</v>
      </c>
      <c r="L67" s="1" t="s">
        <v>292</v>
      </c>
      <c r="M67" s="1">
        <v>1</v>
      </c>
      <c r="N67" s="1">
        <v>1</v>
      </c>
      <c r="O67" s="1" t="s">
        <v>296</v>
      </c>
      <c r="P67" s="1">
        <v>187.65100000000001</v>
      </c>
      <c r="Q67" s="1">
        <v>1</v>
      </c>
      <c r="R67" s="1">
        <v>7</v>
      </c>
      <c r="S67" s="1">
        <v>9.25</v>
      </c>
      <c r="T67" s="1">
        <v>0</v>
      </c>
      <c r="V67" s="1" t="s">
        <v>11223</v>
      </c>
      <c r="W67" s="1">
        <v>100</v>
      </c>
      <c r="X67" s="1" t="s">
        <v>298</v>
      </c>
      <c r="Y67" s="1" t="s">
        <v>322</v>
      </c>
      <c r="Z67" s="1">
        <v>1</v>
      </c>
      <c r="AA67" s="1">
        <f>ROUND(H67*I67*Z67, 3)</f>
        <v>100.827</v>
      </c>
      <c r="AB67" s="1">
        <f>ROUND(VLOOKUP(X67,'Base de dados'!A:B, 2, 0)*AA67, 2)</f>
        <v>10.08</v>
      </c>
      <c r="AC67" s="1">
        <f>ROUND((AA67*(Destino!AG67/100))*(W67/100),2)</f>
        <v>7.06</v>
      </c>
      <c r="AD67" s="1">
        <f>ROUND(AA67*(Destino!AH67/100),2)</f>
        <v>9.33</v>
      </c>
      <c r="AF67" s="1">
        <f>ROUND((AA67+ AB67)*(J67/100),2)</f>
        <v>2.2200000000000002</v>
      </c>
      <c r="AG67" s="1">
        <f>ROUND(AA67*T67,2)</f>
        <v>0</v>
      </c>
      <c r="AH67" s="1">
        <f>ROUND(AA67-(AC67+AD67)+AF67+AG67, 3)</f>
        <v>86.656999999999996</v>
      </c>
      <c r="AI67" s="1">
        <f>AH67*M67*K67</f>
        <v>86.656999999999996</v>
      </c>
      <c r="BA67" s="1" t="s">
        <v>11504</v>
      </c>
      <c r="BB67" s="1">
        <f>AI67</f>
        <v>86.656999999999996</v>
      </c>
      <c r="BD67" s="1">
        <f>N67</f>
        <v>1</v>
      </c>
    </row>
    <row r="68" spans="1:56" x14ac:dyDescent="0.25">
      <c r="A68" s="1">
        <v>600000908</v>
      </c>
      <c r="B68" s="1">
        <v>1110</v>
      </c>
      <c r="C68" s="1">
        <v>2200001473</v>
      </c>
      <c r="D68" s="1" t="s">
        <v>303</v>
      </c>
      <c r="E68" s="1" t="str">
        <f>IF(AND(B68&lt;&gt;1110,B68&lt;&gt;1210,B68&lt;&gt;1510,B68&lt;&gt;1710),B68,IF(B68=1110,"1100",IF(B68=1210,"1200",IF(B68=1510,"1500",IF(B68=1710,"1700","X")))))</f>
        <v>1100</v>
      </c>
      <c r="F68" s="1" t="s">
        <v>447</v>
      </c>
      <c r="G68" s="1" t="s">
        <v>302</v>
      </c>
      <c r="H68" s="1">
        <f>ROUND(P68/(1-((R68+S68))/100)*Q68, 3)</f>
        <v>224.06100000000001</v>
      </c>
      <c r="I68" s="1">
        <v>0.45</v>
      </c>
      <c r="J68" s="1">
        <v>4</v>
      </c>
      <c r="K68" s="1">
        <v>1</v>
      </c>
      <c r="L68" s="1" t="s">
        <v>292</v>
      </c>
      <c r="M68" s="1">
        <v>1</v>
      </c>
      <c r="N68" s="1">
        <v>0.75266100000000002</v>
      </c>
      <c r="O68" s="1" t="s">
        <v>296</v>
      </c>
      <c r="P68" s="1">
        <v>187.65100000000001</v>
      </c>
      <c r="Q68" s="1">
        <v>1</v>
      </c>
      <c r="R68" s="1">
        <v>7</v>
      </c>
      <c r="S68" s="1">
        <v>9.25</v>
      </c>
      <c r="T68" s="1">
        <v>0</v>
      </c>
      <c r="V68" s="1" t="s">
        <v>11223</v>
      </c>
      <c r="W68" s="1">
        <v>100</v>
      </c>
      <c r="X68" s="1" t="s">
        <v>298</v>
      </c>
      <c r="Y68" s="1" t="s">
        <v>322</v>
      </c>
      <c r="Z68" s="1">
        <v>1</v>
      </c>
      <c r="AA68" s="1">
        <f>ROUND(H68*I68*Z68, 3)</f>
        <v>100.827</v>
      </c>
      <c r="AB68" s="1">
        <f>ROUND(VLOOKUP(X68,'Base de dados'!A:B, 2, 0)*AA68, 2)</f>
        <v>10.08</v>
      </c>
      <c r="AC68" s="1">
        <f>ROUND((AA68*(Destino!AG68/100))*(W68/100),2)</f>
        <v>7.06</v>
      </c>
      <c r="AD68" s="1">
        <f>ROUND(AA68*(Destino!AH68/100),2)</f>
        <v>9.33</v>
      </c>
      <c r="AE68" s="1">
        <f>ROUND((((AA68+AB68)*1.5039)*(Destino!AI68/100))-AC68,2)</f>
        <v>21.29</v>
      </c>
      <c r="AF68" s="1">
        <f>ROUND((AA68+AB68+AE68)*(J68/100),2)</f>
        <v>5.29</v>
      </c>
      <c r="AG68" s="1">
        <f>ROUND(AA68*T68,2)</f>
        <v>0</v>
      </c>
      <c r="AH68" s="1">
        <f>ROUND(AA68-AD68+AE68+AF68+AG68, 3)</f>
        <v>118.077</v>
      </c>
      <c r="AI68" s="1">
        <f>AH68*M68*K68</f>
        <v>118.077</v>
      </c>
      <c r="BA68" s="1" t="s">
        <v>11505</v>
      </c>
      <c r="BB68" s="1">
        <f>AI68</f>
        <v>118.077</v>
      </c>
      <c r="BD68" s="1">
        <f>N68</f>
        <v>0.75266100000000002</v>
      </c>
    </row>
    <row r="69" spans="1:56" x14ac:dyDescent="0.25">
      <c r="A69" s="1">
        <v>600000908</v>
      </c>
      <c r="B69" s="1">
        <v>1400</v>
      </c>
      <c r="C69" s="1">
        <v>2200001473</v>
      </c>
      <c r="D69" s="1" t="s">
        <v>303</v>
      </c>
      <c r="E69" s="1">
        <f>IF(AND(B69&lt;&gt;1110,B69&lt;&gt;1210,B69&lt;&gt;1510,B69&lt;&gt;1710),B69,IF(B69=1110,"1100",IF(B69=1210,"1200",IF(B69=1510,"1500",IF(B69=1710,"1700","X")))))</f>
        <v>1400</v>
      </c>
      <c r="F69" s="1" t="s">
        <v>11198</v>
      </c>
      <c r="G69" s="1" t="s">
        <v>302</v>
      </c>
      <c r="H69" s="1">
        <f>ROUND(P69/(1-((R69+S69))/100)*Q69, 3)</f>
        <v>257.94</v>
      </c>
      <c r="I69" s="1">
        <v>0.45</v>
      </c>
      <c r="J69" s="1">
        <v>1.5</v>
      </c>
      <c r="K69" s="1">
        <v>1</v>
      </c>
      <c r="L69" s="1" t="s">
        <v>292</v>
      </c>
      <c r="M69" s="1">
        <v>1</v>
      </c>
      <c r="N69" s="1">
        <v>1</v>
      </c>
      <c r="O69" s="1" t="s">
        <v>296</v>
      </c>
      <c r="P69" s="1">
        <v>187.65100000000001</v>
      </c>
      <c r="Q69" s="1">
        <v>1</v>
      </c>
      <c r="R69" s="1">
        <v>18</v>
      </c>
      <c r="S69" s="1">
        <v>9.25</v>
      </c>
      <c r="T69" s="1">
        <v>0</v>
      </c>
      <c r="V69" s="1" t="s">
        <v>11223</v>
      </c>
      <c r="W69" s="1">
        <v>100</v>
      </c>
      <c r="X69" s="1" t="s">
        <v>298</v>
      </c>
      <c r="Y69" s="1" t="s">
        <v>322</v>
      </c>
      <c r="Z69" s="1">
        <v>1</v>
      </c>
      <c r="AA69" s="1">
        <f>ROUND(H69*I69*Z69, 3)</f>
        <v>116.07299999999999</v>
      </c>
      <c r="AB69" s="1">
        <f>ROUND(VLOOKUP(X69,'Base de dados'!A:B, 2, 0)*AA69, 2)</f>
        <v>11.61</v>
      </c>
      <c r="AC69" s="1">
        <f>ROUND((AA69*(Destino!AG69/100))*(W69/100),2)</f>
        <v>20.89</v>
      </c>
      <c r="AD69" s="1">
        <f>ROUND(AA69*(Destino!AH69/100),2)</f>
        <v>10.74</v>
      </c>
      <c r="AF69" s="1">
        <f>ROUND((AA69+ AB69)*(J69/100),2)</f>
        <v>1.92</v>
      </c>
      <c r="AG69" s="1">
        <f>ROUND(AA69*T69,2)</f>
        <v>0</v>
      </c>
      <c r="AH69" s="1">
        <f>ROUND(AA69-(AC69+AD69)+AF69+AG69, 3)</f>
        <v>86.363</v>
      </c>
      <c r="AI69" s="1">
        <f>AH69*M69*K69</f>
        <v>86.363</v>
      </c>
      <c r="BA69" s="1" t="s">
        <v>11362</v>
      </c>
      <c r="BB69" s="1">
        <f>AI69</f>
        <v>86.363</v>
      </c>
      <c r="BD69" s="1">
        <f>N69</f>
        <v>1</v>
      </c>
    </row>
    <row r="70" spans="1:56" x14ac:dyDescent="0.25">
      <c r="A70" s="1">
        <v>600000908</v>
      </c>
      <c r="B70" s="1">
        <v>1700</v>
      </c>
      <c r="C70" s="1">
        <v>2200001421</v>
      </c>
      <c r="D70" s="1" t="s">
        <v>303</v>
      </c>
      <c r="E70" s="1">
        <f>IF(AND(B70&lt;&gt;1110,B70&lt;&gt;1210,B70&lt;&gt;1510,B70&lt;&gt;1710),B70,IF(B70=1110,"1100",IF(B70=1210,"1200",IF(B70=1510,"1500",IF(B70=1710,"1700","X")))))</f>
        <v>1700</v>
      </c>
      <c r="F70" s="1" t="s">
        <v>11238</v>
      </c>
      <c r="G70" s="1" t="s">
        <v>302</v>
      </c>
      <c r="H70" s="1">
        <f>ROUND(P70/(1-((R70+S70))/100)*Q70, 3)</f>
        <v>103.12</v>
      </c>
      <c r="I70" s="1">
        <v>0.25</v>
      </c>
      <c r="J70" s="1">
        <v>3</v>
      </c>
      <c r="K70" s="1">
        <v>1</v>
      </c>
      <c r="L70" s="1" t="s">
        <v>292</v>
      </c>
      <c r="M70" s="1">
        <v>4</v>
      </c>
      <c r="N70" s="1">
        <v>1</v>
      </c>
      <c r="O70" s="1" t="s">
        <v>296</v>
      </c>
      <c r="P70" s="1">
        <f>IFERROR(VLOOKUP(BC70, BA:BA:BB:BB, 2, 0),)</f>
        <v>86.363</v>
      </c>
      <c r="Q70" s="1">
        <f>IFERROR(VLOOKUP(BC70, BA:BA:BD:BD, 4, 0),1)</f>
        <v>1</v>
      </c>
      <c r="R70" s="1">
        <v>7</v>
      </c>
      <c r="S70" s="1">
        <v>9.25</v>
      </c>
      <c r="T70" s="1">
        <v>0</v>
      </c>
      <c r="V70" s="1" t="s">
        <v>11223</v>
      </c>
      <c r="W70" s="1">
        <v>100</v>
      </c>
      <c r="X70" s="1" t="s">
        <v>298</v>
      </c>
      <c r="Y70" s="1" t="s">
        <v>322</v>
      </c>
      <c r="Z70" s="1">
        <v>1</v>
      </c>
      <c r="AA70" s="1">
        <f>ROUND(H70*I70*Z70, 3)</f>
        <v>25.78</v>
      </c>
      <c r="AB70" s="1">
        <f>ROUND(VLOOKUP(X70,'Base de dados'!A:B, 2, 0)*AA70, 2)</f>
        <v>2.58</v>
      </c>
      <c r="AC70" s="1">
        <f>ROUND((AA70*(Destino!AG70/100))*(W70/100),2)</f>
        <v>1.8</v>
      </c>
      <c r="AD70" s="1">
        <f>ROUND(AA70*(Destino!AH70/100),2)</f>
        <v>0</v>
      </c>
      <c r="AE70" s="1">
        <f>ROUND((((AA70+AB70)*1.48)*(Destino!AI70/100))-AC70,2)</f>
        <v>5.34</v>
      </c>
      <c r="AF70" s="1">
        <f>ROUND((AA70+AB70+AE70)*(J70/100),2)</f>
        <v>1.01</v>
      </c>
      <c r="AG70" s="1">
        <f>ROUND(AA70*T70,2)</f>
        <v>0</v>
      </c>
      <c r="AH70" s="1">
        <f>ROUND(AA70+AB70-AD70+AE70+AF70+AG70, 3)</f>
        <v>34.71</v>
      </c>
      <c r="AI70" s="1">
        <f>AH70*M70*K70</f>
        <v>138.84</v>
      </c>
      <c r="BA70" s="1" t="s">
        <v>11261</v>
      </c>
      <c r="BB70" s="1">
        <f>AI70</f>
        <v>138.84</v>
      </c>
      <c r="BC70" s="1" t="s">
        <v>11362</v>
      </c>
      <c r="BD70" s="1">
        <f>N70</f>
        <v>1</v>
      </c>
    </row>
    <row r="71" spans="1:56" x14ac:dyDescent="0.25">
      <c r="A71" s="1">
        <v>600000909</v>
      </c>
      <c r="B71" s="1">
        <v>1000</v>
      </c>
      <c r="C71" s="1">
        <v>2200001473</v>
      </c>
      <c r="D71" s="1" t="s">
        <v>303</v>
      </c>
      <c r="E71" s="1">
        <f>IF(AND(B71&lt;&gt;1110,B71&lt;&gt;1210,B71&lt;&gt;1510,B71&lt;&gt;1710),B71,IF(B71=1110,"1100",IF(B71=1210,"1200",IF(B71=1510,"1500",IF(B71=1710,"1700","X")))))</f>
        <v>1000</v>
      </c>
      <c r="F71" s="1" t="s">
        <v>11198</v>
      </c>
      <c r="G71" s="1" t="s">
        <v>302</v>
      </c>
      <c r="H71" s="1">
        <f>ROUND(P71/(1-((R71+S71))/100)*Q71, 3)</f>
        <v>255.16800000000001</v>
      </c>
      <c r="I71" s="1">
        <v>0.45</v>
      </c>
      <c r="J71" s="1">
        <v>1.5</v>
      </c>
      <c r="K71" s="1">
        <v>1</v>
      </c>
      <c r="L71" s="1" t="s">
        <v>292</v>
      </c>
      <c r="M71" s="1">
        <v>1</v>
      </c>
      <c r="N71" s="1">
        <v>1</v>
      </c>
      <c r="O71" s="1" t="s">
        <v>296</v>
      </c>
      <c r="P71" s="1">
        <v>200.94499999999999</v>
      </c>
      <c r="Q71" s="1">
        <v>1</v>
      </c>
      <c r="R71" s="1">
        <v>12</v>
      </c>
      <c r="S71" s="1">
        <v>9.25</v>
      </c>
      <c r="T71" s="1">
        <v>0</v>
      </c>
      <c r="V71" s="1" t="s">
        <v>11223</v>
      </c>
      <c r="W71" s="1">
        <v>100</v>
      </c>
      <c r="X71" s="1" t="s">
        <v>298</v>
      </c>
      <c r="Y71" s="1" t="s">
        <v>322</v>
      </c>
      <c r="Z71" s="1">
        <v>1</v>
      </c>
      <c r="AA71" s="1">
        <f>ROUND(H71*I71*Z71, 3)</f>
        <v>114.82599999999999</v>
      </c>
      <c r="AB71" s="1">
        <f>ROUND(VLOOKUP(X71,'Base de dados'!A:B, 2, 0)*AA71, 2)</f>
        <v>11.48</v>
      </c>
      <c r="AC71" s="1">
        <f>ROUND((AA71*(Destino!AG71/100))*(W71/100),2)</f>
        <v>13.78</v>
      </c>
      <c r="AD71" s="1">
        <f>ROUND(AA71*(Destino!AH71/100),2)</f>
        <v>10.62</v>
      </c>
      <c r="AF71" s="1">
        <f>ROUND((AA71+ AB71)*(J71/100),2)</f>
        <v>1.89</v>
      </c>
      <c r="AG71" s="1">
        <f>ROUND(AA71*T71,2)</f>
        <v>0</v>
      </c>
      <c r="AH71" s="1">
        <f>ROUND(AA71-(AC71+AD71)+AF71+AG71, 3)</f>
        <v>92.316000000000003</v>
      </c>
      <c r="AI71" s="1">
        <f>AH71*M71*K71</f>
        <v>92.316000000000003</v>
      </c>
      <c r="BA71" s="1" t="s">
        <v>11506</v>
      </c>
      <c r="BB71" s="1">
        <f>AI71</f>
        <v>92.316000000000003</v>
      </c>
      <c r="BD71" s="1">
        <f>N71</f>
        <v>1</v>
      </c>
    </row>
    <row r="72" spans="1:56" x14ac:dyDescent="0.25">
      <c r="A72" s="1">
        <v>600000909</v>
      </c>
      <c r="B72" s="1">
        <v>1100</v>
      </c>
      <c r="C72" s="1">
        <v>2200001473</v>
      </c>
      <c r="D72" s="1" t="s">
        <v>303</v>
      </c>
      <c r="E72" s="1">
        <f>IF(AND(B72&lt;&gt;1110,B72&lt;&gt;1210,B72&lt;&gt;1510,B72&lt;&gt;1710),B72,IF(B72=1110,"1100",IF(B72=1210,"1200",IF(B72=1510,"1500",IF(B72=1710,"1700","X")))))</f>
        <v>1100</v>
      </c>
      <c r="F72" s="1" t="s">
        <v>11198</v>
      </c>
      <c r="G72" s="1" t="s">
        <v>302</v>
      </c>
      <c r="H72" s="1">
        <f>ROUND(P72/(1-((R72+S72))/100)*Q72, 3)</f>
        <v>239.93199999999999</v>
      </c>
      <c r="I72" s="1">
        <v>0.45</v>
      </c>
      <c r="J72" s="1">
        <v>2</v>
      </c>
      <c r="K72" s="1">
        <v>1</v>
      </c>
      <c r="L72" s="1" t="s">
        <v>292</v>
      </c>
      <c r="M72" s="1">
        <v>1</v>
      </c>
      <c r="N72" s="1">
        <v>1</v>
      </c>
      <c r="O72" s="1" t="s">
        <v>296</v>
      </c>
      <c r="P72" s="1">
        <v>200.94300000000001</v>
      </c>
      <c r="Q72" s="1">
        <v>1</v>
      </c>
      <c r="R72" s="1">
        <v>7</v>
      </c>
      <c r="S72" s="1">
        <v>9.25</v>
      </c>
      <c r="T72" s="1">
        <v>0</v>
      </c>
      <c r="V72" s="1" t="s">
        <v>11223</v>
      </c>
      <c r="W72" s="1">
        <v>100</v>
      </c>
      <c r="X72" s="1" t="s">
        <v>298</v>
      </c>
      <c r="Y72" s="1" t="s">
        <v>322</v>
      </c>
      <c r="Z72" s="1">
        <v>1</v>
      </c>
      <c r="AA72" s="1">
        <f>ROUND(H72*I72*Z72, 3)</f>
        <v>107.96899999999999</v>
      </c>
      <c r="AB72" s="1">
        <f>ROUND(VLOOKUP(X72,'Base de dados'!A:B, 2, 0)*AA72, 2)</f>
        <v>10.8</v>
      </c>
      <c r="AC72" s="1">
        <f>ROUND((AA72*(Destino!AG72/100))*(W72/100),2)</f>
        <v>7.56</v>
      </c>
      <c r="AD72" s="1">
        <f>ROUND(AA72*(Destino!AH72/100),2)</f>
        <v>9.99</v>
      </c>
      <c r="AF72" s="1">
        <f>ROUND((AA72+ AB72)*(J72/100),2)</f>
        <v>2.38</v>
      </c>
      <c r="AG72" s="1">
        <f>ROUND(AA72*T72,2)</f>
        <v>0</v>
      </c>
      <c r="AH72" s="1">
        <f>ROUND(AA72-(AC72+AD72)+AF72+AG72, 3)</f>
        <v>92.799000000000007</v>
      </c>
      <c r="AI72" s="1">
        <f>AH72*M72*K72</f>
        <v>92.799000000000007</v>
      </c>
      <c r="BA72" s="1" t="s">
        <v>11507</v>
      </c>
      <c r="BB72" s="1">
        <f>AI72</f>
        <v>92.799000000000007</v>
      </c>
      <c r="BD72" s="1">
        <f>N72</f>
        <v>1</v>
      </c>
    </row>
    <row r="73" spans="1:56" x14ac:dyDescent="0.25">
      <c r="A73" s="1">
        <v>600000909</v>
      </c>
      <c r="B73" s="1">
        <v>1110</v>
      </c>
      <c r="C73" s="1">
        <v>2200001473</v>
      </c>
      <c r="D73" s="1" t="s">
        <v>303</v>
      </c>
      <c r="E73" s="1" t="str">
        <f>IF(AND(B73&lt;&gt;1110,B73&lt;&gt;1210,B73&lt;&gt;1510,B73&lt;&gt;1710),B73,IF(B73=1110,"1100",IF(B73=1210,"1200",IF(B73=1510,"1500",IF(B73=1710,"1700","X")))))</f>
        <v>1100</v>
      </c>
      <c r="F73" s="1" t="s">
        <v>447</v>
      </c>
      <c r="G73" s="1" t="s">
        <v>302</v>
      </c>
      <c r="H73" s="1">
        <f>ROUND(P73/(1-((R73+S73))/100)*Q73, 3)</f>
        <v>239.93199999999999</v>
      </c>
      <c r="I73" s="1">
        <v>0.45</v>
      </c>
      <c r="J73" s="1">
        <v>4</v>
      </c>
      <c r="K73" s="1">
        <v>1</v>
      </c>
      <c r="L73" s="1" t="s">
        <v>292</v>
      </c>
      <c r="M73" s="1">
        <v>1</v>
      </c>
      <c r="N73" s="1">
        <v>0.75262799999999996</v>
      </c>
      <c r="O73" s="1" t="s">
        <v>296</v>
      </c>
      <c r="P73" s="1">
        <v>200.94300000000001</v>
      </c>
      <c r="Q73" s="1">
        <v>1</v>
      </c>
      <c r="R73" s="1">
        <v>7</v>
      </c>
      <c r="S73" s="1">
        <v>9.25</v>
      </c>
      <c r="T73" s="1">
        <v>0</v>
      </c>
      <c r="V73" s="1" t="s">
        <v>11223</v>
      </c>
      <c r="W73" s="1">
        <v>100</v>
      </c>
      <c r="X73" s="1" t="s">
        <v>298</v>
      </c>
      <c r="Y73" s="1" t="s">
        <v>322</v>
      </c>
      <c r="Z73" s="1">
        <v>1</v>
      </c>
      <c r="AA73" s="1">
        <f>ROUND(H73*I73*Z73, 3)</f>
        <v>107.96899999999999</v>
      </c>
      <c r="AB73" s="1">
        <f>ROUND(VLOOKUP(X73,'Base de dados'!A:B, 2, 0)*AA73, 2)</f>
        <v>10.8</v>
      </c>
      <c r="AC73" s="1">
        <f>ROUND((AA73*(Destino!AG73/100))*(W73/100),2)</f>
        <v>7.56</v>
      </c>
      <c r="AD73" s="1">
        <f>ROUND(AA73*(Destino!AH73/100),2)</f>
        <v>9.99</v>
      </c>
      <c r="AE73" s="1">
        <f>ROUND((((AA73+AB73)*1.5039)*(Destino!AI73/100))-AC73,2)</f>
        <v>22.8</v>
      </c>
      <c r="AF73" s="1">
        <f>ROUND((AA73+AB73+AE73)*(J73/100),2)</f>
        <v>5.66</v>
      </c>
      <c r="AG73" s="1">
        <f>ROUND(AA73*T73,2)</f>
        <v>0</v>
      </c>
      <c r="AH73" s="1">
        <f>ROUND(AA73-AD73+AE73+AF73+AG73, 3)</f>
        <v>126.43899999999999</v>
      </c>
      <c r="AI73" s="1">
        <f>AH73*M73*K73</f>
        <v>126.43899999999999</v>
      </c>
      <c r="BA73" s="1" t="s">
        <v>11508</v>
      </c>
      <c r="BB73" s="1">
        <f>AI73</f>
        <v>126.43899999999999</v>
      </c>
      <c r="BD73" s="1">
        <f>N73</f>
        <v>0.75262799999999996</v>
      </c>
    </row>
    <row r="74" spans="1:56" x14ac:dyDescent="0.25">
      <c r="A74" s="1">
        <v>600000909</v>
      </c>
      <c r="B74" s="1">
        <v>1400</v>
      </c>
      <c r="C74" s="1">
        <v>2200001473</v>
      </c>
      <c r="D74" s="1" t="s">
        <v>303</v>
      </c>
      <c r="E74" s="1">
        <f>IF(AND(B74&lt;&gt;1110,B74&lt;&gt;1210,B74&lt;&gt;1510,B74&lt;&gt;1710),B74,IF(B74=1110,"1100",IF(B74=1210,"1200",IF(B74=1510,"1500",IF(B74=1710,"1700","X")))))</f>
        <v>1400</v>
      </c>
      <c r="F74" s="1" t="s">
        <v>11198</v>
      </c>
      <c r="G74" s="1" t="s">
        <v>302</v>
      </c>
      <c r="H74" s="1">
        <f>ROUND(P74/(1-((R74+S74))/100)*Q74, 3)</f>
        <v>276.20999999999998</v>
      </c>
      <c r="I74" s="1">
        <v>0.45</v>
      </c>
      <c r="J74" s="1">
        <v>1.5</v>
      </c>
      <c r="K74" s="1">
        <v>1</v>
      </c>
      <c r="L74" s="1" t="s">
        <v>292</v>
      </c>
      <c r="M74" s="1">
        <v>1</v>
      </c>
      <c r="N74" s="1">
        <v>1</v>
      </c>
      <c r="O74" s="1" t="s">
        <v>296</v>
      </c>
      <c r="P74" s="1">
        <v>200.94300000000001</v>
      </c>
      <c r="Q74" s="1">
        <v>1</v>
      </c>
      <c r="R74" s="1">
        <v>18</v>
      </c>
      <c r="S74" s="1">
        <v>9.25</v>
      </c>
      <c r="T74" s="1">
        <v>0</v>
      </c>
      <c r="V74" s="1" t="s">
        <v>11223</v>
      </c>
      <c r="W74" s="1">
        <v>100</v>
      </c>
      <c r="X74" s="1" t="s">
        <v>298</v>
      </c>
      <c r="Y74" s="1" t="s">
        <v>322</v>
      </c>
      <c r="Z74" s="1">
        <v>1</v>
      </c>
      <c r="AA74" s="1">
        <f>ROUND(H74*I74*Z74, 3)</f>
        <v>124.295</v>
      </c>
      <c r="AB74" s="1">
        <f>ROUND(VLOOKUP(X74,'Base de dados'!A:B, 2, 0)*AA74, 2)</f>
        <v>12.43</v>
      </c>
      <c r="AC74" s="1">
        <f>ROUND((AA74*(Destino!AG74/100))*(W74/100),2)</f>
        <v>22.37</v>
      </c>
      <c r="AD74" s="1">
        <f>ROUND(AA74*(Destino!AH74/100),2)</f>
        <v>11.5</v>
      </c>
      <c r="AF74" s="1">
        <f>ROUND((AA74+ AB74)*(J74/100),2)</f>
        <v>2.0499999999999998</v>
      </c>
      <c r="AG74" s="1">
        <f>ROUND(AA74*T74,2)</f>
        <v>0</v>
      </c>
      <c r="AH74" s="1">
        <f>ROUND(AA74-(AC74+AD74)+AF74+AG74, 3)</f>
        <v>92.474999999999994</v>
      </c>
      <c r="AI74" s="1">
        <f>AH74*M74*K74</f>
        <v>92.474999999999994</v>
      </c>
      <c r="BA74" s="1" t="s">
        <v>11363</v>
      </c>
      <c r="BB74" s="1">
        <f>AI74</f>
        <v>92.474999999999994</v>
      </c>
      <c r="BD74" s="1">
        <f>N74</f>
        <v>1</v>
      </c>
    </row>
    <row r="75" spans="1:56" x14ac:dyDescent="0.25">
      <c r="A75" s="1">
        <v>600000909</v>
      </c>
      <c r="B75" s="1">
        <v>1700</v>
      </c>
      <c r="C75" s="1">
        <v>2200001421</v>
      </c>
      <c r="D75" s="1" t="s">
        <v>303</v>
      </c>
      <c r="E75" s="1">
        <f>IF(AND(B75&lt;&gt;1110,B75&lt;&gt;1210,B75&lt;&gt;1510,B75&lt;&gt;1710),B75,IF(B75=1110,"1100",IF(B75=1210,"1200",IF(B75=1510,"1500",IF(B75=1710,"1700","X")))))</f>
        <v>1700</v>
      </c>
      <c r="F75" s="1" t="s">
        <v>11238</v>
      </c>
      <c r="G75" s="1" t="s">
        <v>302</v>
      </c>
      <c r="H75" s="1">
        <f>ROUND(P75/(1-((R75+S75))/100)*Q75, 3)</f>
        <v>110.41800000000001</v>
      </c>
      <c r="I75" s="1">
        <v>0.25</v>
      </c>
      <c r="J75" s="1">
        <v>3</v>
      </c>
      <c r="K75" s="1">
        <v>1</v>
      </c>
      <c r="L75" s="1" t="s">
        <v>292</v>
      </c>
      <c r="M75" s="1">
        <v>4</v>
      </c>
      <c r="N75" s="1">
        <v>1</v>
      </c>
      <c r="O75" s="1" t="s">
        <v>296</v>
      </c>
      <c r="P75" s="1">
        <f>IFERROR(VLOOKUP(BC75, BA:BA:BB:BB, 2, 0),)</f>
        <v>92.474999999999994</v>
      </c>
      <c r="Q75" s="1">
        <f>IFERROR(VLOOKUP(BC75, BA:BA:BD:BD, 4, 0),1)</f>
        <v>1</v>
      </c>
      <c r="R75" s="1">
        <v>7</v>
      </c>
      <c r="S75" s="1">
        <v>9.25</v>
      </c>
      <c r="T75" s="1">
        <v>0</v>
      </c>
      <c r="V75" s="1" t="s">
        <v>11223</v>
      </c>
      <c r="W75" s="1">
        <v>100</v>
      </c>
      <c r="X75" s="1" t="s">
        <v>298</v>
      </c>
      <c r="Y75" s="1" t="s">
        <v>322</v>
      </c>
      <c r="Z75" s="1">
        <v>1</v>
      </c>
      <c r="AA75" s="1">
        <f>ROUND(H75*I75*Z75, 3)</f>
        <v>27.605</v>
      </c>
      <c r="AB75" s="1">
        <f>ROUND(VLOOKUP(X75,'Base de dados'!A:B, 2, 0)*AA75, 2)</f>
        <v>2.76</v>
      </c>
      <c r="AC75" s="1">
        <f>ROUND((AA75*(Destino!AG75/100))*(W75/100),2)</f>
        <v>1.93</v>
      </c>
      <c r="AD75" s="1">
        <f>ROUND(AA75*(Destino!AH75/100),2)</f>
        <v>0</v>
      </c>
      <c r="AE75" s="1">
        <f>ROUND((((AA75+AB75)*1.48)*(Destino!AI75/100))-AC75,2)</f>
        <v>5.71</v>
      </c>
      <c r="AF75" s="1">
        <f>ROUND((AA75+AB75+AE75)*(J75/100),2)</f>
        <v>1.08</v>
      </c>
      <c r="AG75" s="1">
        <f>ROUND(AA75*T75,2)</f>
        <v>0</v>
      </c>
      <c r="AH75" s="1">
        <f>ROUND(AA75+AB75-AD75+AE75+AF75+AG75, 3)</f>
        <v>37.155000000000001</v>
      </c>
      <c r="AI75" s="1">
        <f>AH75*M75*K75</f>
        <v>148.62</v>
      </c>
      <c r="BA75" s="1" t="s">
        <v>11262</v>
      </c>
      <c r="BB75" s="1">
        <f>AI75</f>
        <v>148.62</v>
      </c>
      <c r="BC75" s="1" t="s">
        <v>11363</v>
      </c>
      <c r="BD75" s="1">
        <f>N75</f>
        <v>1</v>
      </c>
    </row>
    <row r="76" spans="1:56" x14ac:dyDescent="0.25">
      <c r="A76" s="1">
        <v>600001005</v>
      </c>
      <c r="B76" s="1">
        <v>1000</v>
      </c>
      <c r="C76" s="1">
        <v>2200001473</v>
      </c>
      <c r="D76" s="1" t="s">
        <v>303</v>
      </c>
      <c r="E76" s="1">
        <f>IF(AND(B76&lt;&gt;1110,B76&lt;&gt;1210,B76&lt;&gt;1510,B76&lt;&gt;1710),B76,IF(B76=1110,"1100",IF(B76=1210,"1200",IF(B76=1510,"1500",IF(B76=1710,"1700","X")))))</f>
        <v>1000</v>
      </c>
      <c r="F76" s="1" t="s">
        <v>11198</v>
      </c>
      <c r="G76" s="1" t="s">
        <v>302</v>
      </c>
      <c r="H76" s="1">
        <f>ROUND(P76/(1-((R76+S76))/100)*Q76, 3)</f>
        <v>183.256</v>
      </c>
      <c r="I76" s="1">
        <v>0.45</v>
      </c>
      <c r="J76" s="1">
        <v>1.5</v>
      </c>
      <c r="K76" s="1">
        <v>1</v>
      </c>
      <c r="L76" s="1" t="s">
        <v>292</v>
      </c>
      <c r="M76" s="1">
        <v>1</v>
      </c>
      <c r="N76" s="1">
        <v>1</v>
      </c>
      <c r="O76" s="1" t="s">
        <v>296</v>
      </c>
      <c r="P76" s="1">
        <v>144.31399999999999</v>
      </c>
      <c r="Q76" s="1">
        <v>1</v>
      </c>
      <c r="R76" s="1">
        <v>12</v>
      </c>
      <c r="S76" s="1">
        <v>9.25</v>
      </c>
      <c r="T76" s="1">
        <v>0</v>
      </c>
      <c r="V76" s="1" t="s">
        <v>11223</v>
      </c>
      <c r="W76" s="1">
        <v>100</v>
      </c>
      <c r="X76" s="1" t="s">
        <v>298</v>
      </c>
      <c r="Y76" s="1" t="s">
        <v>299</v>
      </c>
      <c r="Z76" s="1">
        <v>1</v>
      </c>
      <c r="AA76" s="1">
        <f>ROUND(H76*I76*Z76, 3)</f>
        <v>82.465000000000003</v>
      </c>
      <c r="AB76" s="1">
        <f>ROUND(VLOOKUP(X76,'Base de dados'!A:B, 2, 0)*AA76, 2)</f>
        <v>8.25</v>
      </c>
      <c r="AC76" s="1">
        <f>ROUND((AA76*(Destino!AG76/100))*(W76/100),2)</f>
        <v>9.9</v>
      </c>
      <c r="AD76" s="1">
        <f>ROUND(AA76*(Destino!AH76/100),2)</f>
        <v>7.63</v>
      </c>
      <c r="AF76" s="1">
        <f>ROUND((AA76+ AB76)*(J76/100),2)</f>
        <v>1.36</v>
      </c>
      <c r="AG76" s="1">
        <f>ROUND(AA76*T76,2)</f>
        <v>0</v>
      </c>
      <c r="AH76" s="1">
        <f>ROUND(AA76-(AC76+AD76)+AF76+AG76, 3)</f>
        <v>66.295000000000002</v>
      </c>
      <c r="AI76" s="1">
        <f>AH76*M76*K76</f>
        <v>66.295000000000002</v>
      </c>
      <c r="BA76" s="1" t="s">
        <v>11509</v>
      </c>
      <c r="BB76" s="1">
        <f>AI76</f>
        <v>66.295000000000002</v>
      </c>
      <c r="BD76" s="1">
        <f>N76</f>
        <v>1</v>
      </c>
    </row>
    <row r="77" spans="1:56" x14ac:dyDescent="0.25">
      <c r="A77" s="1">
        <v>600001005</v>
      </c>
      <c r="B77" s="1">
        <v>1100</v>
      </c>
      <c r="C77" s="1">
        <v>2200001473</v>
      </c>
      <c r="D77" s="1" t="s">
        <v>303</v>
      </c>
      <c r="E77" s="1">
        <f>IF(AND(B77&lt;&gt;1110,B77&lt;&gt;1210,B77&lt;&gt;1510,B77&lt;&gt;1710),B77,IF(B77=1110,"1100",IF(B77=1210,"1200",IF(B77=1510,"1500",IF(B77=1710,"1700","X")))))</f>
        <v>1100</v>
      </c>
      <c r="F77" s="1" t="s">
        <v>11198</v>
      </c>
      <c r="G77" s="1" t="s">
        <v>302</v>
      </c>
      <c r="H77" s="1">
        <f>ROUND(P77/(1-((R77+S77))/100)*Q77, 3)</f>
        <v>172.315</v>
      </c>
      <c r="I77" s="1">
        <v>0.45</v>
      </c>
      <c r="J77" s="1">
        <v>2</v>
      </c>
      <c r="K77" s="1">
        <v>1</v>
      </c>
      <c r="L77" s="1" t="s">
        <v>292</v>
      </c>
      <c r="M77" s="1">
        <v>1</v>
      </c>
      <c r="N77" s="1">
        <v>1</v>
      </c>
      <c r="O77" s="1" t="s">
        <v>296</v>
      </c>
      <c r="P77" s="1">
        <v>144.31399999999999</v>
      </c>
      <c r="Q77" s="1">
        <v>1</v>
      </c>
      <c r="R77" s="1">
        <v>7</v>
      </c>
      <c r="S77" s="1">
        <v>9.25</v>
      </c>
      <c r="T77" s="1">
        <v>0</v>
      </c>
      <c r="V77" s="1" t="s">
        <v>11223</v>
      </c>
      <c r="W77" s="1">
        <v>100</v>
      </c>
      <c r="X77" s="1" t="s">
        <v>298</v>
      </c>
      <c r="Y77" s="1" t="s">
        <v>299</v>
      </c>
      <c r="Z77" s="1">
        <v>1</v>
      </c>
      <c r="AA77" s="1">
        <f>ROUND(H77*I77*Z77, 3)</f>
        <v>77.542000000000002</v>
      </c>
      <c r="AB77" s="1">
        <f>ROUND(VLOOKUP(X77,'Base de dados'!A:B, 2, 0)*AA77, 2)</f>
        <v>7.75</v>
      </c>
      <c r="AC77" s="1">
        <f>ROUND((AA77*(Destino!AG77/100))*(W77/100),2)</f>
        <v>5.43</v>
      </c>
      <c r="AD77" s="1">
        <f>ROUND(AA77*(Destino!AH77/100),2)</f>
        <v>7.17</v>
      </c>
      <c r="AF77" s="1">
        <f>ROUND((AA77+ AB77)*(J77/100),2)</f>
        <v>1.71</v>
      </c>
      <c r="AG77" s="1">
        <f>ROUND(AA77*T77,2)</f>
        <v>0</v>
      </c>
      <c r="AH77" s="1">
        <f>ROUND(AA77-(AC77+AD77)+AF77+AG77, 3)</f>
        <v>66.652000000000001</v>
      </c>
      <c r="AI77" s="1">
        <f>AH77*M77*K77</f>
        <v>66.652000000000001</v>
      </c>
      <c r="BA77" s="1" t="s">
        <v>11510</v>
      </c>
      <c r="BB77" s="1">
        <f>AI77</f>
        <v>66.652000000000001</v>
      </c>
      <c r="BD77" s="1">
        <f>N77</f>
        <v>1</v>
      </c>
    </row>
    <row r="78" spans="1:56" x14ac:dyDescent="0.25">
      <c r="A78" s="1">
        <v>600001005</v>
      </c>
      <c r="B78" s="1">
        <v>1110</v>
      </c>
      <c r="C78" s="1">
        <v>2200001473</v>
      </c>
      <c r="D78" s="1" t="s">
        <v>303</v>
      </c>
      <c r="E78" s="1" t="str">
        <f>IF(AND(B78&lt;&gt;1110,B78&lt;&gt;1210,B78&lt;&gt;1510,B78&lt;&gt;1710),B78,IF(B78=1110,"1100",IF(B78=1210,"1200",IF(B78=1510,"1500",IF(B78=1710,"1700","X")))))</f>
        <v>1100</v>
      </c>
      <c r="F78" s="1" t="s">
        <v>447</v>
      </c>
      <c r="G78" s="1" t="s">
        <v>302</v>
      </c>
      <c r="H78" s="1">
        <f>ROUND(P78/(1-((R78+S78))/100)*Q78, 3)</f>
        <v>172.315</v>
      </c>
      <c r="I78" s="1">
        <v>0.45</v>
      </c>
      <c r="J78" s="1">
        <v>4</v>
      </c>
      <c r="K78" s="1">
        <v>1</v>
      </c>
      <c r="L78" s="1" t="s">
        <v>292</v>
      </c>
      <c r="M78" s="1">
        <v>1</v>
      </c>
      <c r="N78" s="1">
        <v>0.75259299999999996</v>
      </c>
      <c r="O78" s="1" t="s">
        <v>296</v>
      </c>
      <c r="P78" s="1">
        <v>144.31399999999999</v>
      </c>
      <c r="Q78" s="1">
        <v>1</v>
      </c>
      <c r="R78" s="1">
        <v>7</v>
      </c>
      <c r="S78" s="1">
        <v>9.25</v>
      </c>
      <c r="T78" s="1">
        <v>0</v>
      </c>
      <c r="V78" s="1" t="s">
        <v>11223</v>
      </c>
      <c r="W78" s="1">
        <v>100</v>
      </c>
      <c r="X78" s="1" t="s">
        <v>298</v>
      </c>
      <c r="Y78" s="1" t="s">
        <v>299</v>
      </c>
      <c r="Z78" s="1">
        <v>1</v>
      </c>
      <c r="AA78" s="1">
        <f>ROUND(H78*I78*Z78, 3)</f>
        <v>77.542000000000002</v>
      </c>
      <c r="AB78" s="1">
        <f>ROUND(VLOOKUP(X78,'Base de dados'!A:B, 2, 0)*AA78, 2)</f>
        <v>7.75</v>
      </c>
      <c r="AC78" s="1">
        <f>ROUND((AA78*(Destino!AG78/100))*(W78/100),2)</f>
        <v>5.43</v>
      </c>
      <c r="AD78" s="1">
        <f>ROUND(AA78*(Destino!AH78/100),2)</f>
        <v>7.17</v>
      </c>
      <c r="AE78" s="1">
        <f>ROUND((((AA78+AB78)*1.5039)*(Destino!AI78/100))-AC78,2)</f>
        <v>16.38</v>
      </c>
      <c r="AF78" s="1">
        <f>ROUND((AA78+AB78+AE78)*(J78/100),2)</f>
        <v>4.07</v>
      </c>
      <c r="AG78" s="1">
        <f>ROUND(AA78*T78,2)</f>
        <v>0</v>
      </c>
      <c r="AH78" s="1">
        <f>ROUND(AA78-AD78+AE78+AF78+AG78, 3)</f>
        <v>90.822000000000003</v>
      </c>
      <c r="AI78" s="1">
        <f>AH78*M78*K78</f>
        <v>90.822000000000003</v>
      </c>
      <c r="BA78" s="1" t="s">
        <v>11511</v>
      </c>
      <c r="BB78" s="1">
        <f>AI78</f>
        <v>90.822000000000003</v>
      </c>
      <c r="BD78" s="1">
        <f>N78</f>
        <v>0.75259299999999996</v>
      </c>
    </row>
    <row r="79" spans="1:56" x14ac:dyDescent="0.25">
      <c r="A79" s="1">
        <v>600001005</v>
      </c>
      <c r="B79" s="1">
        <v>1400</v>
      </c>
      <c r="C79" s="1">
        <v>2200001473</v>
      </c>
      <c r="D79" s="1" t="s">
        <v>303</v>
      </c>
      <c r="E79" s="1">
        <f>IF(AND(B79&lt;&gt;1110,B79&lt;&gt;1210,B79&lt;&gt;1510,B79&lt;&gt;1710),B79,IF(B79=1110,"1100",IF(B79=1210,"1200",IF(B79=1510,"1500",IF(B79=1710,"1700","X")))))</f>
        <v>1400</v>
      </c>
      <c r="F79" s="1" t="s">
        <v>11198</v>
      </c>
      <c r="G79" s="1" t="s">
        <v>302</v>
      </c>
      <c r="H79" s="1">
        <f>ROUND(P79/(1-((R79+S79))/100)*Q79, 3)</f>
        <v>198.37</v>
      </c>
      <c r="I79" s="1">
        <v>0.45</v>
      </c>
      <c r="J79" s="1">
        <v>1.5</v>
      </c>
      <c r="K79" s="1">
        <v>1</v>
      </c>
      <c r="L79" s="1" t="s">
        <v>292</v>
      </c>
      <c r="M79" s="1">
        <v>1</v>
      </c>
      <c r="N79" s="1">
        <v>1</v>
      </c>
      <c r="O79" s="1" t="s">
        <v>296</v>
      </c>
      <c r="P79" s="1">
        <v>144.31399999999999</v>
      </c>
      <c r="Q79" s="1">
        <v>1</v>
      </c>
      <c r="R79" s="1">
        <v>18</v>
      </c>
      <c r="S79" s="1">
        <v>9.25</v>
      </c>
      <c r="T79" s="1">
        <v>0</v>
      </c>
      <c r="V79" s="1" t="s">
        <v>11223</v>
      </c>
      <c r="W79" s="1">
        <v>100</v>
      </c>
      <c r="X79" s="1" t="s">
        <v>298</v>
      </c>
      <c r="Y79" s="1" t="s">
        <v>299</v>
      </c>
      <c r="Z79" s="1">
        <v>1</v>
      </c>
      <c r="AA79" s="1">
        <f>ROUND(H79*I79*Z79, 3)</f>
        <v>89.266999999999996</v>
      </c>
      <c r="AB79" s="1">
        <f>ROUND(VLOOKUP(X79,'Base de dados'!A:B, 2, 0)*AA79, 2)</f>
        <v>8.93</v>
      </c>
      <c r="AC79" s="1">
        <f>ROUND((AA79*(Destino!AG79/100))*(W79/100),2)</f>
        <v>16.07</v>
      </c>
      <c r="AD79" s="1">
        <f>ROUND(AA79*(Destino!AH79/100),2)</f>
        <v>8.26</v>
      </c>
      <c r="AF79" s="1">
        <f>ROUND((AA79+ AB79)*(J79/100),2)</f>
        <v>1.47</v>
      </c>
      <c r="AG79" s="1">
        <f>ROUND(AA79*T79,2)</f>
        <v>0</v>
      </c>
      <c r="AH79" s="1">
        <f>ROUND(AA79-(AC79+AD79)+AF79+AG79, 3)</f>
        <v>66.406999999999996</v>
      </c>
      <c r="AI79" s="1">
        <f>AH79*M79*K79</f>
        <v>66.406999999999996</v>
      </c>
      <c r="BA79" s="1" t="s">
        <v>11364</v>
      </c>
      <c r="BB79" s="1">
        <f>AI79</f>
        <v>66.406999999999996</v>
      </c>
      <c r="BD79" s="1">
        <f>N79</f>
        <v>1</v>
      </c>
    </row>
    <row r="80" spans="1:56" x14ac:dyDescent="0.25">
      <c r="A80" s="1">
        <v>600001005</v>
      </c>
      <c r="B80" s="1">
        <v>1700</v>
      </c>
      <c r="C80" s="1">
        <v>2200001421</v>
      </c>
      <c r="D80" s="1" t="s">
        <v>303</v>
      </c>
      <c r="E80" s="1">
        <f>IF(AND(B80&lt;&gt;1110,B80&lt;&gt;1210,B80&lt;&gt;1510,B80&lt;&gt;1710),B80,IF(B80=1110,"1100",IF(B80=1210,"1200",IF(B80=1510,"1500",IF(B80=1710,"1700","X")))))</f>
        <v>1700</v>
      </c>
      <c r="F80" s="1" t="s">
        <v>11238</v>
      </c>
      <c r="G80" s="1" t="s">
        <v>302</v>
      </c>
      <c r="H80" s="1">
        <f>ROUND(P80/(1-((R80+S80))/100)*Q80, 3)</f>
        <v>79.292000000000002</v>
      </c>
      <c r="I80" s="1">
        <v>0.25</v>
      </c>
      <c r="J80" s="1">
        <v>3</v>
      </c>
      <c r="K80" s="1">
        <v>1</v>
      </c>
      <c r="L80" s="1" t="s">
        <v>292</v>
      </c>
      <c r="M80" s="1">
        <v>4</v>
      </c>
      <c r="N80" s="1">
        <v>1</v>
      </c>
      <c r="O80" s="1" t="s">
        <v>296</v>
      </c>
      <c r="P80" s="1">
        <f>IFERROR(VLOOKUP(BC80, BA:BA:BB:BB, 2, 0),)</f>
        <v>66.406999999999996</v>
      </c>
      <c r="Q80" s="1">
        <f>IFERROR(VLOOKUP(BC80, BA:BA:BD:BD, 4, 0),1)</f>
        <v>1</v>
      </c>
      <c r="R80" s="1">
        <v>7</v>
      </c>
      <c r="S80" s="1">
        <v>9.25</v>
      </c>
      <c r="T80" s="1">
        <v>0</v>
      </c>
      <c r="V80" s="1" t="s">
        <v>11223</v>
      </c>
      <c r="W80" s="1">
        <v>100</v>
      </c>
      <c r="X80" s="1" t="s">
        <v>298</v>
      </c>
      <c r="Y80" s="1" t="s">
        <v>299</v>
      </c>
      <c r="Z80" s="1">
        <v>1</v>
      </c>
      <c r="AA80" s="1">
        <f>ROUND(H80*I80*Z80, 3)</f>
        <v>19.823</v>
      </c>
      <c r="AB80" s="1">
        <f>ROUND(VLOOKUP(X80,'Base de dados'!A:B, 2, 0)*AA80, 2)</f>
        <v>1.98</v>
      </c>
      <c r="AC80" s="1">
        <f>ROUND((AA80*(Destino!AG80/100))*(W80/100),2)</f>
        <v>1.39</v>
      </c>
      <c r="AD80" s="1">
        <f>ROUND(AA80*(Destino!AH80/100),2)</f>
        <v>0</v>
      </c>
      <c r="AE80" s="1">
        <f>ROUND((((AA80+AB80)*1.48)*(Destino!AI80/100))-AC80,2)</f>
        <v>4.0999999999999996</v>
      </c>
      <c r="AF80" s="1">
        <f>ROUND((AA80+AB80+AE80)*(J80/100),2)</f>
        <v>0.78</v>
      </c>
      <c r="AG80" s="1">
        <f>ROUND(AA80*T80,2)</f>
        <v>0</v>
      </c>
      <c r="AH80" s="1">
        <f>ROUND(AA80+AB80-AD80+AE80+AF80+AG80, 3)</f>
        <v>26.683</v>
      </c>
      <c r="AI80" s="1">
        <f>AH80*M80*K80</f>
        <v>106.732</v>
      </c>
      <c r="BA80" s="1" t="s">
        <v>11263</v>
      </c>
      <c r="BB80" s="1">
        <f>AI80</f>
        <v>106.732</v>
      </c>
      <c r="BC80" s="1" t="s">
        <v>11364</v>
      </c>
      <c r="BD80" s="1">
        <f>N80</f>
        <v>1</v>
      </c>
    </row>
    <row r="81" spans="1:56" x14ac:dyDescent="0.25">
      <c r="A81" s="1">
        <v>600001006</v>
      </c>
      <c r="B81" s="1">
        <v>1000</v>
      </c>
      <c r="C81" s="1">
        <v>2200001473</v>
      </c>
      <c r="D81" s="1" t="s">
        <v>303</v>
      </c>
      <c r="E81" s="1">
        <f>IF(AND(B81&lt;&gt;1110,B81&lt;&gt;1210,B81&lt;&gt;1510,B81&lt;&gt;1710),B81,IF(B81=1110,"1100",IF(B81=1210,"1200",IF(B81=1510,"1500",IF(B81=1710,"1700","X")))))</f>
        <v>1000</v>
      </c>
      <c r="F81" s="1" t="s">
        <v>11198</v>
      </c>
      <c r="G81" s="1" t="s">
        <v>302</v>
      </c>
      <c r="H81" s="1">
        <f>ROUND(P81/(1-((R81+S81))/100)*Q81, 3)</f>
        <v>178.988</v>
      </c>
      <c r="I81" s="1">
        <v>0.45</v>
      </c>
      <c r="J81" s="1">
        <v>1.5</v>
      </c>
      <c r="K81" s="1">
        <v>1</v>
      </c>
      <c r="L81" s="1" t="s">
        <v>292</v>
      </c>
      <c r="M81" s="1">
        <v>1</v>
      </c>
      <c r="N81" s="1">
        <v>1</v>
      </c>
      <c r="O81" s="1" t="s">
        <v>296</v>
      </c>
      <c r="P81" s="1">
        <v>140.953</v>
      </c>
      <c r="Q81" s="1">
        <v>1</v>
      </c>
      <c r="R81" s="1">
        <v>12</v>
      </c>
      <c r="S81" s="1">
        <v>9.25</v>
      </c>
      <c r="T81" s="1">
        <v>0</v>
      </c>
      <c r="V81" s="1" t="s">
        <v>11223</v>
      </c>
      <c r="W81" s="1">
        <v>100</v>
      </c>
      <c r="X81" s="1" t="s">
        <v>298</v>
      </c>
      <c r="Y81" s="1" t="s">
        <v>299</v>
      </c>
      <c r="Z81" s="1">
        <v>1</v>
      </c>
      <c r="AA81" s="1">
        <f>ROUND(H81*I81*Z81, 3)</f>
        <v>80.545000000000002</v>
      </c>
      <c r="AB81" s="1">
        <f>ROUND(VLOOKUP(X81,'Base de dados'!A:B, 2, 0)*AA81, 2)</f>
        <v>8.0500000000000007</v>
      </c>
      <c r="AC81" s="1">
        <f>ROUND((AA81*(Destino!AG81/100))*(W81/100),2)</f>
        <v>9.67</v>
      </c>
      <c r="AD81" s="1">
        <f>ROUND(AA81*(Destino!AH81/100),2)</f>
        <v>7.45</v>
      </c>
      <c r="AF81" s="1">
        <f>ROUND((AA81+ AB81)*(J81/100),2)</f>
        <v>1.33</v>
      </c>
      <c r="AG81" s="1">
        <f>ROUND(AA81*T81,2)</f>
        <v>0</v>
      </c>
      <c r="AH81" s="1">
        <f>ROUND(AA81-(AC81+AD81)+AF81+AG81, 3)</f>
        <v>64.754999999999995</v>
      </c>
      <c r="AI81" s="1">
        <f>AH81*M81*K81</f>
        <v>64.754999999999995</v>
      </c>
      <c r="BA81" s="1" t="s">
        <v>11512</v>
      </c>
      <c r="BB81" s="1">
        <f>AI81</f>
        <v>64.754999999999995</v>
      </c>
      <c r="BD81" s="1">
        <f>N81</f>
        <v>1</v>
      </c>
    </row>
    <row r="82" spans="1:56" x14ac:dyDescent="0.25">
      <c r="A82" s="1">
        <v>600001006</v>
      </c>
      <c r="B82" s="1">
        <v>1100</v>
      </c>
      <c r="C82" s="1">
        <v>2200001473</v>
      </c>
      <c r="D82" s="1" t="s">
        <v>303</v>
      </c>
      <c r="E82" s="1">
        <f>IF(AND(B82&lt;&gt;1110,B82&lt;&gt;1210,B82&lt;&gt;1510,B82&lt;&gt;1710),B82,IF(B82=1110,"1100",IF(B82=1210,"1200",IF(B82=1510,"1500",IF(B82=1710,"1700","X")))))</f>
        <v>1100</v>
      </c>
      <c r="F82" s="1" t="s">
        <v>11198</v>
      </c>
      <c r="G82" s="1" t="s">
        <v>302</v>
      </c>
      <c r="H82" s="1">
        <f>ROUND(P82/(1-((R82+S82))/100)*Q82, 3)</f>
        <v>168.30199999999999</v>
      </c>
      <c r="I82" s="1">
        <v>0.45</v>
      </c>
      <c r="J82" s="1">
        <v>2</v>
      </c>
      <c r="K82" s="1">
        <v>1</v>
      </c>
      <c r="L82" s="1" t="s">
        <v>292</v>
      </c>
      <c r="M82" s="1">
        <v>1</v>
      </c>
      <c r="N82" s="1">
        <v>1</v>
      </c>
      <c r="O82" s="1" t="s">
        <v>296</v>
      </c>
      <c r="P82" s="1">
        <v>140.953</v>
      </c>
      <c r="Q82" s="1">
        <v>1</v>
      </c>
      <c r="R82" s="1">
        <v>7</v>
      </c>
      <c r="S82" s="1">
        <v>9.25</v>
      </c>
      <c r="T82" s="1">
        <v>0</v>
      </c>
      <c r="V82" s="1" t="s">
        <v>11223</v>
      </c>
      <c r="W82" s="1">
        <v>100</v>
      </c>
      <c r="X82" s="1" t="s">
        <v>298</v>
      </c>
      <c r="Y82" s="1" t="s">
        <v>299</v>
      </c>
      <c r="Z82" s="1">
        <v>1</v>
      </c>
      <c r="AA82" s="1">
        <f>ROUND(H82*I82*Z82, 3)</f>
        <v>75.736000000000004</v>
      </c>
      <c r="AB82" s="1">
        <f>ROUND(VLOOKUP(X82,'Base de dados'!A:B, 2, 0)*AA82, 2)</f>
        <v>7.57</v>
      </c>
      <c r="AC82" s="1">
        <f>ROUND((AA82*(Destino!AG82/100))*(W82/100),2)</f>
        <v>5.3</v>
      </c>
      <c r="AD82" s="1">
        <f>ROUND(AA82*(Destino!AH82/100),2)</f>
        <v>7.01</v>
      </c>
      <c r="AF82" s="1">
        <f>ROUND((AA82+ AB82)*(J82/100),2)</f>
        <v>1.67</v>
      </c>
      <c r="AG82" s="1">
        <f>ROUND(AA82*T82,2)</f>
        <v>0</v>
      </c>
      <c r="AH82" s="1">
        <f>ROUND(AA82-(AC82+AD82)+AF82+AG82, 3)</f>
        <v>65.096000000000004</v>
      </c>
      <c r="AI82" s="1">
        <f>AH82*M82*K82</f>
        <v>65.096000000000004</v>
      </c>
      <c r="BA82" s="1" t="s">
        <v>11513</v>
      </c>
      <c r="BB82" s="1">
        <f>AI82</f>
        <v>65.096000000000004</v>
      </c>
      <c r="BD82" s="1">
        <f>N82</f>
        <v>1</v>
      </c>
    </row>
    <row r="83" spans="1:56" x14ac:dyDescent="0.25">
      <c r="A83" s="1">
        <v>600001006</v>
      </c>
      <c r="B83" s="1">
        <v>1110</v>
      </c>
      <c r="C83" s="1">
        <v>2200001473</v>
      </c>
      <c r="D83" s="1" t="s">
        <v>303</v>
      </c>
      <c r="E83" s="1" t="str">
        <f>IF(AND(B83&lt;&gt;1110,B83&lt;&gt;1210,B83&lt;&gt;1510,B83&lt;&gt;1710),B83,IF(B83=1110,"1100",IF(B83=1210,"1200",IF(B83=1510,"1500",IF(B83=1710,"1700","X")))))</f>
        <v>1100</v>
      </c>
      <c r="F83" s="1" t="s">
        <v>447</v>
      </c>
      <c r="G83" s="1" t="s">
        <v>302</v>
      </c>
      <c r="H83" s="1">
        <f>ROUND(P83/(1-((R83+S83))/100)*Q83, 3)</f>
        <v>168.30199999999999</v>
      </c>
      <c r="I83" s="1">
        <v>0.45</v>
      </c>
      <c r="J83" s="1">
        <v>4</v>
      </c>
      <c r="K83" s="1">
        <v>1</v>
      </c>
      <c r="L83" s="1" t="s">
        <v>292</v>
      </c>
      <c r="M83" s="1">
        <v>1</v>
      </c>
      <c r="N83" s="1">
        <v>0.75263800000000003</v>
      </c>
      <c r="O83" s="1" t="s">
        <v>296</v>
      </c>
      <c r="P83" s="1">
        <v>140.953</v>
      </c>
      <c r="Q83" s="1">
        <v>1</v>
      </c>
      <c r="R83" s="1">
        <v>7</v>
      </c>
      <c r="S83" s="1">
        <v>9.25</v>
      </c>
      <c r="T83" s="1">
        <v>0</v>
      </c>
      <c r="V83" s="1" t="s">
        <v>11223</v>
      </c>
      <c r="W83" s="1">
        <v>100</v>
      </c>
      <c r="X83" s="1" t="s">
        <v>298</v>
      </c>
      <c r="Y83" s="1" t="s">
        <v>299</v>
      </c>
      <c r="Z83" s="1">
        <v>1</v>
      </c>
      <c r="AA83" s="1">
        <f>ROUND(H83*I83*Z83, 3)</f>
        <v>75.736000000000004</v>
      </c>
      <c r="AB83" s="1">
        <f>ROUND(VLOOKUP(X83,'Base de dados'!A:B, 2, 0)*AA83, 2)</f>
        <v>7.57</v>
      </c>
      <c r="AC83" s="1">
        <f>ROUND((AA83*(Destino!AG83/100))*(W83/100),2)</f>
        <v>5.3</v>
      </c>
      <c r="AD83" s="1">
        <f>ROUND(AA83*(Destino!AH83/100),2)</f>
        <v>7.01</v>
      </c>
      <c r="AE83" s="1">
        <f>ROUND((((AA83+AB83)*1.5039)*(Destino!AI83/100))-AC83,2)</f>
        <v>16</v>
      </c>
      <c r="AF83" s="1">
        <f>ROUND((AA83+AB83+AE83)*(J83/100),2)</f>
        <v>3.97</v>
      </c>
      <c r="AG83" s="1">
        <f>ROUND(AA83*T83,2)</f>
        <v>0</v>
      </c>
      <c r="AH83" s="1">
        <f>ROUND(AA83-AD83+AE83+AF83+AG83, 3)</f>
        <v>88.695999999999998</v>
      </c>
      <c r="AI83" s="1">
        <f>AH83*M83*K83</f>
        <v>88.695999999999998</v>
      </c>
      <c r="BA83" s="1" t="s">
        <v>11514</v>
      </c>
      <c r="BB83" s="1">
        <f>AI83</f>
        <v>88.695999999999998</v>
      </c>
      <c r="BD83" s="1">
        <f>N83</f>
        <v>0.75263800000000003</v>
      </c>
    </row>
    <row r="84" spans="1:56" x14ac:dyDescent="0.25">
      <c r="A84" s="1">
        <v>600001006</v>
      </c>
      <c r="B84" s="1">
        <v>1400</v>
      </c>
      <c r="C84" s="1">
        <v>2200001473</v>
      </c>
      <c r="D84" s="1" t="s">
        <v>303</v>
      </c>
      <c r="E84" s="1">
        <f>IF(AND(B84&lt;&gt;1110,B84&lt;&gt;1210,B84&lt;&gt;1510,B84&lt;&gt;1710),B84,IF(B84=1110,"1100",IF(B84=1210,"1200",IF(B84=1510,"1500",IF(B84=1710,"1700","X")))))</f>
        <v>1400</v>
      </c>
      <c r="F84" s="1" t="s">
        <v>11198</v>
      </c>
      <c r="G84" s="1" t="s">
        <v>302</v>
      </c>
      <c r="H84" s="1">
        <f>ROUND(P84/(1-((R84+S84))/100)*Q84, 3)</f>
        <v>193.75</v>
      </c>
      <c r="I84" s="1">
        <v>0.45</v>
      </c>
      <c r="J84" s="1">
        <v>1.5</v>
      </c>
      <c r="K84" s="1">
        <v>1</v>
      </c>
      <c r="L84" s="1" t="s">
        <v>292</v>
      </c>
      <c r="M84" s="1">
        <v>1</v>
      </c>
      <c r="N84" s="1">
        <v>1</v>
      </c>
      <c r="O84" s="1" t="s">
        <v>296</v>
      </c>
      <c r="P84" s="1">
        <v>140.953</v>
      </c>
      <c r="Q84" s="1">
        <v>1</v>
      </c>
      <c r="R84" s="1">
        <v>18</v>
      </c>
      <c r="S84" s="1">
        <v>9.25</v>
      </c>
      <c r="T84" s="1">
        <v>0</v>
      </c>
      <c r="V84" s="1" t="s">
        <v>11223</v>
      </c>
      <c r="W84" s="1">
        <v>100</v>
      </c>
      <c r="X84" s="1" t="s">
        <v>298</v>
      </c>
      <c r="Y84" s="1" t="s">
        <v>299</v>
      </c>
      <c r="Z84" s="1">
        <v>1</v>
      </c>
      <c r="AA84" s="1">
        <f>ROUND(H84*I84*Z84, 3)</f>
        <v>87.188000000000002</v>
      </c>
      <c r="AB84" s="1">
        <f>ROUND(VLOOKUP(X84,'Base de dados'!A:B, 2, 0)*AA84, 2)</f>
        <v>8.7200000000000006</v>
      </c>
      <c r="AC84" s="1">
        <f>ROUND((AA84*(Destino!AG84/100))*(W84/100),2)</f>
        <v>15.69</v>
      </c>
      <c r="AD84" s="1">
        <f>ROUND(AA84*(Destino!AH84/100),2)</f>
        <v>8.06</v>
      </c>
      <c r="AF84" s="1">
        <f>ROUND((AA84+ AB84)*(J84/100),2)</f>
        <v>1.44</v>
      </c>
      <c r="AG84" s="1">
        <f>ROUND(AA84*T84,2)</f>
        <v>0</v>
      </c>
      <c r="AH84" s="1">
        <f>ROUND(AA84-(AC84+AD84)+AF84+AG84, 3)</f>
        <v>64.878</v>
      </c>
      <c r="AI84" s="1">
        <f>AH84*M84*K84</f>
        <v>64.878</v>
      </c>
      <c r="BA84" s="1" t="s">
        <v>11365</v>
      </c>
      <c r="BB84" s="1">
        <f>AI84</f>
        <v>64.878</v>
      </c>
      <c r="BD84" s="1">
        <f>N84</f>
        <v>1</v>
      </c>
    </row>
    <row r="85" spans="1:56" x14ac:dyDescent="0.25">
      <c r="A85" s="1">
        <v>600001006</v>
      </c>
      <c r="B85" s="1">
        <v>1700</v>
      </c>
      <c r="C85" s="1">
        <v>2200001421</v>
      </c>
      <c r="D85" s="1" t="s">
        <v>303</v>
      </c>
      <c r="E85" s="1">
        <f>IF(AND(B85&lt;&gt;1110,B85&lt;&gt;1210,B85&lt;&gt;1510,B85&lt;&gt;1710),B85,IF(B85=1110,"1100",IF(B85=1210,"1200",IF(B85=1510,"1500",IF(B85=1710,"1700","X")))))</f>
        <v>1700</v>
      </c>
      <c r="F85" s="1" t="s">
        <v>11238</v>
      </c>
      <c r="G85" s="1" t="s">
        <v>302</v>
      </c>
      <c r="H85" s="1">
        <f>ROUND(P85/(1-((R85+S85))/100)*Q85, 3)</f>
        <v>77.465999999999994</v>
      </c>
      <c r="I85" s="1">
        <v>0.25</v>
      </c>
      <c r="J85" s="1">
        <v>3</v>
      </c>
      <c r="K85" s="1">
        <v>1</v>
      </c>
      <c r="L85" s="1" t="s">
        <v>292</v>
      </c>
      <c r="M85" s="1">
        <v>4</v>
      </c>
      <c r="N85" s="1">
        <v>1</v>
      </c>
      <c r="O85" s="1" t="s">
        <v>296</v>
      </c>
      <c r="P85" s="1">
        <f>IFERROR(VLOOKUP(BC85, BA:BA:BB:BB, 2, 0),)</f>
        <v>64.878</v>
      </c>
      <c r="Q85" s="1">
        <f>IFERROR(VLOOKUP(BC85, BA:BA:BD:BD, 4, 0),1)</f>
        <v>1</v>
      </c>
      <c r="R85" s="1">
        <v>7</v>
      </c>
      <c r="S85" s="1">
        <v>9.25</v>
      </c>
      <c r="T85" s="1">
        <v>0</v>
      </c>
      <c r="V85" s="1" t="s">
        <v>11223</v>
      </c>
      <c r="W85" s="1">
        <v>100</v>
      </c>
      <c r="X85" s="1" t="s">
        <v>298</v>
      </c>
      <c r="Y85" s="1" t="s">
        <v>299</v>
      </c>
      <c r="Z85" s="1">
        <v>1</v>
      </c>
      <c r="AA85" s="1">
        <f>ROUND(H85*I85*Z85, 3)</f>
        <v>19.367000000000001</v>
      </c>
      <c r="AB85" s="1">
        <f>ROUND(VLOOKUP(X85,'Base de dados'!A:B, 2, 0)*AA85, 2)</f>
        <v>1.94</v>
      </c>
      <c r="AC85" s="1">
        <f>ROUND((AA85*(Destino!AG85/100))*(W85/100),2)</f>
        <v>1.36</v>
      </c>
      <c r="AD85" s="1">
        <f>ROUND(AA85*(Destino!AH85/100),2)</f>
        <v>0</v>
      </c>
      <c r="AE85" s="1">
        <f>ROUND((((AA85+AB85)*1.48)*(Destino!AI85/100))-AC85,2)</f>
        <v>4</v>
      </c>
      <c r="AF85" s="1">
        <f>ROUND((AA85+AB85+AE85)*(J85/100),2)</f>
        <v>0.76</v>
      </c>
      <c r="AG85" s="1">
        <f>ROUND(AA85*T85,2)</f>
        <v>0</v>
      </c>
      <c r="AH85" s="1">
        <f>ROUND(AA85+AB85-AD85+AE85+AF85+AG85, 3)</f>
        <v>26.067</v>
      </c>
      <c r="AI85" s="1">
        <f>AH85*M85*K85</f>
        <v>104.268</v>
      </c>
      <c r="BA85" s="1" t="s">
        <v>11264</v>
      </c>
      <c r="BB85" s="1">
        <f>AI85</f>
        <v>104.268</v>
      </c>
      <c r="BC85" s="1" t="s">
        <v>11365</v>
      </c>
      <c r="BD85" s="1">
        <f>N85</f>
        <v>1</v>
      </c>
    </row>
    <row r="86" spans="1:56" x14ac:dyDescent="0.25">
      <c r="A86" s="1">
        <v>600001008</v>
      </c>
      <c r="B86" s="1">
        <v>1000</v>
      </c>
      <c r="C86" s="1">
        <v>2200001473</v>
      </c>
      <c r="D86" s="1" t="s">
        <v>303</v>
      </c>
      <c r="E86" s="1">
        <f>IF(AND(B86&lt;&gt;1110,B86&lt;&gt;1210,B86&lt;&gt;1510,B86&lt;&gt;1710),B86,IF(B86=1110,"1100",IF(B86=1210,"1200",IF(B86=1510,"1500",IF(B86=1710,"1700","X")))))</f>
        <v>1000</v>
      </c>
      <c r="F86" s="1" t="s">
        <v>11198</v>
      </c>
      <c r="G86" s="1" t="s">
        <v>302</v>
      </c>
      <c r="H86" s="1">
        <f>ROUND(P86/(1-((R86+S86))/100)*Q86, 3)</f>
        <v>53.002000000000002</v>
      </c>
      <c r="I86" s="1">
        <v>0.45</v>
      </c>
      <c r="J86" s="1">
        <v>1.5</v>
      </c>
      <c r="K86" s="1">
        <v>1</v>
      </c>
      <c r="L86" s="1" t="s">
        <v>292</v>
      </c>
      <c r="M86" s="1">
        <v>1</v>
      </c>
      <c r="N86" s="1">
        <v>1</v>
      </c>
      <c r="O86" s="1" t="s">
        <v>296</v>
      </c>
      <c r="P86" s="1">
        <v>41.738999999999997</v>
      </c>
      <c r="Q86" s="1">
        <v>1</v>
      </c>
      <c r="R86" s="1">
        <v>12</v>
      </c>
      <c r="S86" s="1">
        <v>9.25</v>
      </c>
      <c r="T86" s="1">
        <v>0</v>
      </c>
      <c r="V86" s="1" t="s">
        <v>11223</v>
      </c>
      <c r="W86" s="1">
        <v>100</v>
      </c>
      <c r="X86" s="1" t="s">
        <v>319</v>
      </c>
      <c r="Y86" s="1" t="s">
        <v>299</v>
      </c>
      <c r="Z86" s="1">
        <v>1</v>
      </c>
      <c r="AA86" s="1">
        <f>ROUND(H86*I86*Z86, 3)</f>
        <v>23.850999999999999</v>
      </c>
      <c r="AB86" s="1">
        <f>ROUND(VLOOKUP(X86,'Base de dados'!A:B, 2, 0)*AA86, 2)</f>
        <v>2.39</v>
      </c>
      <c r="AC86" s="1">
        <f>ROUND((AA86*(Destino!AG86/100))*(W86/100),2)</f>
        <v>2.86</v>
      </c>
      <c r="AD86" s="1">
        <f>ROUND(AA86*(Destino!AH86/100),2)</f>
        <v>2.21</v>
      </c>
      <c r="AF86" s="1">
        <f>ROUND((AA86+ AB86)*(J86/100),2)</f>
        <v>0.39</v>
      </c>
      <c r="AG86" s="1">
        <f>ROUND(AA86*T86,2)</f>
        <v>0</v>
      </c>
      <c r="AH86" s="1">
        <f>ROUND(AA86-(AC86+AD86)+AF86+AG86, 3)</f>
        <v>19.170999999999999</v>
      </c>
      <c r="AI86" s="1">
        <f>AH86*M86*K86</f>
        <v>19.170999999999999</v>
      </c>
      <c r="BA86" s="1" t="s">
        <v>11515</v>
      </c>
      <c r="BB86" s="1">
        <f>AI86</f>
        <v>19.170999999999999</v>
      </c>
      <c r="BD86" s="1">
        <f>N86</f>
        <v>1</v>
      </c>
    </row>
    <row r="87" spans="1:56" x14ac:dyDescent="0.25">
      <c r="A87" s="1">
        <v>600001008</v>
      </c>
      <c r="B87" s="1">
        <v>1100</v>
      </c>
      <c r="C87" s="1">
        <v>2200001473</v>
      </c>
      <c r="D87" s="1" t="s">
        <v>303</v>
      </c>
      <c r="E87" s="1">
        <f>IF(AND(B87&lt;&gt;1110,B87&lt;&gt;1210,B87&lt;&gt;1510,B87&lt;&gt;1710),B87,IF(B87=1110,"1100",IF(B87=1210,"1200",IF(B87=1510,"1500",IF(B87=1710,"1700","X")))))</f>
        <v>1100</v>
      </c>
      <c r="F87" s="1" t="s">
        <v>11198</v>
      </c>
      <c r="G87" s="1" t="s">
        <v>302</v>
      </c>
      <c r="H87" s="1">
        <f>ROUND(P87/(1-((R87+S87))/100)*Q87, 3)</f>
        <v>49.835000000000001</v>
      </c>
      <c r="I87" s="1">
        <v>0.45</v>
      </c>
      <c r="J87" s="1">
        <v>2</v>
      </c>
      <c r="K87" s="1">
        <v>1</v>
      </c>
      <c r="L87" s="1" t="s">
        <v>292</v>
      </c>
      <c r="M87" s="1">
        <v>1</v>
      </c>
      <c r="N87" s="1">
        <v>1</v>
      </c>
      <c r="O87" s="1" t="s">
        <v>296</v>
      </c>
      <c r="P87" s="1">
        <v>41.737000000000002</v>
      </c>
      <c r="Q87" s="1">
        <v>1</v>
      </c>
      <c r="R87" s="1">
        <v>7</v>
      </c>
      <c r="S87" s="1">
        <v>9.25</v>
      </c>
      <c r="T87" s="1">
        <v>0</v>
      </c>
      <c r="V87" s="1" t="s">
        <v>11223</v>
      </c>
      <c r="W87" s="1">
        <v>100</v>
      </c>
      <c r="X87" s="1" t="s">
        <v>319</v>
      </c>
      <c r="Y87" s="1" t="s">
        <v>299</v>
      </c>
      <c r="Z87" s="1">
        <v>1</v>
      </c>
      <c r="AA87" s="1">
        <f>ROUND(H87*I87*Z87, 3)</f>
        <v>22.425999999999998</v>
      </c>
      <c r="AB87" s="1">
        <f>ROUND(VLOOKUP(X87,'Base de dados'!A:B, 2, 0)*AA87, 2)</f>
        <v>2.2400000000000002</v>
      </c>
      <c r="AC87" s="1">
        <f>ROUND((AA87*(Destino!AG87/100))*(W87/100),2)</f>
        <v>1.57</v>
      </c>
      <c r="AD87" s="1">
        <f>ROUND(AA87*(Destino!AH87/100),2)</f>
        <v>2.0699999999999998</v>
      </c>
      <c r="AF87" s="1">
        <f>ROUND((AA87+ AB87)*(J87/100),2)</f>
        <v>0.49</v>
      </c>
      <c r="AG87" s="1">
        <f>ROUND(AA87*T87,2)</f>
        <v>0</v>
      </c>
      <c r="AH87" s="1">
        <f>ROUND(AA87-(AC87+AD87)+AF87+AG87, 3)</f>
        <v>19.276</v>
      </c>
      <c r="AI87" s="1">
        <f>AH87*M87*K87</f>
        <v>19.276</v>
      </c>
      <c r="BA87" s="1" t="s">
        <v>11516</v>
      </c>
      <c r="BB87" s="1">
        <f>AI87</f>
        <v>19.276</v>
      </c>
      <c r="BD87" s="1">
        <f>N87</f>
        <v>1</v>
      </c>
    </row>
    <row r="88" spans="1:56" x14ac:dyDescent="0.25">
      <c r="A88" s="1">
        <v>600001008</v>
      </c>
      <c r="B88" s="1">
        <v>1110</v>
      </c>
      <c r="C88" s="1">
        <v>2200001473</v>
      </c>
      <c r="D88" s="1" t="s">
        <v>303</v>
      </c>
      <c r="E88" s="1" t="str">
        <f>IF(AND(B88&lt;&gt;1110,B88&lt;&gt;1210,B88&lt;&gt;1510,B88&lt;&gt;1710),B88,IF(B88=1110,"1100",IF(B88=1210,"1200",IF(B88=1510,"1500",IF(B88=1710,"1700","X")))))</f>
        <v>1100</v>
      </c>
      <c r="F88" s="1" t="s">
        <v>447</v>
      </c>
      <c r="G88" s="1" t="s">
        <v>302</v>
      </c>
      <c r="H88" s="1">
        <f>ROUND(P88/(1-((R88+S88))/100)*Q88, 3)</f>
        <v>49.835000000000001</v>
      </c>
      <c r="I88" s="1">
        <v>0.45</v>
      </c>
      <c r="J88" s="1">
        <v>4</v>
      </c>
      <c r="K88" s="1">
        <v>1</v>
      </c>
      <c r="L88" s="1" t="s">
        <v>292</v>
      </c>
      <c r="M88" s="1">
        <v>1</v>
      </c>
      <c r="N88" s="1">
        <v>0.75262600000000002</v>
      </c>
      <c r="O88" s="1" t="s">
        <v>296</v>
      </c>
      <c r="P88" s="1">
        <v>41.737000000000002</v>
      </c>
      <c r="Q88" s="1">
        <v>1</v>
      </c>
      <c r="R88" s="1">
        <v>7</v>
      </c>
      <c r="S88" s="1">
        <v>9.25</v>
      </c>
      <c r="T88" s="1">
        <v>0</v>
      </c>
      <c r="V88" s="1" t="s">
        <v>11223</v>
      </c>
      <c r="W88" s="1">
        <v>100</v>
      </c>
      <c r="X88" s="1" t="s">
        <v>319</v>
      </c>
      <c r="Y88" s="1" t="s">
        <v>299</v>
      </c>
      <c r="Z88" s="1">
        <v>1</v>
      </c>
      <c r="AA88" s="1">
        <f>ROUND(H88*I88*Z88, 3)</f>
        <v>22.425999999999998</v>
      </c>
      <c r="AB88" s="1">
        <f>ROUND(VLOOKUP(X88,'Base de dados'!A:B, 2, 0)*AA88, 2)</f>
        <v>2.2400000000000002</v>
      </c>
      <c r="AC88" s="1">
        <f>ROUND((AA88*(Destino!AG88/100))*(W88/100),2)</f>
        <v>1.57</v>
      </c>
      <c r="AD88" s="1">
        <f>ROUND(AA88*(Destino!AH88/100),2)</f>
        <v>2.0699999999999998</v>
      </c>
      <c r="AE88" s="1">
        <f>ROUND((((AA88+AB88)*1.5039)*(Destino!AI88/100))-AC88,2)</f>
        <v>4.74</v>
      </c>
      <c r="AF88" s="1">
        <f>ROUND((AA88+AB88+AE88)*(J88/100),2)</f>
        <v>1.18</v>
      </c>
      <c r="AG88" s="1">
        <f>ROUND(AA88*T88,2)</f>
        <v>0</v>
      </c>
      <c r="AH88" s="1">
        <f>ROUND(AA88-AD88+AE88+AF88+AG88, 3)</f>
        <v>26.276</v>
      </c>
      <c r="AI88" s="1">
        <f>AH88*M88*K88</f>
        <v>26.276</v>
      </c>
      <c r="BA88" s="1" t="s">
        <v>11517</v>
      </c>
      <c r="BB88" s="1">
        <f>AI88</f>
        <v>26.276</v>
      </c>
      <c r="BD88" s="1">
        <f>N88</f>
        <v>0.75262600000000002</v>
      </c>
    </row>
    <row r="89" spans="1:56" x14ac:dyDescent="0.25">
      <c r="A89" s="1">
        <v>600001008</v>
      </c>
      <c r="B89" s="1">
        <v>1400</v>
      </c>
      <c r="C89" s="1">
        <v>2200001473</v>
      </c>
      <c r="D89" s="1" t="s">
        <v>303</v>
      </c>
      <c r="E89" s="1">
        <f>IF(AND(B89&lt;&gt;1110,B89&lt;&gt;1210,B89&lt;&gt;1510,B89&lt;&gt;1710),B89,IF(B89=1110,"1100",IF(B89=1210,"1200",IF(B89=1510,"1500",IF(B89=1710,"1700","X")))))</f>
        <v>1400</v>
      </c>
      <c r="F89" s="1" t="s">
        <v>11198</v>
      </c>
      <c r="G89" s="1" t="s">
        <v>302</v>
      </c>
      <c r="H89" s="1">
        <f>ROUND(P89/(1-((R89+S89))/100)*Q89, 3)</f>
        <v>57.37</v>
      </c>
      <c r="I89" s="1">
        <v>0.45</v>
      </c>
      <c r="J89" s="1">
        <v>1.5</v>
      </c>
      <c r="K89" s="1">
        <v>1</v>
      </c>
      <c r="L89" s="1" t="s">
        <v>292</v>
      </c>
      <c r="M89" s="1">
        <v>1</v>
      </c>
      <c r="N89" s="1">
        <v>1</v>
      </c>
      <c r="O89" s="1" t="s">
        <v>296</v>
      </c>
      <c r="P89" s="1">
        <v>41.737000000000002</v>
      </c>
      <c r="Q89" s="1">
        <v>1</v>
      </c>
      <c r="R89" s="1">
        <v>18</v>
      </c>
      <c r="S89" s="1">
        <v>9.25</v>
      </c>
      <c r="T89" s="1">
        <v>0</v>
      </c>
      <c r="V89" s="1" t="s">
        <v>11223</v>
      </c>
      <c r="W89" s="1">
        <v>100</v>
      </c>
      <c r="X89" s="1" t="s">
        <v>319</v>
      </c>
      <c r="Y89" s="1" t="s">
        <v>299</v>
      </c>
      <c r="Z89" s="1">
        <v>1</v>
      </c>
      <c r="AA89" s="1">
        <f>ROUND(H89*I89*Z89, 3)</f>
        <v>25.817</v>
      </c>
      <c r="AB89" s="1">
        <f>ROUND(VLOOKUP(X89,'Base de dados'!A:B, 2, 0)*AA89, 2)</f>
        <v>2.58</v>
      </c>
      <c r="AC89" s="1">
        <f>ROUND((AA89*(Destino!AG89/100))*(W89/100),2)</f>
        <v>4.6500000000000004</v>
      </c>
      <c r="AD89" s="1">
        <f>ROUND(AA89*(Destino!AH89/100),2)</f>
        <v>2.39</v>
      </c>
      <c r="AF89" s="1">
        <f>ROUND((AA89+ AB89)*(J89/100),2)</f>
        <v>0.43</v>
      </c>
      <c r="AG89" s="1">
        <f>ROUND(AA89*T89,2)</f>
        <v>0</v>
      </c>
      <c r="AH89" s="1">
        <f>ROUND(AA89-(AC89+AD89)+AF89+AG89, 3)</f>
        <v>19.207000000000001</v>
      </c>
      <c r="AI89" s="1">
        <f>AH89*M89*K89</f>
        <v>19.207000000000001</v>
      </c>
      <c r="BA89" s="1" t="s">
        <v>11366</v>
      </c>
      <c r="BB89" s="1">
        <f>AI89</f>
        <v>19.207000000000001</v>
      </c>
      <c r="BD89" s="1">
        <f>N89</f>
        <v>1</v>
      </c>
    </row>
    <row r="90" spans="1:56" x14ac:dyDescent="0.25">
      <c r="A90" s="1">
        <v>600001008</v>
      </c>
      <c r="B90" s="1">
        <v>1700</v>
      </c>
      <c r="C90" s="1">
        <v>2200001421</v>
      </c>
      <c r="D90" s="1" t="s">
        <v>303</v>
      </c>
      <c r="E90" s="1">
        <f>IF(AND(B90&lt;&gt;1110,B90&lt;&gt;1210,B90&lt;&gt;1510,B90&lt;&gt;1710),B90,IF(B90=1110,"1100",IF(B90=1210,"1200",IF(B90=1510,"1500",IF(B90=1710,"1700","X")))))</f>
        <v>1700</v>
      </c>
      <c r="F90" s="1" t="s">
        <v>11238</v>
      </c>
      <c r="G90" s="1" t="s">
        <v>302</v>
      </c>
      <c r="H90" s="1">
        <f>ROUND(P90/(1-((R90+S90))/100)*Q90, 3)</f>
        <v>22.934000000000001</v>
      </c>
      <c r="I90" s="1">
        <v>0.25</v>
      </c>
      <c r="J90" s="1">
        <v>3</v>
      </c>
      <c r="K90" s="1">
        <v>1</v>
      </c>
      <c r="L90" s="1" t="s">
        <v>292</v>
      </c>
      <c r="M90" s="1">
        <v>4</v>
      </c>
      <c r="N90" s="1">
        <v>1</v>
      </c>
      <c r="O90" s="1" t="s">
        <v>296</v>
      </c>
      <c r="P90" s="1">
        <f>IFERROR(VLOOKUP(BC90, BA:BA:BB:BB, 2, 0),)</f>
        <v>19.207000000000001</v>
      </c>
      <c r="Q90" s="1">
        <f>IFERROR(VLOOKUP(BC90, BA:BA:BD:BD, 4, 0),1)</f>
        <v>1</v>
      </c>
      <c r="R90" s="1">
        <v>7</v>
      </c>
      <c r="S90" s="1">
        <v>9.25</v>
      </c>
      <c r="T90" s="1">
        <v>0</v>
      </c>
      <c r="V90" s="1" t="s">
        <v>11223</v>
      </c>
      <c r="W90" s="1">
        <v>100</v>
      </c>
      <c r="X90" s="1" t="s">
        <v>319</v>
      </c>
      <c r="Y90" s="1" t="s">
        <v>299</v>
      </c>
      <c r="Z90" s="1">
        <v>1</v>
      </c>
      <c r="AA90" s="1">
        <f>ROUND(H90*I90*Z90, 3)</f>
        <v>5.734</v>
      </c>
      <c r="AB90" s="1">
        <f>ROUND(VLOOKUP(X90,'Base de dados'!A:B, 2, 0)*AA90, 2)</f>
        <v>0.56999999999999995</v>
      </c>
      <c r="AC90" s="1">
        <f>ROUND((AA90*(Destino!AG90/100))*(W90/100),2)</f>
        <v>0.4</v>
      </c>
      <c r="AD90" s="1">
        <f>ROUND(AA90*(Destino!AH90/100),2)</f>
        <v>0</v>
      </c>
      <c r="AE90" s="1">
        <f>ROUND((((AA90+AB90)*1.48)*(Destino!AI90/100))-AC90,2)</f>
        <v>1.19</v>
      </c>
      <c r="AF90" s="1">
        <f>ROUND((AA90+AB90+AE90)*(J90/100),2)</f>
        <v>0.22</v>
      </c>
      <c r="AG90" s="1">
        <f>ROUND(AA90*T90,2)</f>
        <v>0</v>
      </c>
      <c r="AH90" s="1">
        <f>ROUND(AA90+AB90-AD90+AE90+AF90+AG90, 3)</f>
        <v>7.7140000000000004</v>
      </c>
      <c r="AI90" s="1">
        <f>AH90*M90*K90</f>
        <v>30.856000000000002</v>
      </c>
      <c r="BA90" s="1" t="s">
        <v>11265</v>
      </c>
      <c r="BB90" s="1">
        <f>AI90</f>
        <v>30.856000000000002</v>
      </c>
      <c r="BC90" s="1" t="s">
        <v>11366</v>
      </c>
      <c r="BD90" s="1">
        <f>N90</f>
        <v>1</v>
      </c>
    </row>
    <row r="91" spans="1:56" x14ac:dyDescent="0.25">
      <c r="A91" s="1">
        <v>600001009</v>
      </c>
      <c r="B91" s="1">
        <v>1000</v>
      </c>
      <c r="C91" s="1">
        <v>2200001473</v>
      </c>
      <c r="D91" s="1" t="s">
        <v>303</v>
      </c>
      <c r="E91" s="1">
        <f>IF(AND(B91&lt;&gt;1110,B91&lt;&gt;1210,B91&lt;&gt;1510,B91&lt;&gt;1710),B91,IF(B91=1110,"1100",IF(B91=1210,"1200",IF(B91=1510,"1500",IF(B91=1710,"1700","X")))))</f>
        <v>1000</v>
      </c>
      <c r="F91" s="1" t="s">
        <v>11198</v>
      </c>
      <c r="G91" s="1" t="s">
        <v>302</v>
      </c>
      <c r="H91" s="1">
        <f>ROUND(P91/(1-((R91+S91))/100)*Q91, 3)</f>
        <v>53.552999999999997</v>
      </c>
      <c r="I91" s="1">
        <v>0.45</v>
      </c>
      <c r="J91" s="1">
        <v>1.5</v>
      </c>
      <c r="K91" s="1">
        <v>1</v>
      </c>
      <c r="L91" s="1" t="s">
        <v>292</v>
      </c>
      <c r="M91" s="1">
        <v>1</v>
      </c>
      <c r="N91" s="1">
        <v>1</v>
      </c>
      <c r="O91" s="1" t="s">
        <v>296</v>
      </c>
      <c r="P91" s="1">
        <v>42.173000000000002</v>
      </c>
      <c r="Q91" s="1">
        <v>1</v>
      </c>
      <c r="R91" s="1">
        <v>12</v>
      </c>
      <c r="S91" s="1">
        <v>9.25</v>
      </c>
      <c r="T91" s="1">
        <v>0</v>
      </c>
      <c r="V91" s="1" t="s">
        <v>11223</v>
      </c>
      <c r="W91" s="1">
        <v>100</v>
      </c>
      <c r="X91" s="1" t="s">
        <v>319</v>
      </c>
      <c r="Y91" s="1" t="s">
        <v>299</v>
      </c>
      <c r="Z91" s="1">
        <v>1</v>
      </c>
      <c r="AA91" s="1">
        <f>ROUND(H91*I91*Z91, 3)</f>
        <v>24.099</v>
      </c>
      <c r="AB91" s="1">
        <f>ROUND(VLOOKUP(X91,'Base de dados'!A:B, 2, 0)*AA91, 2)</f>
        <v>2.41</v>
      </c>
      <c r="AC91" s="1">
        <f>ROUND((AA91*(Destino!AG91/100))*(W91/100),2)</f>
        <v>2.89</v>
      </c>
      <c r="AD91" s="1">
        <f>ROUND(AA91*(Destino!AH91/100),2)</f>
        <v>2.23</v>
      </c>
      <c r="AF91" s="1">
        <f>ROUND((AA91+ AB91)*(J91/100),2)</f>
        <v>0.4</v>
      </c>
      <c r="AG91" s="1">
        <f>ROUND(AA91*T91,2)</f>
        <v>0</v>
      </c>
      <c r="AH91" s="1">
        <f>ROUND(AA91-(AC91+AD91)+AF91+AG91, 3)</f>
        <v>19.379000000000001</v>
      </c>
      <c r="AI91" s="1">
        <f>AH91*M91*K91</f>
        <v>19.379000000000001</v>
      </c>
      <c r="BA91" s="1" t="s">
        <v>11518</v>
      </c>
      <c r="BB91" s="1">
        <f>AI91</f>
        <v>19.379000000000001</v>
      </c>
      <c r="BD91" s="1">
        <f>N91</f>
        <v>1</v>
      </c>
    </row>
    <row r="92" spans="1:56" x14ac:dyDescent="0.25">
      <c r="A92" s="1">
        <v>600001009</v>
      </c>
      <c r="B92" s="1">
        <v>1100</v>
      </c>
      <c r="C92" s="1">
        <v>2200001473</v>
      </c>
      <c r="D92" s="1" t="s">
        <v>303</v>
      </c>
      <c r="E92" s="1">
        <f>IF(AND(B92&lt;&gt;1110,B92&lt;&gt;1210,B92&lt;&gt;1510,B92&lt;&gt;1710),B92,IF(B92=1110,"1100",IF(B92=1210,"1200",IF(B92=1510,"1500",IF(B92=1710,"1700","X")))))</f>
        <v>1100</v>
      </c>
      <c r="F92" s="1" t="s">
        <v>11198</v>
      </c>
      <c r="G92" s="1" t="s">
        <v>302</v>
      </c>
      <c r="H92" s="1">
        <f>ROUND(P92/(1-((R92+S92))/100)*Q92, 3)</f>
        <v>50.356000000000002</v>
      </c>
      <c r="I92" s="1">
        <v>0.45</v>
      </c>
      <c r="J92" s="1">
        <v>2</v>
      </c>
      <c r="K92" s="1">
        <v>1</v>
      </c>
      <c r="L92" s="1" t="s">
        <v>292</v>
      </c>
      <c r="M92" s="1">
        <v>1</v>
      </c>
      <c r="N92" s="1">
        <v>1</v>
      </c>
      <c r="O92" s="1" t="s">
        <v>296</v>
      </c>
      <c r="P92" s="1">
        <v>42.173000000000002</v>
      </c>
      <c r="Q92" s="1">
        <v>1</v>
      </c>
      <c r="R92" s="1">
        <v>7</v>
      </c>
      <c r="S92" s="1">
        <v>9.25</v>
      </c>
      <c r="T92" s="1">
        <v>0</v>
      </c>
      <c r="V92" s="1" t="s">
        <v>11223</v>
      </c>
      <c r="W92" s="1">
        <v>100</v>
      </c>
      <c r="X92" s="1" t="s">
        <v>319</v>
      </c>
      <c r="Y92" s="1" t="s">
        <v>299</v>
      </c>
      <c r="Z92" s="1">
        <v>1</v>
      </c>
      <c r="AA92" s="1">
        <f>ROUND(H92*I92*Z92, 3)</f>
        <v>22.66</v>
      </c>
      <c r="AB92" s="1">
        <f>ROUND(VLOOKUP(X92,'Base de dados'!A:B, 2, 0)*AA92, 2)</f>
        <v>2.27</v>
      </c>
      <c r="AC92" s="1">
        <f>ROUND((AA92*(Destino!AG92/100))*(W92/100),2)</f>
        <v>1.59</v>
      </c>
      <c r="AD92" s="1">
        <f>ROUND(AA92*(Destino!AH92/100),2)</f>
        <v>2.1</v>
      </c>
      <c r="AF92" s="1">
        <f>ROUND((AA92+ AB92)*(J92/100),2)</f>
        <v>0.5</v>
      </c>
      <c r="AG92" s="1">
        <f>ROUND(AA92*T92,2)</f>
        <v>0</v>
      </c>
      <c r="AH92" s="1">
        <f>ROUND(AA92-(AC92+AD92)+AF92+AG92, 3)</f>
        <v>19.47</v>
      </c>
      <c r="AI92" s="1">
        <f>AH92*M92*K92</f>
        <v>19.47</v>
      </c>
      <c r="BA92" s="1" t="s">
        <v>11519</v>
      </c>
      <c r="BB92" s="1">
        <f>AI92</f>
        <v>19.47</v>
      </c>
      <c r="BD92" s="1">
        <f>N92</f>
        <v>1</v>
      </c>
    </row>
    <row r="93" spans="1:56" x14ac:dyDescent="0.25">
      <c r="A93" s="1">
        <v>600001009</v>
      </c>
      <c r="B93" s="1">
        <v>1110</v>
      </c>
      <c r="C93" s="1">
        <v>2200001473</v>
      </c>
      <c r="D93" s="1" t="s">
        <v>303</v>
      </c>
      <c r="E93" s="1" t="str">
        <f>IF(AND(B93&lt;&gt;1110,B93&lt;&gt;1210,B93&lt;&gt;1510,B93&lt;&gt;1710),B93,IF(B93=1110,"1100",IF(B93=1210,"1200",IF(B93=1510,"1500",IF(B93=1710,"1700","X")))))</f>
        <v>1100</v>
      </c>
      <c r="F93" s="1" t="s">
        <v>447</v>
      </c>
      <c r="G93" s="1" t="s">
        <v>302</v>
      </c>
      <c r="H93" s="1">
        <f>ROUND(P93/(1-((R93+S93))/100)*Q93, 3)</f>
        <v>50.356000000000002</v>
      </c>
      <c r="I93" s="1">
        <v>0.45</v>
      </c>
      <c r="J93" s="1">
        <v>4</v>
      </c>
      <c r="K93" s="1">
        <v>1</v>
      </c>
      <c r="L93" s="1" t="s">
        <v>292</v>
      </c>
      <c r="M93" s="1">
        <v>1</v>
      </c>
      <c r="N93" s="1">
        <v>0.75254200000000004</v>
      </c>
      <c r="O93" s="1" t="s">
        <v>296</v>
      </c>
      <c r="P93" s="1">
        <v>42.173000000000002</v>
      </c>
      <c r="Q93" s="1">
        <v>1</v>
      </c>
      <c r="R93" s="1">
        <v>7</v>
      </c>
      <c r="S93" s="1">
        <v>9.25</v>
      </c>
      <c r="T93" s="1">
        <v>0</v>
      </c>
      <c r="V93" s="1" t="s">
        <v>11223</v>
      </c>
      <c r="W93" s="1">
        <v>100</v>
      </c>
      <c r="X93" s="1" t="s">
        <v>319</v>
      </c>
      <c r="Y93" s="1" t="s">
        <v>299</v>
      </c>
      <c r="Z93" s="1">
        <v>1</v>
      </c>
      <c r="AA93" s="1">
        <f>ROUND(H93*I93*Z93, 3)</f>
        <v>22.66</v>
      </c>
      <c r="AB93" s="1">
        <f>ROUND(VLOOKUP(X93,'Base de dados'!A:B, 2, 0)*AA93, 2)</f>
        <v>2.27</v>
      </c>
      <c r="AC93" s="1">
        <f>ROUND((AA93*(Destino!AG93/100))*(W93/100),2)</f>
        <v>1.59</v>
      </c>
      <c r="AD93" s="1">
        <f>ROUND(AA93*(Destino!AH93/100),2)</f>
        <v>2.1</v>
      </c>
      <c r="AE93" s="1">
        <f>ROUND((((AA93+AB93)*1.5039)*(Destino!AI93/100))-AC93,2)</f>
        <v>4.78</v>
      </c>
      <c r="AF93" s="1">
        <f>ROUND((AA93+AB93+AE93)*(J93/100),2)</f>
        <v>1.19</v>
      </c>
      <c r="AG93" s="1">
        <f>ROUND(AA93*T93,2)</f>
        <v>0</v>
      </c>
      <c r="AH93" s="1">
        <f>ROUND(AA93-AD93+AE93+AF93+AG93, 3)</f>
        <v>26.53</v>
      </c>
      <c r="AI93" s="1">
        <f>AH93*M93*K93</f>
        <v>26.53</v>
      </c>
      <c r="BA93" s="1" t="s">
        <v>11520</v>
      </c>
      <c r="BB93" s="1">
        <f>AI93</f>
        <v>26.53</v>
      </c>
      <c r="BD93" s="1">
        <f>N93</f>
        <v>0.75254200000000004</v>
      </c>
    </row>
    <row r="94" spans="1:56" x14ac:dyDescent="0.25">
      <c r="A94" s="1">
        <v>600001009</v>
      </c>
      <c r="B94" s="1">
        <v>1400</v>
      </c>
      <c r="C94" s="1">
        <v>2200001473</v>
      </c>
      <c r="D94" s="1" t="s">
        <v>303</v>
      </c>
      <c r="E94" s="1">
        <f>IF(AND(B94&lt;&gt;1110,B94&lt;&gt;1210,B94&lt;&gt;1510,B94&lt;&gt;1710),B94,IF(B94=1110,"1100",IF(B94=1210,"1200",IF(B94=1510,"1500",IF(B94=1710,"1700","X")))))</f>
        <v>1400</v>
      </c>
      <c r="F94" s="1" t="s">
        <v>11198</v>
      </c>
      <c r="G94" s="1" t="s">
        <v>302</v>
      </c>
      <c r="H94" s="1">
        <f>ROUND(P94/(1-((R94+S94))/100)*Q94, 3)</f>
        <v>57.97</v>
      </c>
      <c r="I94" s="1">
        <v>0.45</v>
      </c>
      <c r="J94" s="1">
        <v>1.5</v>
      </c>
      <c r="K94" s="1">
        <v>1</v>
      </c>
      <c r="L94" s="1" t="s">
        <v>292</v>
      </c>
      <c r="M94" s="1">
        <v>1</v>
      </c>
      <c r="N94" s="1">
        <v>1</v>
      </c>
      <c r="O94" s="1" t="s">
        <v>296</v>
      </c>
      <c r="P94" s="1">
        <v>42.173000000000002</v>
      </c>
      <c r="Q94" s="1">
        <v>1</v>
      </c>
      <c r="R94" s="1">
        <v>18</v>
      </c>
      <c r="S94" s="1">
        <v>9.25</v>
      </c>
      <c r="T94" s="1">
        <v>0</v>
      </c>
      <c r="V94" s="1" t="s">
        <v>11223</v>
      </c>
      <c r="W94" s="1">
        <v>100</v>
      </c>
      <c r="X94" s="1" t="s">
        <v>319</v>
      </c>
      <c r="Y94" s="1" t="s">
        <v>299</v>
      </c>
      <c r="Z94" s="1">
        <v>1</v>
      </c>
      <c r="AA94" s="1">
        <f>ROUND(H94*I94*Z94, 3)</f>
        <v>26.087</v>
      </c>
      <c r="AB94" s="1">
        <f>ROUND(VLOOKUP(X94,'Base de dados'!A:B, 2, 0)*AA94, 2)</f>
        <v>2.61</v>
      </c>
      <c r="AC94" s="1">
        <f>ROUND((AA94*(Destino!AG94/100))*(W94/100),2)</f>
        <v>4.7</v>
      </c>
      <c r="AD94" s="1">
        <f>ROUND(AA94*(Destino!AH94/100),2)</f>
        <v>2.41</v>
      </c>
      <c r="AF94" s="1">
        <f>ROUND((AA94+ AB94)*(J94/100),2)</f>
        <v>0.43</v>
      </c>
      <c r="AG94" s="1">
        <f>ROUND(AA94*T94,2)</f>
        <v>0</v>
      </c>
      <c r="AH94" s="1">
        <f>ROUND(AA94-(AC94+AD94)+AF94+AG94, 3)</f>
        <v>19.407</v>
      </c>
      <c r="AI94" s="1">
        <f>AH94*M94*K94</f>
        <v>19.407</v>
      </c>
      <c r="BA94" s="1" t="s">
        <v>11367</v>
      </c>
      <c r="BB94" s="1">
        <f>AI94</f>
        <v>19.407</v>
      </c>
      <c r="BD94" s="1">
        <f>N94</f>
        <v>1</v>
      </c>
    </row>
    <row r="95" spans="1:56" x14ac:dyDescent="0.25">
      <c r="A95" s="1">
        <v>600001009</v>
      </c>
      <c r="B95" s="1">
        <v>1700</v>
      </c>
      <c r="C95" s="1">
        <v>2200001421</v>
      </c>
      <c r="D95" s="1" t="s">
        <v>303</v>
      </c>
      <c r="E95" s="1">
        <f>IF(AND(B95&lt;&gt;1110,B95&lt;&gt;1210,B95&lt;&gt;1510,B95&lt;&gt;1710),B95,IF(B95=1110,"1100",IF(B95=1210,"1200",IF(B95=1510,"1500",IF(B95=1710,"1700","X")))))</f>
        <v>1700</v>
      </c>
      <c r="F95" s="1" t="s">
        <v>11238</v>
      </c>
      <c r="G95" s="1" t="s">
        <v>302</v>
      </c>
      <c r="H95" s="1">
        <f>ROUND(P95/(1-((R95+S95))/100)*Q95, 3)</f>
        <v>23.172999999999998</v>
      </c>
      <c r="I95" s="1">
        <v>0.25</v>
      </c>
      <c r="J95" s="1">
        <v>3</v>
      </c>
      <c r="K95" s="1">
        <v>1</v>
      </c>
      <c r="L95" s="1" t="s">
        <v>292</v>
      </c>
      <c r="M95" s="1">
        <v>4</v>
      </c>
      <c r="N95" s="1">
        <v>1</v>
      </c>
      <c r="O95" s="1" t="s">
        <v>296</v>
      </c>
      <c r="P95" s="1">
        <f>IFERROR(VLOOKUP(BC95, BA:BA:BB:BB, 2, 0),)</f>
        <v>19.407</v>
      </c>
      <c r="Q95" s="1">
        <f>IFERROR(VLOOKUP(BC95, BA:BA:BD:BD, 4, 0),1)</f>
        <v>1</v>
      </c>
      <c r="R95" s="1">
        <v>7</v>
      </c>
      <c r="S95" s="1">
        <v>9.25</v>
      </c>
      <c r="T95" s="1">
        <v>0</v>
      </c>
      <c r="V95" s="1" t="s">
        <v>11223</v>
      </c>
      <c r="W95" s="1">
        <v>100</v>
      </c>
      <c r="X95" s="1" t="s">
        <v>319</v>
      </c>
      <c r="Y95" s="1" t="s">
        <v>299</v>
      </c>
      <c r="Z95" s="1">
        <v>1</v>
      </c>
      <c r="AA95" s="1">
        <f>ROUND(H95*I95*Z95, 3)</f>
        <v>5.7930000000000001</v>
      </c>
      <c r="AB95" s="1">
        <f>ROUND(VLOOKUP(X95,'Base de dados'!A:B, 2, 0)*AA95, 2)</f>
        <v>0.57999999999999996</v>
      </c>
      <c r="AC95" s="1">
        <f>ROUND((AA95*(Destino!AG95/100))*(W95/100),2)</f>
        <v>0.41</v>
      </c>
      <c r="AD95" s="1">
        <f>ROUND(AA95*(Destino!AH95/100),2)</f>
        <v>0</v>
      </c>
      <c r="AE95" s="1">
        <f>ROUND((((AA95+AB95)*1.48)*(Destino!AI95/100))-AC95,2)</f>
        <v>1.19</v>
      </c>
      <c r="AF95" s="1">
        <f>ROUND((AA95+AB95+AE95)*(J95/100),2)</f>
        <v>0.23</v>
      </c>
      <c r="AG95" s="1">
        <f>ROUND(AA95*T95,2)</f>
        <v>0</v>
      </c>
      <c r="AH95" s="1">
        <f>ROUND(AA95+AB95-AD95+AE95+AF95+AG95, 3)</f>
        <v>7.7930000000000001</v>
      </c>
      <c r="AI95" s="1">
        <f>AH95*M95*K95</f>
        <v>31.172000000000001</v>
      </c>
      <c r="BA95" s="1" t="s">
        <v>11266</v>
      </c>
      <c r="BB95" s="1">
        <f>AI95</f>
        <v>31.172000000000001</v>
      </c>
      <c r="BC95" s="1" t="s">
        <v>11367</v>
      </c>
      <c r="BD95" s="1">
        <f>N95</f>
        <v>1</v>
      </c>
    </row>
    <row r="96" spans="1:56" x14ac:dyDescent="0.25">
      <c r="A96" s="1">
        <v>600001017</v>
      </c>
      <c r="B96" s="1">
        <v>1000</v>
      </c>
      <c r="C96" s="1">
        <v>2200001473</v>
      </c>
      <c r="D96" s="1" t="s">
        <v>303</v>
      </c>
      <c r="E96" s="1">
        <f>IF(AND(B96&lt;&gt;1110,B96&lt;&gt;1210,B96&lt;&gt;1510,B96&lt;&gt;1710),B96,IF(B96=1110,"1100",IF(B96=1210,"1200",IF(B96=1510,"1500",IF(B96=1710,"1700","X")))))</f>
        <v>1000</v>
      </c>
      <c r="F96" s="1" t="s">
        <v>11198</v>
      </c>
      <c r="G96" s="1" t="s">
        <v>302</v>
      </c>
      <c r="H96" s="1">
        <f>ROUND(P96/(1-((R96+S96))/100)*Q96, 3)</f>
        <v>186.512</v>
      </c>
      <c r="I96" s="1">
        <v>0.45</v>
      </c>
      <c r="J96" s="1">
        <v>1.5</v>
      </c>
      <c r="K96" s="1">
        <v>1</v>
      </c>
      <c r="L96" s="1" t="s">
        <v>292</v>
      </c>
      <c r="M96" s="1">
        <v>1</v>
      </c>
      <c r="N96" s="1">
        <v>1</v>
      </c>
      <c r="O96" s="1" t="s">
        <v>296</v>
      </c>
      <c r="P96" s="1">
        <v>146.87799999999999</v>
      </c>
      <c r="Q96" s="1">
        <v>1</v>
      </c>
      <c r="R96" s="1">
        <v>12</v>
      </c>
      <c r="S96" s="1">
        <v>9.25</v>
      </c>
      <c r="T96" s="1">
        <v>0</v>
      </c>
      <c r="V96" s="1" t="s">
        <v>11223</v>
      </c>
      <c r="W96" s="1">
        <v>100</v>
      </c>
      <c r="X96" s="1" t="s">
        <v>298</v>
      </c>
      <c r="Y96" s="1" t="s">
        <v>322</v>
      </c>
      <c r="Z96" s="1">
        <v>1</v>
      </c>
      <c r="AA96" s="1">
        <f>ROUND(H96*I96*Z96, 3)</f>
        <v>83.93</v>
      </c>
      <c r="AB96" s="1">
        <f>ROUND(VLOOKUP(X96,'Base de dados'!A:B, 2, 0)*AA96, 2)</f>
        <v>8.39</v>
      </c>
      <c r="AC96" s="1">
        <f>ROUND((AA96*(Destino!AG96/100))*(W96/100),2)</f>
        <v>10.07</v>
      </c>
      <c r="AD96" s="1">
        <f>ROUND(AA96*(Destino!AH96/100),2)</f>
        <v>7.76</v>
      </c>
      <c r="AF96" s="1">
        <f>ROUND((AA96+ AB96)*(J96/100),2)</f>
        <v>1.38</v>
      </c>
      <c r="AG96" s="1">
        <f>ROUND(AA96*T96,2)</f>
        <v>0</v>
      </c>
      <c r="AH96" s="1">
        <f>ROUND(AA96-(AC96+AD96)+AF96+AG96, 3)</f>
        <v>67.48</v>
      </c>
      <c r="AI96" s="1">
        <f>AH96*M96*K96</f>
        <v>67.48</v>
      </c>
      <c r="BA96" s="1" t="s">
        <v>11521</v>
      </c>
      <c r="BB96" s="1">
        <f>AI96</f>
        <v>67.48</v>
      </c>
      <c r="BD96" s="1">
        <f>N96</f>
        <v>1</v>
      </c>
    </row>
    <row r="97" spans="1:56" x14ac:dyDescent="0.25">
      <c r="A97" s="1">
        <v>600001017</v>
      </c>
      <c r="B97" s="1">
        <v>1100</v>
      </c>
      <c r="C97" s="1">
        <v>2200001473</v>
      </c>
      <c r="D97" s="1" t="s">
        <v>303</v>
      </c>
      <c r="E97" s="1">
        <f>IF(AND(B97&lt;&gt;1110,B97&lt;&gt;1210,B97&lt;&gt;1510,B97&lt;&gt;1710),B97,IF(B97=1110,"1100",IF(B97=1210,"1200",IF(B97=1510,"1500",IF(B97=1710,"1700","X")))))</f>
        <v>1100</v>
      </c>
      <c r="F97" s="1" t="s">
        <v>11198</v>
      </c>
      <c r="G97" s="1" t="s">
        <v>302</v>
      </c>
      <c r="H97" s="1">
        <f>ROUND(P97/(1-((R97+S97))/100)*Q97, 3)</f>
        <v>175.37299999999999</v>
      </c>
      <c r="I97" s="1">
        <v>0.45</v>
      </c>
      <c r="J97" s="1">
        <v>2</v>
      </c>
      <c r="K97" s="1">
        <v>1</v>
      </c>
      <c r="L97" s="1" t="s">
        <v>292</v>
      </c>
      <c r="M97" s="1">
        <v>1</v>
      </c>
      <c r="N97" s="1">
        <v>1</v>
      </c>
      <c r="O97" s="1" t="s">
        <v>296</v>
      </c>
      <c r="P97" s="1">
        <v>146.875</v>
      </c>
      <c r="Q97" s="1">
        <v>1</v>
      </c>
      <c r="R97" s="1">
        <v>7</v>
      </c>
      <c r="S97" s="1">
        <v>9.25</v>
      </c>
      <c r="T97" s="1">
        <v>0</v>
      </c>
      <c r="V97" s="1" t="s">
        <v>11223</v>
      </c>
      <c r="W97" s="1">
        <v>100</v>
      </c>
      <c r="X97" s="1" t="s">
        <v>298</v>
      </c>
      <c r="Y97" s="1" t="s">
        <v>322</v>
      </c>
      <c r="Z97" s="1">
        <v>1</v>
      </c>
      <c r="AA97" s="1">
        <f>ROUND(H97*I97*Z97, 3)</f>
        <v>78.918000000000006</v>
      </c>
      <c r="AB97" s="1">
        <f>ROUND(VLOOKUP(X97,'Base de dados'!A:B, 2, 0)*AA97, 2)</f>
        <v>7.89</v>
      </c>
      <c r="AC97" s="1">
        <f>ROUND((AA97*(Destino!AG97/100))*(W97/100),2)</f>
        <v>5.52</v>
      </c>
      <c r="AD97" s="1">
        <f>ROUND(AA97*(Destino!AH97/100),2)</f>
        <v>7.3</v>
      </c>
      <c r="AF97" s="1">
        <f>ROUND((AA97+ AB97)*(J97/100),2)</f>
        <v>1.74</v>
      </c>
      <c r="AG97" s="1">
        <f>ROUND(AA97*T97,2)</f>
        <v>0</v>
      </c>
      <c r="AH97" s="1">
        <f>ROUND(AA97-(AC97+AD97)+AF97+AG97, 3)</f>
        <v>67.837999999999994</v>
      </c>
      <c r="AI97" s="1">
        <f>AH97*M97*K97</f>
        <v>67.837999999999994</v>
      </c>
      <c r="BA97" s="1" t="s">
        <v>11522</v>
      </c>
      <c r="BB97" s="1">
        <f>AI97</f>
        <v>67.837999999999994</v>
      </c>
      <c r="BD97" s="1">
        <f>N97</f>
        <v>1</v>
      </c>
    </row>
    <row r="98" spans="1:56" x14ac:dyDescent="0.25">
      <c r="A98" s="1">
        <v>600001017</v>
      </c>
      <c r="B98" s="1">
        <v>1110</v>
      </c>
      <c r="C98" s="1">
        <v>2200001473</v>
      </c>
      <c r="D98" s="1" t="s">
        <v>303</v>
      </c>
      <c r="E98" s="1" t="str">
        <f>IF(AND(B98&lt;&gt;1110,B98&lt;&gt;1210,B98&lt;&gt;1510,B98&lt;&gt;1710),B98,IF(B98=1110,"1100",IF(B98=1210,"1200",IF(B98=1510,"1500",IF(B98=1710,"1700","X")))))</f>
        <v>1100</v>
      </c>
      <c r="F98" s="1" t="s">
        <v>447</v>
      </c>
      <c r="G98" s="1" t="s">
        <v>302</v>
      </c>
      <c r="H98" s="1">
        <f>ROUND(P98/(1-((R98+S98))/100)*Q98, 3)</f>
        <v>175.37299999999999</v>
      </c>
      <c r="I98" s="1">
        <v>0.45</v>
      </c>
      <c r="J98" s="1">
        <v>4</v>
      </c>
      <c r="K98" s="1">
        <v>1</v>
      </c>
      <c r="L98" s="1" t="s">
        <v>292</v>
      </c>
      <c r="M98" s="1">
        <v>1</v>
      </c>
      <c r="N98" s="1">
        <v>0.75267200000000001</v>
      </c>
      <c r="O98" s="1" t="s">
        <v>296</v>
      </c>
      <c r="P98" s="1">
        <v>146.875</v>
      </c>
      <c r="Q98" s="1">
        <v>1</v>
      </c>
      <c r="R98" s="1">
        <v>7</v>
      </c>
      <c r="S98" s="1">
        <v>9.25</v>
      </c>
      <c r="T98" s="1">
        <v>0</v>
      </c>
      <c r="V98" s="1" t="s">
        <v>11223</v>
      </c>
      <c r="W98" s="1">
        <v>100</v>
      </c>
      <c r="X98" s="1" t="s">
        <v>298</v>
      </c>
      <c r="Y98" s="1" t="s">
        <v>322</v>
      </c>
      <c r="Z98" s="1">
        <v>1</v>
      </c>
      <c r="AA98" s="1">
        <f>ROUND(H98*I98*Z98, 3)</f>
        <v>78.918000000000006</v>
      </c>
      <c r="AB98" s="1">
        <f>ROUND(VLOOKUP(X98,'Base de dados'!A:B, 2, 0)*AA98, 2)</f>
        <v>7.89</v>
      </c>
      <c r="AC98" s="1">
        <f>ROUND((AA98*(Destino!AG98/100))*(W98/100),2)</f>
        <v>5.52</v>
      </c>
      <c r="AD98" s="1">
        <f>ROUND(AA98*(Destino!AH98/100),2)</f>
        <v>7.3</v>
      </c>
      <c r="AE98" s="1">
        <f>ROUND((((AA98+AB98)*1.5039)*(Destino!AI98/100))-AC98,2)</f>
        <v>16.670000000000002</v>
      </c>
      <c r="AF98" s="1">
        <f>ROUND((AA98+AB98+AE98)*(J98/100),2)</f>
        <v>4.1399999999999997</v>
      </c>
      <c r="AG98" s="1">
        <f>ROUND(AA98*T98,2)</f>
        <v>0</v>
      </c>
      <c r="AH98" s="1">
        <f>ROUND(AA98-AD98+AE98+AF98+AG98, 3)</f>
        <v>92.427999999999997</v>
      </c>
      <c r="AI98" s="1">
        <f>AH98*M98*K98</f>
        <v>92.427999999999997</v>
      </c>
      <c r="BA98" s="1" t="s">
        <v>11523</v>
      </c>
      <c r="BB98" s="1">
        <f>AI98</f>
        <v>92.427999999999997</v>
      </c>
      <c r="BD98" s="1">
        <f>N98</f>
        <v>0.75267200000000001</v>
      </c>
    </row>
    <row r="99" spans="1:56" x14ac:dyDescent="0.25">
      <c r="A99" s="1">
        <v>600001017</v>
      </c>
      <c r="B99" s="1">
        <v>1400</v>
      </c>
      <c r="C99" s="1">
        <v>2200001473</v>
      </c>
      <c r="D99" s="1" t="s">
        <v>303</v>
      </c>
      <c r="E99" s="1">
        <f>IF(AND(B99&lt;&gt;1110,B99&lt;&gt;1210,B99&lt;&gt;1510,B99&lt;&gt;1710),B99,IF(B99=1110,"1100",IF(B99=1210,"1200",IF(B99=1510,"1500",IF(B99=1710,"1700","X")))))</f>
        <v>1400</v>
      </c>
      <c r="F99" s="1" t="s">
        <v>11198</v>
      </c>
      <c r="G99" s="1" t="s">
        <v>302</v>
      </c>
      <c r="H99" s="1">
        <f>ROUND(P99/(1-((R99+S99))/100)*Q99, 3)</f>
        <v>201.89</v>
      </c>
      <c r="I99" s="1">
        <v>0.45</v>
      </c>
      <c r="J99" s="1">
        <v>1.5</v>
      </c>
      <c r="K99" s="1">
        <v>1</v>
      </c>
      <c r="L99" s="1" t="s">
        <v>292</v>
      </c>
      <c r="M99" s="1">
        <v>1</v>
      </c>
      <c r="N99" s="1">
        <v>1</v>
      </c>
      <c r="O99" s="1" t="s">
        <v>296</v>
      </c>
      <c r="P99" s="1">
        <v>146.875</v>
      </c>
      <c r="Q99" s="1">
        <v>1</v>
      </c>
      <c r="R99" s="1">
        <v>18</v>
      </c>
      <c r="S99" s="1">
        <v>9.25</v>
      </c>
      <c r="T99" s="1">
        <v>0</v>
      </c>
      <c r="V99" s="1" t="s">
        <v>11223</v>
      </c>
      <c r="W99" s="1">
        <v>100</v>
      </c>
      <c r="X99" s="1" t="s">
        <v>298</v>
      </c>
      <c r="Y99" s="1" t="s">
        <v>322</v>
      </c>
      <c r="Z99" s="1">
        <v>1</v>
      </c>
      <c r="AA99" s="1">
        <f>ROUND(H99*I99*Z99, 3)</f>
        <v>90.850999999999999</v>
      </c>
      <c r="AB99" s="1">
        <f>ROUND(VLOOKUP(X99,'Base de dados'!A:B, 2, 0)*AA99, 2)</f>
        <v>9.09</v>
      </c>
      <c r="AC99" s="1">
        <f>ROUND((AA99*(Destino!AG99/100))*(W99/100),2)</f>
        <v>16.350000000000001</v>
      </c>
      <c r="AD99" s="1">
        <f>ROUND(AA99*(Destino!AH99/100),2)</f>
        <v>8.4</v>
      </c>
      <c r="AF99" s="1">
        <f>ROUND((AA99+ AB99)*(J99/100),2)</f>
        <v>1.5</v>
      </c>
      <c r="AG99" s="1">
        <f>ROUND(AA99*T99,2)</f>
        <v>0</v>
      </c>
      <c r="AH99" s="1">
        <f>ROUND(AA99-(AC99+AD99)+AF99+AG99, 3)</f>
        <v>67.600999999999999</v>
      </c>
      <c r="AI99" s="1">
        <f>AH99*M99*K99</f>
        <v>67.600999999999999</v>
      </c>
      <c r="BA99" s="1" t="s">
        <v>11368</v>
      </c>
      <c r="BB99" s="1">
        <f>AI99</f>
        <v>67.600999999999999</v>
      </c>
      <c r="BD99" s="1">
        <f>N99</f>
        <v>1</v>
      </c>
    </row>
    <row r="100" spans="1:56" x14ac:dyDescent="0.25">
      <c r="A100" s="1">
        <v>600001017</v>
      </c>
      <c r="B100" s="1">
        <v>1700</v>
      </c>
      <c r="C100" s="1">
        <v>2200001421</v>
      </c>
      <c r="D100" s="1" t="s">
        <v>303</v>
      </c>
      <c r="E100" s="1">
        <f>IF(AND(B100&lt;&gt;1110,B100&lt;&gt;1210,B100&lt;&gt;1510,B100&lt;&gt;1710),B100,IF(B100=1110,"1100",IF(B100=1210,"1200",IF(B100=1510,"1500",IF(B100=1710,"1700","X")))))</f>
        <v>1700</v>
      </c>
      <c r="F100" s="1" t="s">
        <v>11238</v>
      </c>
      <c r="G100" s="1" t="s">
        <v>302</v>
      </c>
      <c r="H100" s="1">
        <f>ROUND(P100/(1-((R100+S100))/100)*Q100, 3)</f>
        <v>80.718000000000004</v>
      </c>
      <c r="I100" s="1">
        <v>0.25</v>
      </c>
      <c r="J100" s="1">
        <v>3</v>
      </c>
      <c r="K100" s="1">
        <v>1</v>
      </c>
      <c r="L100" s="1" t="s">
        <v>292</v>
      </c>
      <c r="M100" s="1">
        <v>4</v>
      </c>
      <c r="N100" s="1">
        <v>1</v>
      </c>
      <c r="O100" s="1" t="s">
        <v>296</v>
      </c>
      <c r="P100" s="1">
        <f>IFERROR(VLOOKUP(BC100, BA:BA:BB:BB, 2, 0),)</f>
        <v>67.600999999999999</v>
      </c>
      <c r="Q100" s="1">
        <f>IFERROR(VLOOKUP(BC100, BA:BA:BD:BD, 4, 0),1)</f>
        <v>1</v>
      </c>
      <c r="R100" s="1">
        <v>7</v>
      </c>
      <c r="S100" s="1">
        <v>9.25</v>
      </c>
      <c r="T100" s="1">
        <v>0</v>
      </c>
      <c r="V100" s="1" t="s">
        <v>11223</v>
      </c>
      <c r="W100" s="1">
        <v>100</v>
      </c>
      <c r="X100" s="1" t="s">
        <v>298</v>
      </c>
      <c r="Y100" s="1" t="s">
        <v>322</v>
      </c>
      <c r="Z100" s="1">
        <v>1</v>
      </c>
      <c r="AA100" s="1">
        <f>ROUND(H100*I100*Z100, 3)</f>
        <v>20.18</v>
      </c>
      <c r="AB100" s="1">
        <f>ROUND(VLOOKUP(X100,'Base de dados'!A:B, 2, 0)*AA100, 2)</f>
        <v>2.02</v>
      </c>
      <c r="AC100" s="1">
        <f>ROUND((AA100*(Destino!AG100/100))*(W100/100),2)</f>
        <v>1.41</v>
      </c>
      <c r="AD100" s="1">
        <f>ROUND(AA100*(Destino!AH100/100),2)</f>
        <v>0</v>
      </c>
      <c r="AE100" s="1">
        <f>ROUND((((AA100+AB100)*1.48)*(Destino!AI100/100))-AC100,2)</f>
        <v>4.18</v>
      </c>
      <c r="AF100" s="1">
        <f>ROUND((AA100+AB100+AE100)*(J100/100),2)</f>
        <v>0.79</v>
      </c>
      <c r="AG100" s="1">
        <f>ROUND(AA100*T100,2)</f>
        <v>0</v>
      </c>
      <c r="AH100" s="1">
        <f>ROUND(AA100+AB100-AD100+AE100+AF100+AG100, 3)</f>
        <v>27.17</v>
      </c>
      <c r="AI100" s="1">
        <f>AH100*M100*K100</f>
        <v>108.68</v>
      </c>
      <c r="BA100" s="1" t="s">
        <v>11267</v>
      </c>
      <c r="BB100" s="1">
        <f>AI100</f>
        <v>108.68</v>
      </c>
      <c r="BC100" s="1" t="s">
        <v>11368</v>
      </c>
      <c r="BD100" s="1">
        <f>N100</f>
        <v>1</v>
      </c>
    </row>
    <row r="101" spans="1:56" x14ac:dyDescent="0.25">
      <c r="A101" s="1">
        <v>600001027</v>
      </c>
      <c r="B101" s="1">
        <v>1000</v>
      </c>
      <c r="C101" s="1">
        <v>2200001473</v>
      </c>
      <c r="D101" s="1" t="s">
        <v>303</v>
      </c>
      <c r="E101" s="1">
        <f>IF(AND(B101&lt;&gt;1110,B101&lt;&gt;1210,B101&lt;&gt;1510,B101&lt;&gt;1710),B101,IF(B101=1110,"1100",IF(B101=1210,"1200",IF(B101=1510,"1500",IF(B101=1710,"1700","X")))))</f>
        <v>1000</v>
      </c>
      <c r="F101" s="1" t="s">
        <v>11198</v>
      </c>
      <c r="G101" s="1" t="s">
        <v>302</v>
      </c>
      <c r="H101" s="1">
        <f>ROUND(P101/(1-((R101+S101))/100)*Q101, 3)</f>
        <v>31.428999999999998</v>
      </c>
      <c r="I101" s="1">
        <v>0.45</v>
      </c>
      <c r="J101" s="1">
        <v>1.5</v>
      </c>
      <c r="K101" s="1">
        <v>1</v>
      </c>
      <c r="L101" s="1" t="s">
        <v>292</v>
      </c>
      <c r="M101" s="1">
        <v>1</v>
      </c>
      <c r="N101" s="1">
        <v>1</v>
      </c>
      <c r="O101" s="1" t="s">
        <v>296</v>
      </c>
      <c r="P101" s="1">
        <v>24.75</v>
      </c>
      <c r="Q101" s="1">
        <v>1</v>
      </c>
      <c r="R101" s="1">
        <v>12</v>
      </c>
      <c r="S101" s="1">
        <v>9.25</v>
      </c>
      <c r="T101" s="1">
        <v>0</v>
      </c>
      <c r="V101" s="1" t="s">
        <v>11223</v>
      </c>
      <c r="W101" s="1">
        <v>100</v>
      </c>
      <c r="X101" s="1" t="s">
        <v>319</v>
      </c>
      <c r="Y101" s="1" t="s">
        <v>322</v>
      </c>
      <c r="Z101" s="1">
        <v>1</v>
      </c>
      <c r="AA101" s="1">
        <f>ROUND(H101*I101*Z101, 3)</f>
        <v>14.143000000000001</v>
      </c>
      <c r="AB101" s="1">
        <f>ROUND(VLOOKUP(X101,'Base de dados'!A:B, 2, 0)*AA101, 2)</f>
        <v>1.41</v>
      </c>
      <c r="AC101" s="1">
        <f>ROUND((AA101*(Destino!AG101/100))*(W101/100),2)</f>
        <v>1.7</v>
      </c>
      <c r="AD101" s="1">
        <f>ROUND(AA101*(Destino!AH101/100),2)</f>
        <v>1.31</v>
      </c>
      <c r="AF101" s="1">
        <f>ROUND((AA101+ AB101)*(J101/100),2)</f>
        <v>0.23</v>
      </c>
      <c r="AG101" s="1">
        <f>ROUND(AA101*T101,2)</f>
        <v>0</v>
      </c>
      <c r="AH101" s="1">
        <f>ROUND(AA101-(AC101+AD101)+AF101+AG101, 3)</f>
        <v>11.363</v>
      </c>
      <c r="AI101" s="1">
        <f>AH101*M101*K101</f>
        <v>11.363</v>
      </c>
      <c r="BA101" s="1" t="s">
        <v>11524</v>
      </c>
      <c r="BB101" s="1">
        <f>AI101</f>
        <v>11.363</v>
      </c>
      <c r="BD101" s="1">
        <f>N101</f>
        <v>1</v>
      </c>
    </row>
    <row r="102" spans="1:56" x14ac:dyDescent="0.25">
      <c r="A102" s="1">
        <v>600001027</v>
      </c>
      <c r="B102" s="1">
        <v>1100</v>
      </c>
      <c r="C102" s="1">
        <v>2200001473</v>
      </c>
      <c r="D102" s="1" t="s">
        <v>303</v>
      </c>
      <c r="E102" s="1">
        <f>IF(AND(B102&lt;&gt;1110,B102&lt;&gt;1210,B102&lt;&gt;1510,B102&lt;&gt;1710),B102,IF(B102=1110,"1100",IF(B102=1210,"1200",IF(B102=1510,"1500",IF(B102=1710,"1700","X")))))</f>
        <v>1100</v>
      </c>
      <c r="F102" s="1" t="s">
        <v>11198</v>
      </c>
      <c r="G102" s="1" t="s">
        <v>302</v>
      </c>
      <c r="H102" s="1">
        <f>ROUND(P102/(1-((R102+S102))/100)*Q102, 3)</f>
        <v>29.552</v>
      </c>
      <c r="I102" s="1">
        <v>0.45</v>
      </c>
      <c r="J102" s="1">
        <v>2</v>
      </c>
      <c r="K102" s="1">
        <v>1</v>
      </c>
      <c r="L102" s="1" t="s">
        <v>292</v>
      </c>
      <c r="M102" s="1">
        <v>1</v>
      </c>
      <c r="N102" s="1">
        <v>1</v>
      </c>
      <c r="O102" s="1" t="s">
        <v>296</v>
      </c>
      <c r="P102" s="1">
        <v>24.75</v>
      </c>
      <c r="Q102" s="1">
        <v>1</v>
      </c>
      <c r="R102" s="1">
        <v>7</v>
      </c>
      <c r="S102" s="1">
        <v>9.25</v>
      </c>
      <c r="T102" s="1">
        <v>0</v>
      </c>
      <c r="V102" s="1" t="s">
        <v>11223</v>
      </c>
      <c r="W102" s="1">
        <v>100</v>
      </c>
      <c r="X102" s="1" t="s">
        <v>319</v>
      </c>
      <c r="Y102" s="1" t="s">
        <v>322</v>
      </c>
      <c r="Z102" s="1">
        <v>1</v>
      </c>
      <c r="AA102" s="1">
        <f>ROUND(H102*I102*Z102, 3)</f>
        <v>13.298</v>
      </c>
      <c r="AB102" s="1">
        <f>ROUND(VLOOKUP(X102,'Base de dados'!A:B, 2, 0)*AA102, 2)</f>
        <v>1.33</v>
      </c>
      <c r="AC102" s="1">
        <f>ROUND((AA102*(Destino!AG102/100))*(W102/100),2)</f>
        <v>0.93</v>
      </c>
      <c r="AD102" s="1">
        <f>ROUND(AA102*(Destino!AH102/100),2)</f>
        <v>1.23</v>
      </c>
      <c r="AF102" s="1">
        <f>ROUND((AA102+ AB102)*(J102/100),2)</f>
        <v>0.28999999999999998</v>
      </c>
      <c r="AG102" s="1">
        <f>ROUND(AA102*T102,2)</f>
        <v>0</v>
      </c>
      <c r="AH102" s="1">
        <f>ROUND(AA102-(AC102+AD102)+AF102+AG102, 3)</f>
        <v>11.428000000000001</v>
      </c>
      <c r="AI102" s="1">
        <f>AH102*M102*K102</f>
        <v>11.428000000000001</v>
      </c>
      <c r="BA102" s="1" t="s">
        <v>11525</v>
      </c>
      <c r="BB102" s="1">
        <f>AI102</f>
        <v>11.428000000000001</v>
      </c>
      <c r="BD102" s="1">
        <f>N102</f>
        <v>1</v>
      </c>
    </row>
    <row r="103" spans="1:56" x14ac:dyDescent="0.25">
      <c r="A103" s="1">
        <v>600001027</v>
      </c>
      <c r="B103" s="1">
        <v>1110</v>
      </c>
      <c r="C103" s="1">
        <v>2200001473</v>
      </c>
      <c r="D103" s="1" t="s">
        <v>303</v>
      </c>
      <c r="E103" s="1" t="str">
        <f>IF(AND(B103&lt;&gt;1110,B103&lt;&gt;1210,B103&lt;&gt;1510,B103&lt;&gt;1710),B103,IF(B103=1110,"1100",IF(B103=1210,"1200",IF(B103=1510,"1500",IF(B103=1710,"1700","X")))))</f>
        <v>1100</v>
      </c>
      <c r="F103" s="1" t="s">
        <v>447</v>
      </c>
      <c r="G103" s="1" t="s">
        <v>302</v>
      </c>
      <c r="H103" s="1">
        <f>ROUND(P103/(1-((R103+S103))/100)*Q103, 3)</f>
        <v>29.552</v>
      </c>
      <c r="I103" s="1">
        <v>0.45</v>
      </c>
      <c r="J103" s="1">
        <v>4</v>
      </c>
      <c r="K103" s="1">
        <v>1</v>
      </c>
      <c r="L103" s="1" t="s">
        <v>292</v>
      </c>
      <c r="M103" s="1">
        <v>1</v>
      </c>
      <c r="N103" s="1">
        <v>0.752857</v>
      </c>
      <c r="O103" s="1" t="s">
        <v>296</v>
      </c>
      <c r="P103" s="1">
        <v>24.75</v>
      </c>
      <c r="Q103" s="1">
        <v>1</v>
      </c>
      <c r="R103" s="1">
        <v>7</v>
      </c>
      <c r="S103" s="1">
        <v>9.25</v>
      </c>
      <c r="T103" s="1">
        <v>0</v>
      </c>
      <c r="V103" s="1" t="s">
        <v>11223</v>
      </c>
      <c r="W103" s="1">
        <v>100</v>
      </c>
      <c r="X103" s="1" t="s">
        <v>319</v>
      </c>
      <c r="Y103" s="1" t="s">
        <v>322</v>
      </c>
      <c r="Z103" s="1">
        <v>1</v>
      </c>
      <c r="AA103" s="1">
        <f>ROUND(H103*I103*Z103, 3)</f>
        <v>13.298</v>
      </c>
      <c r="AB103" s="1">
        <f>ROUND(VLOOKUP(X103,'Base de dados'!A:B, 2, 0)*AA103, 2)</f>
        <v>1.33</v>
      </c>
      <c r="AC103" s="1">
        <f>ROUND((AA103*(Destino!AG103/100))*(W103/100),2)</f>
        <v>0.93</v>
      </c>
      <c r="AD103" s="1">
        <f>ROUND(AA103*(Destino!AH103/100),2)</f>
        <v>1.23</v>
      </c>
      <c r="AE103" s="1">
        <f>ROUND((((AA103+AB103)*1.5039)*(Destino!AI103/100))-AC103,2)</f>
        <v>2.81</v>
      </c>
      <c r="AF103" s="1">
        <f>ROUND((AA103+AB103+AE103)*(J103/100),2)</f>
        <v>0.7</v>
      </c>
      <c r="AG103" s="1">
        <f>ROUND(AA103*T103,2)</f>
        <v>0</v>
      </c>
      <c r="AH103" s="1">
        <f>ROUND(AA103-AD103+AE103+AF103+AG103, 3)</f>
        <v>15.577999999999999</v>
      </c>
      <c r="AI103" s="1">
        <f>AH103*M103*K103</f>
        <v>15.577999999999999</v>
      </c>
      <c r="BA103" s="1" t="s">
        <v>11526</v>
      </c>
      <c r="BB103" s="1">
        <f>AI103</f>
        <v>15.577999999999999</v>
      </c>
      <c r="BD103" s="1">
        <f>N103</f>
        <v>0.752857</v>
      </c>
    </row>
    <row r="104" spans="1:56" x14ac:dyDescent="0.25">
      <c r="A104" s="1">
        <v>600001027</v>
      </c>
      <c r="B104" s="1">
        <v>1400</v>
      </c>
      <c r="C104" s="1">
        <v>2200001473</v>
      </c>
      <c r="D104" s="1" t="s">
        <v>303</v>
      </c>
      <c r="E104" s="1">
        <f>IF(AND(B104&lt;&gt;1110,B104&lt;&gt;1210,B104&lt;&gt;1510,B104&lt;&gt;1710),B104,IF(B104=1110,"1100",IF(B104=1210,"1200",IF(B104=1510,"1500",IF(B104=1710,"1700","X")))))</f>
        <v>1400</v>
      </c>
      <c r="F104" s="1" t="s">
        <v>11198</v>
      </c>
      <c r="G104" s="1" t="s">
        <v>302</v>
      </c>
      <c r="H104" s="1">
        <f>ROUND(P104/(1-((R104+S104))/100)*Q104, 3)</f>
        <v>34.021000000000001</v>
      </c>
      <c r="I104" s="1">
        <v>0.45</v>
      </c>
      <c r="J104" s="1">
        <v>1.5</v>
      </c>
      <c r="K104" s="1">
        <v>1</v>
      </c>
      <c r="L104" s="1" t="s">
        <v>292</v>
      </c>
      <c r="M104" s="1">
        <v>1</v>
      </c>
      <c r="N104" s="1">
        <v>1</v>
      </c>
      <c r="O104" s="1" t="s">
        <v>296</v>
      </c>
      <c r="P104" s="1">
        <v>24.75</v>
      </c>
      <c r="Q104" s="1">
        <v>1</v>
      </c>
      <c r="R104" s="1">
        <v>18</v>
      </c>
      <c r="S104" s="1">
        <v>9.25</v>
      </c>
      <c r="T104" s="1">
        <v>0</v>
      </c>
      <c r="V104" s="1" t="s">
        <v>11223</v>
      </c>
      <c r="W104" s="1">
        <v>100</v>
      </c>
      <c r="X104" s="1" t="s">
        <v>319</v>
      </c>
      <c r="Y104" s="1" t="s">
        <v>322</v>
      </c>
      <c r="Z104" s="1">
        <v>1</v>
      </c>
      <c r="AA104" s="1">
        <f>ROUND(H104*I104*Z104, 3)</f>
        <v>15.308999999999999</v>
      </c>
      <c r="AB104" s="1">
        <f>ROUND(VLOOKUP(X104,'Base de dados'!A:B, 2, 0)*AA104, 2)</f>
        <v>1.53</v>
      </c>
      <c r="AC104" s="1">
        <f>ROUND((AA104*(Destino!AG104/100))*(W104/100),2)</f>
        <v>2.76</v>
      </c>
      <c r="AD104" s="1">
        <f>ROUND(AA104*(Destino!AH104/100),2)</f>
        <v>1.42</v>
      </c>
      <c r="AF104" s="1">
        <f>ROUND((AA104+ AB104)*(J104/100),2)</f>
        <v>0.25</v>
      </c>
      <c r="AG104" s="1">
        <f>ROUND(AA104*T104,2)</f>
        <v>0</v>
      </c>
      <c r="AH104" s="1">
        <f>ROUND(AA104-(AC104+AD104)+AF104+AG104, 3)</f>
        <v>11.379</v>
      </c>
      <c r="AI104" s="1">
        <f>AH104*M104*K104</f>
        <v>11.379</v>
      </c>
      <c r="BA104" s="1" t="s">
        <v>11369</v>
      </c>
      <c r="BB104" s="1">
        <f>AI104</f>
        <v>11.379</v>
      </c>
      <c r="BD104" s="1">
        <f>N104</f>
        <v>1</v>
      </c>
    </row>
    <row r="105" spans="1:56" x14ac:dyDescent="0.25">
      <c r="A105" s="1">
        <v>600001027</v>
      </c>
      <c r="B105" s="1">
        <v>1700</v>
      </c>
      <c r="C105" s="1">
        <v>2200001421</v>
      </c>
      <c r="D105" s="1" t="s">
        <v>303</v>
      </c>
      <c r="E105" s="1">
        <f>IF(AND(B105&lt;&gt;1110,B105&lt;&gt;1210,B105&lt;&gt;1510,B105&lt;&gt;1710),B105,IF(B105=1110,"1100",IF(B105=1210,"1200",IF(B105=1510,"1500",IF(B105=1710,"1700","X")))))</f>
        <v>1700</v>
      </c>
      <c r="F105" s="1" t="s">
        <v>11238</v>
      </c>
      <c r="G105" s="1" t="s">
        <v>302</v>
      </c>
      <c r="H105" s="1">
        <f>ROUND(P105/(1-((R105+S105))/100)*Q105, 3)</f>
        <v>13.587</v>
      </c>
      <c r="I105" s="1">
        <v>0.25</v>
      </c>
      <c r="J105" s="1">
        <v>3</v>
      </c>
      <c r="K105" s="1">
        <v>1</v>
      </c>
      <c r="L105" s="1" t="s">
        <v>292</v>
      </c>
      <c r="M105" s="1">
        <v>4</v>
      </c>
      <c r="N105" s="1">
        <v>1</v>
      </c>
      <c r="O105" s="1" t="s">
        <v>296</v>
      </c>
      <c r="P105" s="1">
        <f>IFERROR(VLOOKUP(BC105, BA:BA:BB:BB, 2, 0),)</f>
        <v>11.379</v>
      </c>
      <c r="Q105" s="1">
        <f>IFERROR(VLOOKUP(BC105, BA:BA:BD:BD, 4, 0),1)</f>
        <v>1</v>
      </c>
      <c r="R105" s="1">
        <v>7</v>
      </c>
      <c r="S105" s="1">
        <v>9.25</v>
      </c>
      <c r="T105" s="1">
        <v>0</v>
      </c>
      <c r="V105" s="1" t="s">
        <v>11223</v>
      </c>
      <c r="W105" s="1">
        <v>100</v>
      </c>
      <c r="X105" s="1" t="s">
        <v>319</v>
      </c>
      <c r="Y105" s="1" t="s">
        <v>322</v>
      </c>
      <c r="Z105" s="1">
        <v>1</v>
      </c>
      <c r="AA105" s="1">
        <f>ROUND(H105*I105*Z105, 3)</f>
        <v>3.3969999999999998</v>
      </c>
      <c r="AB105" s="1">
        <f>ROUND(VLOOKUP(X105,'Base de dados'!A:B, 2, 0)*AA105, 2)</f>
        <v>0.34</v>
      </c>
      <c r="AC105" s="1">
        <f>ROUND((AA105*(Destino!AG105/100))*(W105/100),2)</f>
        <v>0.24</v>
      </c>
      <c r="AD105" s="1">
        <f>ROUND(AA105*(Destino!AH105/100),2)</f>
        <v>0</v>
      </c>
      <c r="AE105" s="1">
        <f>ROUND((((AA105+AB105)*1.48)*(Destino!AI105/100))-AC105,2)</f>
        <v>0.7</v>
      </c>
      <c r="AF105" s="1">
        <f>ROUND((AA105+AB105+AE105)*(J105/100),2)</f>
        <v>0.13</v>
      </c>
      <c r="AG105" s="1">
        <f>ROUND(AA105*T105,2)</f>
        <v>0</v>
      </c>
      <c r="AH105" s="1">
        <f>ROUND(AA105+AB105-AD105+AE105+AF105+AG105, 3)</f>
        <v>4.5670000000000002</v>
      </c>
      <c r="AI105" s="1">
        <f>AH105*M105*K105</f>
        <v>18.268000000000001</v>
      </c>
      <c r="BA105" s="1" t="s">
        <v>11268</v>
      </c>
      <c r="BB105" s="1">
        <f>AI105</f>
        <v>18.268000000000001</v>
      </c>
      <c r="BC105" s="1" t="s">
        <v>11369</v>
      </c>
      <c r="BD105" s="1">
        <f>N105</f>
        <v>1</v>
      </c>
    </row>
    <row r="106" spans="1:56" x14ac:dyDescent="0.25">
      <c r="A106" s="1">
        <v>600001028</v>
      </c>
      <c r="B106" s="1">
        <v>1000</v>
      </c>
      <c r="C106" s="1">
        <v>2200001473</v>
      </c>
      <c r="D106" s="1" t="s">
        <v>303</v>
      </c>
      <c r="E106" s="1">
        <f>IF(AND(B106&lt;&gt;1110,B106&lt;&gt;1210,B106&lt;&gt;1510,B106&lt;&gt;1710),B106,IF(B106=1110,"1100",IF(B106=1210,"1200",IF(B106=1510,"1500",IF(B106=1710,"1700","X")))))</f>
        <v>1000</v>
      </c>
      <c r="F106" s="1" t="s">
        <v>11198</v>
      </c>
      <c r="G106" s="1" t="s">
        <v>302</v>
      </c>
      <c r="H106" s="1">
        <f>ROUND(P106/(1-((R106+S106))/100)*Q106, 3)</f>
        <v>36.637</v>
      </c>
      <c r="I106" s="1">
        <v>0.45</v>
      </c>
      <c r="J106" s="1">
        <v>1.5</v>
      </c>
      <c r="K106" s="1">
        <v>1</v>
      </c>
      <c r="L106" s="1" t="s">
        <v>292</v>
      </c>
      <c r="M106" s="1">
        <v>1</v>
      </c>
      <c r="N106" s="1">
        <v>1</v>
      </c>
      <c r="O106" s="1" t="s">
        <v>296</v>
      </c>
      <c r="P106" s="1">
        <v>28.852</v>
      </c>
      <c r="Q106" s="1">
        <v>1</v>
      </c>
      <c r="R106" s="1">
        <v>12</v>
      </c>
      <c r="S106" s="1">
        <v>9.25</v>
      </c>
      <c r="T106" s="1">
        <v>0</v>
      </c>
      <c r="V106" s="1" t="s">
        <v>11223</v>
      </c>
      <c r="W106" s="1">
        <v>100</v>
      </c>
      <c r="X106" s="1" t="s">
        <v>368</v>
      </c>
      <c r="Y106" s="1" t="s">
        <v>299</v>
      </c>
      <c r="Z106" s="1">
        <v>1</v>
      </c>
      <c r="AA106" s="1">
        <f>ROUND(H106*I106*Z106, 3)</f>
        <v>16.486999999999998</v>
      </c>
      <c r="AB106" s="1">
        <f>ROUND(VLOOKUP(X106,'Base de dados'!A:B, 2, 0)*AA106, 2)</f>
        <v>1.65</v>
      </c>
      <c r="AC106" s="1">
        <f>ROUND((AA106*(Destino!AG106/100))*(W106/100),2)</f>
        <v>1.98</v>
      </c>
      <c r="AD106" s="1">
        <f>ROUND(AA106*(Destino!AH106/100),2)</f>
        <v>1.53</v>
      </c>
      <c r="AF106" s="1">
        <f>ROUND((AA106+ AB106)*(J106/100),2)</f>
        <v>0.27</v>
      </c>
      <c r="AG106" s="1">
        <f>ROUND(AA106*T106,2)</f>
        <v>0</v>
      </c>
      <c r="AH106" s="1">
        <f>ROUND(AA106-(AC106+AD106)+AF106+AG106, 3)</f>
        <v>13.247</v>
      </c>
      <c r="AI106" s="1">
        <f>AH106*M106*K106</f>
        <v>13.247</v>
      </c>
      <c r="BA106" s="1" t="s">
        <v>11527</v>
      </c>
      <c r="BB106" s="1">
        <f>AI106</f>
        <v>13.247</v>
      </c>
      <c r="BD106" s="1">
        <f>N106</f>
        <v>1</v>
      </c>
    </row>
    <row r="107" spans="1:56" x14ac:dyDescent="0.25">
      <c r="A107" s="1">
        <v>600001028</v>
      </c>
      <c r="B107" s="1">
        <v>1100</v>
      </c>
      <c r="C107" s="1">
        <v>2200001473</v>
      </c>
      <c r="D107" s="1" t="s">
        <v>303</v>
      </c>
      <c r="E107" s="1">
        <f>IF(AND(B107&lt;&gt;1110,B107&lt;&gt;1210,B107&lt;&gt;1510,B107&lt;&gt;1710),B107,IF(B107=1110,"1100",IF(B107=1210,"1200",IF(B107=1510,"1500",IF(B107=1710,"1700","X")))))</f>
        <v>1100</v>
      </c>
      <c r="F107" s="1" t="s">
        <v>11198</v>
      </c>
      <c r="G107" s="1" t="s">
        <v>302</v>
      </c>
      <c r="H107" s="1">
        <f>ROUND(P107/(1-((R107+S107))/100)*Q107, 3)</f>
        <v>34.451000000000001</v>
      </c>
      <c r="I107" s="1">
        <v>0.45</v>
      </c>
      <c r="J107" s="1">
        <v>2</v>
      </c>
      <c r="K107" s="1">
        <v>1</v>
      </c>
      <c r="L107" s="1" t="s">
        <v>292</v>
      </c>
      <c r="M107" s="1">
        <v>1</v>
      </c>
      <c r="N107" s="1">
        <v>1</v>
      </c>
      <c r="O107" s="1" t="s">
        <v>296</v>
      </c>
      <c r="P107" s="1">
        <v>28.853000000000002</v>
      </c>
      <c r="Q107" s="1">
        <v>1</v>
      </c>
      <c r="R107" s="1">
        <v>7</v>
      </c>
      <c r="S107" s="1">
        <v>9.25</v>
      </c>
      <c r="T107" s="1">
        <v>0</v>
      </c>
      <c r="V107" s="1" t="s">
        <v>11223</v>
      </c>
      <c r="W107" s="1">
        <v>100</v>
      </c>
      <c r="X107" s="1" t="s">
        <v>368</v>
      </c>
      <c r="Y107" s="1" t="s">
        <v>299</v>
      </c>
      <c r="Z107" s="1">
        <v>1</v>
      </c>
      <c r="AA107" s="1">
        <f>ROUND(H107*I107*Z107, 3)</f>
        <v>15.503</v>
      </c>
      <c r="AB107" s="1">
        <f>ROUND(VLOOKUP(X107,'Base de dados'!A:B, 2, 0)*AA107, 2)</f>
        <v>1.55</v>
      </c>
      <c r="AC107" s="1">
        <f>ROUND((AA107*(Destino!AG107/100))*(W107/100),2)</f>
        <v>1.0900000000000001</v>
      </c>
      <c r="AD107" s="1">
        <f>ROUND(AA107*(Destino!AH107/100),2)</f>
        <v>1.43</v>
      </c>
      <c r="AF107" s="1">
        <f>ROUND((AA107+ AB107)*(J107/100),2)</f>
        <v>0.34</v>
      </c>
      <c r="AG107" s="1">
        <f>ROUND(AA107*T107,2)</f>
        <v>0</v>
      </c>
      <c r="AH107" s="1">
        <f>ROUND(AA107-(AC107+AD107)+AF107+AG107, 3)</f>
        <v>13.323</v>
      </c>
      <c r="AI107" s="1">
        <f>AH107*M107*K107</f>
        <v>13.323</v>
      </c>
      <c r="BA107" s="1" t="s">
        <v>11528</v>
      </c>
      <c r="BB107" s="1">
        <f>AI107</f>
        <v>13.323</v>
      </c>
      <c r="BD107" s="1">
        <f>N107</f>
        <v>1</v>
      </c>
    </row>
    <row r="108" spans="1:56" x14ac:dyDescent="0.25">
      <c r="A108" s="1">
        <v>600001028</v>
      </c>
      <c r="B108" s="1">
        <v>1110</v>
      </c>
      <c r="C108" s="1">
        <v>2200001473</v>
      </c>
      <c r="D108" s="1" t="s">
        <v>303</v>
      </c>
      <c r="E108" s="1" t="str">
        <f>IF(AND(B108&lt;&gt;1110,B108&lt;&gt;1210,B108&lt;&gt;1510,B108&lt;&gt;1710),B108,IF(B108=1110,"1100",IF(B108=1210,"1200",IF(B108=1510,"1500",IF(B108=1710,"1700","X")))))</f>
        <v>1100</v>
      </c>
      <c r="F108" s="1" t="s">
        <v>447</v>
      </c>
      <c r="G108" s="1" t="s">
        <v>302</v>
      </c>
      <c r="H108" s="1">
        <f>ROUND(P108/(1-((R108+S108))/100)*Q108, 3)</f>
        <v>34.451000000000001</v>
      </c>
      <c r="I108" s="1">
        <v>0.45</v>
      </c>
      <c r="J108" s="1">
        <v>4</v>
      </c>
      <c r="K108" s="1">
        <v>1</v>
      </c>
      <c r="L108" s="1" t="s">
        <v>292</v>
      </c>
      <c r="M108" s="1">
        <v>1</v>
      </c>
      <c r="N108" s="1">
        <v>0.75307299999999999</v>
      </c>
      <c r="O108" s="1" t="s">
        <v>296</v>
      </c>
      <c r="P108" s="1">
        <v>28.853000000000002</v>
      </c>
      <c r="Q108" s="1">
        <v>1</v>
      </c>
      <c r="R108" s="1">
        <v>7</v>
      </c>
      <c r="S108" s="1">
        <v>9.25</v>
      </c>
      <c r="T108" s="1">
        <v>0</v>
      </c>
      <c r="V108" s="1" t="s">
        <v>11223</v>
      </c>
      <c r="W108" s="1">
        <v>100</v>
      </c>
      <c r="X108" s="1" t="s">
        <v>368</v>
      </c>
      <c r="Y108" s="1" t="s">
        <v>299</v>
      </c>
      <c r="Z108" s="1">
        <v>1</v>
      </c>
      <c r="AA108" s="1">
        <f>ROUND(H108*I108*Z108, 3)</f>
        <v>15.503</v>
      </c>
      <c r="AB108" s="1">
        <f>ROUND(VLOOKUP(X108,'Base de dados'!A:B, 2, 0)*AA108, 2)</f>
        <v>1.55</v>
      </c>
      <c r="AC108" s="1">
        <f>ROUND((AA108*(Destino!AG108/100))*(W108/100),2)</f>
        <v>1.0900000000000001</v>
      </c>
      <c r="AD108" s="1">
        <f>ROUND(AA108*(Destino!AH108/100),2)</f>
        <v>1.43</v>
      </c>
      <c r="AE108" s="1">
        <f>ROUND((((AA108+AB108)*1.5039)*(Destino!AI108/100))-AC108,2)</f>
        <v>3.27</v>
      </c>
      <c r="AF108" s="1">
        <f>ROUND((AA108+AB108+AE108)*(J108/100),2)</f>
        <v>0.81</v>
      </c>
      <c r="AG108" s="1">
        <f>ROUND(AA108*T108,2)</f>
        <v>0</v>
      </c>
      <c r="AH108" s="1">
        <f>ROUND(AA108-AD108+AE108+AF108+AG108, 3)</f>
        <v>18.152999999999999</v>
      </c>
      <c r="AI108" s="1">
        <f>AH108*M108*K108</f>
        <v>18.152999999999999</v>
      </c>
      <c r="BA108" s="1" t="s">
        <v>11529</v>
      </c>
      <c r="BB108" s="1">
        <f>AI108</f>
        <v>18.152999999999999</v>
      </c>
      <c r="BD108" s="1">
        <f>N108</f>
        <v>0.75307299999999999</v>
      </c>
    </row>
    <row r="109" spans="1:56" x14ac:dyDescent="0.25">
      <c r="A109" s="1">
        <v>600001028</v>
      </c>
      <c r="B109" s="1">
        <v>1400</v>
      </c>
      <c r="C109" s="1">
        <v>2200001473</v>
      </c>
      <c r="D109" s="1" t="s">
        <v>303</v>
      </c>
      <c r="E109" s="1">
        <f>IF(AND(B109&lt;&gt;1110,B109&lt;&gt;1210,B109&lt;&gt;1510,B109&lt;&gt;1710),B109,IF(B109=1110,"1100",IF(B109=1210,"1200",IF(B109=1510,"1500",IF(B109=1710,"1700","X")))))</f>
        <v>1400</v>
      </c>
      <c r="F109" s="1" t="s">
        <v>11198</v>
      </c>
      <c r="G109" s="1" t="s">
        <v>302</v>
      </c>
      <c r="H109" s="1">
        <f>ROUND(P109/(1-((R109+S109))/100)*Q109, 3)</f>
        <v>39.659999999999997</v>
      </c>
      <c r="I109" s="1">
        <v>0.45</v>
      </c>
      <c r="J109" s="1">
        <v>1.5</v>
      </c>
      <c r="K109" s="1">
        <v>1</v>
      </c>
      <c r="L109" s="1" t="s">
        <v>292</v>
      </c>
      <c r="M109" s="1">
        <v>1</v>
      </c>
      <c r="N109" s="1">
        <v>1</v>
      </c>
      <c r="O109" s="1" t="s">
        <v>296</v>
      </c>
      <c r="P109" s="1">
        <v>28.853000000000002</v>
      </c>
      <c r="Q109" s="1">
        <v>1</v>
      </c>
      <c r="R109" s="1">
        <v>18</v>
      </c>
      <c r="S109" s="1">
        <v>9.25</v>
      </c>
      <c r="T109" s="1">
        <v>0</v>
      </c>
      <c r="V109" s="1" t="s">
        <v>11223</v>
      </c>
      <c r="W109" s="1">
        <v>100</v>
      </c>
      <c r="X109" s="1" t="s">
        <v>368</v>
      </c>
      <c r="Y109" s="1" t="s">
        <v>299</v>
      </c>
      <c r="Z109" s="1">
        <v>1</v>
      </c>
      <c r="AA109" s="1">
        <f>ROUND(H109*I109*Z109, 3)</f>
        <v>17.847000000000001</v>
      </c>
      <c r="AB109" s="1">
        <f>ROUND(VLOOKUP(X109,'Base de dados'!A:B, 2, 0)*AA109, 2)</f>
        <v>1.78</v>
      </c>
      <c r="AC109" s="1">
        <f>ROUND((AA109*(Destino!AG109/100))*(W109/100),2)</f>
        <v>3.21</v>
      </c>
      <c r="AD109" s="1">
        <f>ROUND(AA109*(Destino!AH109/100),2)</f>
        <v>1.65</v>
      </c>
      <c r="AF109" s="1">
        <f>ROUND((AA109+ AB109)*(J109/100),2)</f>
        <v>0.28999999999999998</v>
      </c>
      <c r="AG109" s="1">
        <f>ROUND(AA109*T109,2)</f>
        <v>0</v>
      </c>
      <c r="AH109" s="1">
        <f>ROUND(AA109-(AC109+AD109)+AF109+AG109, 3)</f>
        <v>13.276999999999999</v>
      </c>
      <c r="AI109" s="1">
        <f>AH109*M109*K109</f>
        <v>13.276999999999999</v>
      </c>
      <c r="BA109" s="1" t="s">
        <v>11370</v>
      </c>
      <c r="BB109" s="1">
        <f>AI109</f>
        <v>13.276999999999999</v>
      </c>
      <c r="BD109" s="1">
        <f>N109</f>
        <v>1</v>
      </c>
    </row>
    <row r="110" spans="1:56" x14ac:dyDescent="0.25">
      <c r="A110" s="1">
        <v>600001028</v>
      </c>
      <c r="B110" s="1">
        <v>1700</v>
      </c>
      <c r="C110" s="1">
        <v>2200001421</v>
      </c>
      <c r="D110" s="1" t="s">
        <v>303</v>
      </c>
      <c r="E110" s="1">
        <f>IF(AND(B110&lt;&gt;1110,B110&lt;&gt;1210,B110&lt;&gt;1510,B110&lt;&gt;1710),B110,IF(B110=1110,"1100",IF(B110=1210,"1200",IF(B110=1510,"1500",IF(B110=1710,"1700","X")))))</f>
        <v>1700</v>
      </c>
      <c r="F110" s="1" t="s">
        <v>11238</v>
      </c>
      <c r="G110" s="1" t="s">
        <v>302</v>
      </c>
      <c r="H110" s="1">
        <f>ROUND(P110/(1-((R110+S110))/100)*Q110, 3)</f>
        <v>15.853</v>
      </c>
      <c r="I110" s="1">
        <v>0.25</v>
      </c>
      <c r="J110" s="1">
        <v>3</v>
      </c>
      <c r="K110" s="1">
        <v>1</v>
      </c>
      <c r="L110" s="1" t="s">
        <v>292</v>
      </c>
      <c r="M110" s="1">
        <v>4</v>
      </c>
      <c r="N110" s="1">
        <v>1</v>
      </c>
      <c r="O110" s="1" t="s">
        <v>296</v>
      </c>
      <c r="P110" s="1">
        <f>IFERROR(VLOOKUP(BC110, BA:BA:BB:BB, 2, 0),)</f>
        <v>13.276999999999999</v>
      </c>
      <c r="Q110" s="1">
        <f>IFERROR(VLOOKUP(BC110, BA:BA:BD:BD, 4, 0),1)</f>
        <v>1</v>
      </c>
      <c r="R110" s="1">
        <v>7</v>
      </c>
      <c r="S110" s="1">
        <v>9.25</v>
      </c>
      <c r="T110" s="1">
        <v>0</v>
      </c>
      <c r="V110" s="1" t="s">
        <v>11223</v>
      </c>
      <c r="W110" s="1">
        <v>100</v>
      </c>
      <c r="X110" s="1" t="s">
        <v>368</v>
      </c>
      <c r="Y110" s="1" t="s">
        <v>299</v>
      </c>
      <c r="Z110" s="1">
        <v>1</v>
      </c>
      <c r="AA110" s="1">
        <f>ROUND(H110*I110*Z110, 3)</f>
        <v>3.9630000000000001</v>
      </c>
      <c r="AB110" s="1">
        <f>ROUND(VLOOKUP(X110,'Base de dados'!A:B, 2, 0)*AA110, 2)</f>
        <v>0.4</v>
      </c>
      <c r="AC110" s="1">
        <f>ROUND((AA110*(Destino!AG110/100))*(W110/100),2)</f>
        <v>0.28000000000000003</v>
      </c>
      <c r="AD110" s="1">
        <f>ROUND(AA110*(Destino!AH110/100),2)</f>
        <v>0</v>
      </c>
      <c r="AE110" s="1">
        <f>ROUND((((AA110+AB110)*1.48)*(Destino!AI110/100))-AC110,2)</f>
        <v>0.82</v>
      </c>
      <c r="AF110" s="1">
        <f>ROUND((AA110+AB110+AE110)*(J110/100),2)</f>
        <v>0.16</v>
      </c>
      <c r="AG110" s="1">
        <f>ROUND(AA110*T110,2)</f>
        <v>0</v>
      </c>
      <c r="AH110" s="1">
        <f>ROUND(AA110+AB110-AD110+AE110+AF110+AG110, 3)</f>
        <v>5.343</v>
      </c>
      <c r="AI110" s="1">
        <f>AH110*M110*K110</f>
        <v>21.372</v>
      </c>
      <c r="BA110" s="1" t="s">
        <v>11269</v>
      </c>
      <c r="BB110" s="1">
        <f>AI110</f>
        <v>21.372</v>
      </c>
      <c r="BC110" s="1" t="s">
        <v>11370</v>
      </c>
      <c r="BD110" s="1">
        <f>N110</f>
        <v>1</v>
      </c>
    </row>
    <row r="111" spans="1:56" x14ac:dyDescent="0.25">
      <c r="A111" s="1">
        <v>600001031</v>
      </c>
      <c r="B111" s="1">
        <v>1000</v>
      </c>
      <c r="C111" s="1">
        <v>2200001473</v>
      </c>
      <c r="D111" s="1" t="s">
        <v>303</v>
      </c>
      <c r="E111" s="1">
        <f>IF(AND(B111&lt;&gt;1110,B111&lt;&gt;1210,B111&lt;&gt;1510,B111&lt;&gt;1710),B111,IF(B111=1110,"1100",IF(B111=1210,"1200",IF(B111=1510,"1500",IF(B111=1710,"1700","X")))))</f>
        <v>1000</v>
      </c>
      <c r="F111" s="1" t="s">
        <v>11198</v>
      </c>
      <c r="G111" s="1" t="s">
        <v>302</v>
      </c>
      <c r="H111" s="1">
        <f>ROUND(P111/(1-((R111+S111))/100)*Q111, 3)</f>
        <v>61.12</v>
      </c>
      <c r="I111" s="1">
        <v>0.45</v>
      </c>
      <c r="J111" s="1">
        <v>1.5</v>
      </c>
      <c r="K111" s="1">
        <v>1</v>
      </c>
      <c r="L111" s="1" t="s">
        <v>292</v>
      </c>
      <c r="M111" s="1">
        <v>1</v>
      </c>
      <c r="N111" s="1">
        <v>1</v>
      </c>
      <c r="O111" s="1" t="s">
        <v>296</v>
      </c>
      <c r="P111" s="1">
        <v>48.131999999999998</v>
      </c>
      <c r="Q111" s="1">
        <v>1</v>
      </c>
      <c r="R111" s="1">
        <v>12</v>
      </c>
      <c r="S111" s="1">
        <v>9.25</v>
      </c>
      <c r="T111" s="1">
        <v>0</v>
      </c>
      <c r="V111" s="1" t="s">
        <v>11223</v>
      </c>
      <c r="W111" s="1">
        <v>100</v>
      </c>
      <c r="X111" s="1" t="s">
        <v>368</v>
      </c>
      <c r="Y111" s="1" t="s">
        <v>299</v>
      </c>
      <c r="Z111" s="1">
        <v>1</v>
      </c>
      <c r="AA111" s="1">
        <f>ROUND(H111*I111*Z111, 3)</f>
        <v>27.504000000000001</v>
      </c>
      <c r="AB111" s="1">
        <f>ROUND(VLOOKUP(X111,'Base de dados'!A:B, 2, 0)*AA111, 2)</f>
        <v>2.75</v>
      </c>
      <c r="AC111" s="1">
        <f>ROUND((AA111*(Destino!AG111/100))*(W111/100),2)</f>
        <v>3.3</v>
      </c>
      <c r="AD111" s="1">
        <f>ROUND(AA111*(Destino!AH111/100),2)</f>
        <v>2.54</v>
      </c>
      <c r="AF111" s="1">
        <f>ROUND((AA111+ AB111)*(J111/100),2)</f>
        <v>0.45</v>
      </c>
      <c r="AG111" s="1">
        <f>ROUND(AA111*T111,2)</f>
        <v>0</v>
      </c>
      <c r="AH111" s="1">
        <f>ROUND(AA111-(AC111+AD111)+AF111+AG111, 3)</f>
        <v>22.114000000000001</v>
      </c>
      <c r="AI111" s="1">
        <f>AH111*M111*K111</f>
        <v>22.114000000000001</v>
      </c>
      <c r="BA111" s="1" t="s">
        <v>11530</v>
      </c>
      <c r="BB111" s="1">
        <f>AI111</f>
        <v>22.114000000000001</v>
      </c>
      <c r="BD111" s="1">
        <f>N111</f>
        <v>1</v>
      </c>
    </row>
    <row r="112" spans="1:56" x14ac:dyDescent="0.25">
      <c r="A112" s="1">
        <v>600001031</v>
      </c>
      <c r="B112" s="1">
        <v>1100</v>
      </c>
      <c r="C112" s="1">
        <v>2200001473</v>
      </c>
      <c r="D112" s="1" t="s">
        <v>303</v>
      </c>
      <c r="E112" s="1">
        <f>IF(AND(B112&lt;&gt;1110,B112&lt;&gt;1210,B112&lt;&gt;1510,B112&lt;&gt;1710),B112,IF(B112=1110,"1100",IF(B112=1210,"1200",IF(B112=1510,"1500",IF(B112=1710,"1700","X")))))</f>
        <v>1100</v>
      </c>
      <c r="F112" s="1" t="s">
        <v>11198</v>
      </c>
      <c r="G112" s="1" t="s">
        <v>302</v>
      </c>
      <c r="H112" s="1">
        <f>ROUND(P112/(1-((R112+S112))/100)*Q112, 3)</f>
        <v>57.47</v>
      </c>
      <c r="I112" s="1">
        <v>0.45</v>
      </c>
      <c r="J112" s="1">
        <v>2</v>
      </c>
      <c r="K112" s="1">
        <v>1</v>
      </c>
      <c r="L112" s="1" t="s">
        <v>292</v>
      </c>
      <c r="M112" s="1">
        <v>1</v>
      </c>
      <c r="N112" s="1">
        <v>1</v>
      </c>
      <c r="O112" s="1" t="s">
        <v>296</v>
      </c>
      <c r="P112" s="1">
        <v>48.131</v>
      </c>
      <c r="Q112" s="1">
        <v>1</v>
      </c>
      <c r="R112" s="1">
        <v>7</v>
      </c>
      <c r="S112" s="1">
        <v>9.25</v>
      </c>
      <c r="T112" s="1">
        <v>0</v>
      </c>
      <c r="V112" s="1" t="s">
        <v>11223</v>
      </c>
      <c r="W112" s="1">
        <v>100</v>
      </c>
      <c r="X112" s="1" t="s">
        <v>368</v>
      </c>
      <c r="Y112" s="1" t="s">
        <v>299</v>
      </c>
      <c r="Z112" s="1">
        <v>1</v>
      </c>
      <c r="AA112" s="1">
        <f>ROUND(H112*I112*Z112, 3)</f>
        <v>25.861999999999998</v>
      </c>
      <c r="AB112" s="1">
        <f>ROUND(VLOOKUP(X112,'Base de dados'!A:B, 2, 0)*AA112, 2)</f>
        <v>2.59</v>
      </c>
      <c r="AC112" s="1">
        <f>ROUND((AA112*(Destino!AG112/100))*(W112/100),2)</f>
        <v>1.81</v>
      </c>
      <c r="AD112" s="1">
        <f>ROUND(AA112*(Destino!AH112/100),2)</f>
        <v>2.39</v>
      </c>
      <c r="AF112" s="1">
        <f>ROUND((AA112+ AB112)*(J112/100),2)</f>
        <v>0.56999999999999995</v>
      </c>
      <c r="AG112" s="1">
        <f>ROUND(AA112*T112,2)</f>
        <v>0</v>
      </c>
      <c r="AH112" s="1">
        <f>ROUND(AA112-(AC112+AD112)+AF112+AG112, 3)</f>
        <v>22.231999999999999</v>
      </c>
      <c r="AI112" s="1">
        <f>AH112*M112*K112</f>
        <v>22.231999999999999</v>
      </c>
      <c r="BA112" s="1" t="s">
        <v>11531</v>
      </c>
      <c r="BB112" s="1">
        <f>AI112</f>
        <v>22.231999999999999</v>
      </c>
      <c r="BD112" s="1">
        <f>N112</f>
        <v>1</v>
      </c>
    </row>
    <row r="113" spans="1:56" x14ac:dyDescent="0.25">
      <c r="A113" s="1">
        <v>600001031</v>
      </c>
      <c r="B113" s="1">
        <v>1110</v>
      </c>
      <c r="C113" s="1">
        <v>2200001473</v>
      </c>
      <c r="D113" s="1" t="s">
        <v>303</v>
      </c>
      <c r="E113" s="1" t="str">
        <f>IF(AND(B113&lt;&gt;1110,B113&lt;&gt;1210,B113&lt;&gt;1510,B113&lt;&gt;1710),B113,IF(B113=1110,"1100",IF(B113=1210,"1200",IF(B113=1510,"1500",IF(B113=1710,"1700","X")))))</f>
        <v>1100</v>
      </c>
      <c r="F113" s="1" t="s">
        <v>447</v>
      </c>
      <c r="G113" s="1" t="s">
        <v>302</v>
      </c>
      <c r="H113" s="1">
        <f>ROUND(P113/(1-((R113+S113))/100)*Q113, 3)</f>
        <v>57.47</v>
      </c>
      <c r="I113" s="1">
        <v>0.45</v>
      </c>
      <c r="J113" s="1">
        <v>4</v>
      </c>
      <c r="K113" s="1">
        <v>1</v>
      </c>
      <c r="L113" s="1" t="s">
        <v>292</v>
      </c>
      <c r="M113" s="1">
        <v>1</v>
      </c>
      <c r="N113" s="1">
        <v>0.75265800000000005</v>
      </c>
      <c r="O113" s="1" t="s">
        <v>296</v>
      </c>
      <c r="P113" s="1">
        <v>48.131</v>
      </c>
      <c r="Q113" s="1">
        <v>1</v>
      </c>
      <c r="R113" s="1">
        <v>7</v>
      </c>
      <c r="S113" s="1">
        <v>9.25</v>
      </c>
      <c r="T113" s="1">
        <v>0</v>
      </c>
      <c r="V113" s="1" t="s">
        <v>11223</v>
      </c>
      <c r="W113" s="1">
        <v>100</v>
      </c>
      <c r="X113" s="1" t="s">
        <v>368</v>
      </c>
      <c r="Y113" s="1" t="s">
        <v>299</v>
      </c>
      <c r="Z113" s="1">
        <v>1</v>
      </c>
      <c r="AA113" s="1">
        <f>ROUND(H113*I113*Z113, 3)</f>
        <v>25.861999999999998</v>
      </c>
      <c r="AB113" s="1">
        <f>ROUND(VLOOKUP(X113,'Base de dados'!A:B, 2, 0)*AA113, 2)</f>
        <v>2.59</v>
      </c>
      <c r="AC113" s="1">
        <f>ROUND((AA113*(Destino!AG113/100))*(W113/100),2)</f>
        <v>1.81</v>
      </c>
      <c r="AD113" s="1">
        <f>ROUND(AA113*(Destino!AH113/100),2)</f>
        <v>2.39</v>
      </c>
      <c r="AE113" s="1">
        <f>ROUND((((AA113+AB113)*1.5039)*(Destino!AI113/100))-AC113,2)</f>
        <v>5.46</v>
      </c>
      <c r="AF113" s="1">
        <f>ROUND((AA113+AB113+AE113)*(J113/100),2)</f>
        <v>1.36</v>
      </c>
      <c r="AG113" s="1">
        <f>ROUND(AA113*T113,2)</f>
        <v>0</v>
      </c>
      <c r="AH113" s="1">
        <f>ROUND(AA113-AD113+AE113+AF113+AG113, 3)</f>
        <v>30.292000000000002</v>
      </c>
      <c r="AI113" s="1">
        <f>AH113*M113*K113</f>
        <v>30.292000000000002</v>
      </c>
      <c r="BA113" s="1" t="s">
        <v>11532</v>
      </c>
      <c r="BB113" s="1">
        <f>AI113</f>
        <v>30.292000000000002</v>
      </c>
      <c r="BD113" s="1">
        <f>N113</f>
        <v>0.75265800000000005</v>
      </c>
    </row>
    <row r="114" spans="1:56" x14ac:dyDescent="0.25">
      <c r="A114" s="1">
        <v>600001031</v>
      </c>
      <c r="B114" s="1">
        <v>1400</v>
      </c>
      <c r="C114" s="1">
        <v>2200001473</v>
      </c>
      <c r="D114" s="1" t="s">
        <v>303</v>
      </c>
      <c r="E114" s="1">
        <f>IF(AND(B114&lt;&gt;1110,B114&lt;&gt;1210,B114&lt;&gt;1510,B114&lt;&gt;1710),B114,IF(B114=1110,"1100",IF(B114=1210,"1200",IF(B114=1510,"1500",IF(B114=1710,"1700","X")))))</f>
        <v>1400</v>
      </c>
      <c r="F114" s="1" t="s">
        <v>11198</v>
      </c>
      <c r="G114" s="1" t="s">
        <v>302</v>
      </c>
      <c r="H114" s="1">
        <f>ROUND(P114/(1-((R114+S114))/100)*Q114, 3)</f>
        <v>66.159000000000006</v>
      </c>
      <c r="I114" s="1">
        <v>0.45</v>
      </c>
      <c r="J114" s="1">
        <v>1.5</v>
      </c>
      <c r="K114" s="1">
        <v>1</v>
      </c>
      <c r="L114" s="1" t="s">
        <v>292</v>
      </c>
      <c r="M114" s="1">
        <v>1</v>
      </c>
      <c r="N114" s="1">
        <v>1</v>
      </c>
      <c r="O114" s="1" t="s">
        <v>296</v>
      </c>
      <c r="P114" s="1">
        <v>48.131</v>
      </c>
      <c r="Q114" s="1">
        <v>1</v>
      </c>
      <c r="R114" s="1">
        <v>18</v>
      </c>
      <c r="S114" s="1">
        <v>9.25</v>
      </c>
      <c r="T114" s="1">
        <v>0</v>
      </c>
      <c r="V114" s="1" t="s">
        <v>11223</v>
      </c>
      <c r="W114" s="1">
        <v>100</v>
      </c>
      <c r="X114" s="1" t="s">
        <v>368</v>
      </c>
      <c r="Y114" s="1" t="s">
        <v>299</v>
      </c>
      <c r="Z114" s="1">
        <v>1</v>
      </c>
      <c r="AA114" s="1">
        <f>ROUND(H114*I114*Z114, 3)</f>
        <v>29.771999999999998</v>
      </c>
      <c r="AB114" s="1">
        <f>ROUND(VLOOKUP(X114,'Base de dados'!A:B, 2, 0)*AA114, 2)</f>
        <v>2.98</v>
      </c>
      <c r="AC114" s="1">
        <f>ROUND((AA114*(Destino!AG114/100))*(W114/100),2)</f>
        <v>5.36</v>
      </c>
      <c r="AD114" s="1">
        <f>ROUND(AA114*(Destino!AH114/100),2)</f>
        <v>2.75</v>
      </c>
      <c r="AF114" s="1">
        <f>ROUND((AA114+ AB114)*(J114/100),2)</f>
        <v>0.49</v>
      </c>
      <c r="AG114" s="1">
        <f>ROUND(AA114*T114,2)</f>
        <v>0</v>
      </c>
      <c r="AH114" s="1">
        <f>ROUND(AA114-(AC114+AD114)+AF114+AG114, 3)</f>
        <v>22.152000000000001</v>
      </c>
      <c r="AI114" s="1">
        <f>AH114*M114*K114</f>
        <v>22.152000000000001</v>
      </c>
      <c r="BA114" s="1" t="s">
        <v>11371</v>
      </c>
      <c r="BB114" s="1">
        <f>AI114</f>
        <v>22.152000000000001</v>
      </c>
      <c r="BD114" s="1">
        <f>N114</f>
        <v>1</v>
      </c>
    </row>
    <row r="115" spans="1:56" x14ac:dyDescent="0.25">
      <c r="A115" s="1">
        <v>600001031</v>
      </c>
      <c r="B115" s="1">
        <v>1700</v>
      </c>
      <c r="C115" s="1">
        <v>2200001421</v>
      </c>
      <c r="D115" s="1" t="s">
        <v>303</v>
      </c>
      <c r="E115" s="1">
        <f>IF(AND(B115&lt;&gt;1110,B115&lt;&gt;1210,B115&lt;&gt;1510,B115&lt;&gt;1710),B115,IF(B115=1110,"1100",IF(B115=1210,"1200",IF(B115=1510,"1500",IF(B115=1710,"1700","X")))))</f>
        <v>1700</v>
      </c>
      <c r="F115" s="1" t="s">
        <v>11238</v>
      </c>
      <c r="G115" s="1" t="s">
        <v>302</v>
      </c>
      <c r="H115" s="1">
        <f>ROUND(P115/(1-((R115+S115))/100)*Q115, 3)</f>
        <v>26.45</v>
      </c>
      <c r="I115" s="1">
        <v>0.25</v>
      </c>
      <c r="J115" s="1">
        <v>3</v>
      </c>
      <c r="K115" s="1">
        <v>1</v>
      </c>
      <c r="L115" s="1" t="s">
        <v>292</v>
      </c>
      <c r="M115" s="1">
        <v>4</v>
      </c>
      <c r="N115" s="1">
        <v>1</v>
      </c>
      <c r="O115" s="1" t="s">
        <v>296</v>
      </c>
      <c r="P115" s="1">
        <f>IFERROR(VLOOKUP(BC115, BA:BA:BB:BB, 2, 0),)</f>
        <v>22.152000000000001</v>
      </c>
      <c r="Q115" s="1">
        <f>IFERROR(VLOOKUP(BC115, BA:BA:BD:BD, 4, 0),1)</f>
        <v>1</v>
      </c>
      <c r="R115" s="1">
        <v>7</v>
      </c>
      <c r="S115" s="1">
        <v>9.25</v>
      </c>
      <c r="T115" s="1">
        <v>0</v>
      </c>
      <c r="V115" s="1" t="s">
        <v>11223</v>
      </c>
      <c r="W115" s="1">
        <v>100</v>
      </c>
      <c r="X115" s="1" t="s">
        <v>368</v>
      </c>
      <c r="Y115" s="1" t="s">
        <v>299</v>
      </c>
      <c r="Z115" s="1">
        <v>1</v>
      </c>
      <c r="AA115" s="1">
        <f>ROUND(H115*I115*Z115, 3)</f>
        <v>6.6130000000000004</v>
      </c>
      <c r="AB115" s="1">
        <f>ROUND(VLOOKUP(X115,'Base de dados'!A:B, 2, 0)*AA115, 2)</f>
        <v>0.66</v>
      </c>
      <c r="AC115" s="1">
        <f>ROUND((AA115*(Destino!AG115/100))*(W115/100),2)</f>
        <v>0.46</v>
      </c>
      <c r="AD115" s="1">
        <f>ROUND(AA115*(Destino!AH115/100),2)</f>
        <v>0</v>
      </c>
      <c r="AE115" s="1">
        <f>ROUND((((AA115+AB115)*1.48)*(Destino!AI115/100))-AC115,2)</f>
        <v>1.37</v>
      </c>
      <c r="AF115" s="1">
        <f>ROUND((AA115+AB115+AE115)*(J115/100),2)</f>
        <v>0.26</v>
      </c>
      <c r="AG115" s="1">
        <f>ROUND(AA115*T115,2)</f>
        <v>0</v>
      </c>
      <c r="AH115" s="1">
        <f>ROUND(AA115+AB115-AD115+AE115+AF115+AG115, 3)</f>
        <v>8.9030000000000005</v>
      </c>
      <c r="AI115" s="1">
        <f>AH115*M115*K115</f>
        <v>35.612000000000002</v>
      </c>
      <c r="BA115" s="1" t="s">
        <v>11270</v>
      </c>
      <c r="BB115" s="1">
        <f>AI115</f>
        <v>35.612000000000002</v>
      </c>
      <c r="BC115" s="1" t="s">
        <v>11371</v>
      </c>
      <c r="BD115" s="1">
        <f>N115</f>
        <v>1</v>
      </c>
    </row>
    <row r="116" spans="1:56" x14ac:dyDescent="0.25">
      <c r="A116" s="1">
        <v>600001039</v>
      </c>
      <c r="B116" s="1">
        <v>1000</v>
      </c>
      <c r="C116" s="1">
        <v>2200001473</v>
      </c>
      <c r="D116" s="1" t="s">
        <v>303</v>
      </c>
      <c r="E116" s="1">
        <f>IF(AND(B116&lt;&gt;1110,B116&lt;&gt;1210,B116&lt;&gt;1510,B116&lt;&gt;1710),B116,IF(B116=1110,"1100",IF(B116=1210,"1200",IF(B116=1510,"1500",IF(B116=1710,"1700","X")))))</f>
        <v>1000</v>
      </c>
      <c r="F116" s="1" t="s">
        <v>11198</v>
      </c>
      <c r="G116" s="1" t="s">
        <v>302</v>
      </c>
      <c r="H116" s="1">
        <f>ROUND(P116/(1-((R116+S116))/100)*Q116, 3)</f>
        <v>35.423000000000002</v>
      </c>
      <c r="I116" s="1">
        <v>0.45</v>
      </c>
      <c r="J116" s="1">
        <v>1.5</v>
      </c>
      <c r="K116" s="1">
        <v>1</v>
      </c>
      <c r="L116" s="1" t="s">
        <v>292</v>
      </c>
      <c r="M116" s="1">
        <v>1</v>
      </c>
      <c r="N116" s="1">
        <v>1</v>
      </c>
      <c r="O116" s="1" t="s">
        <v>296</v>
      </c>
      <c r="P116" s="1">
        <v>27.896000000000001</v>
      </c>
      <c r="Q116" s="1">
        <v>1</v>
      </c>
      <c r="R116" s="1">
        <v>12</v>
      </c>
      <c r="S116" s="1">
        <v>9.25</v>
      </c>
      <c r="T116" s="1">
        <v>0</v>
      </c>
      <c r="V116" s="1" t="s">
        <v>11223</v>
      </c>
      <c r="W116" s="1">
        <v>100</v>
      </c>
      <c r="X116" s="1" t="s">
        <v>375</v>
      </c>
      <c r="Y116" s="1" t="s">
        <v>299</v>
      </c>
      <c r="Z116" s="1">
        <v>1</v>
      </c>
      <c r="AA116" s="1">
        <f>ROUND(H116*I116*Z116, 3)</f>
        <v>15.94</v>
      </c>
      <c r="AB116" s="1">
        <f>ROUND(VLOOKUP(X116,'Base de dados'!A:B, 2, 0)*AA116, 2)</f>
        <v>1.59</v>
      </c>
      <c r="AC116" s="1">
        <f>ROUND((AA116*(Destino!AG116/100))*(W116/100),2)</f>
        <v>1.91</v>
      </c>
      <c r="AD116" s="1">
        <f>ROUND(AA116*(Destino!AH116/100),2)</f>
        <v>1.47</v>
      </c>
      <c r="AF116" s="1">
        <f>ROUND((AA116+ AB116)*(J116/100),2)</f>
        <v>0.26</v>
      </c>
      <c r="AG116" s="1">
        <f>ROUND(AA116*T116,2)</f>
        <v>0</v>
      </c>
      <c r="AH116" s="1">
        <f>ROUND(AA116-(AC116+AD116)+AF116+AG116, 3)</f>
        <v>12.82</v>
      </c>
      <c r="AI116" s="1">
        <f>AH116*M116*K116</f>
        <v>12.82</v>
      </c>
      <c r="BA116" s="1" t="s">
        <v>11533</v>
      </c>
      <c r="BB116" s="1">
        <f>AI116</f>
        <v>12.82</v>
      </c>
      <c r="BD116" s="1">
        <f>N116</f>
        <v>1</v>
      </c>
    </row>
    <row r="117" spans="1:56" x14ac:dyDescent="0.25">
      <c r="A117" s="1">
        <v>600001039</v>
      </c>
      <c r="B117" s="1">
        <v>1100</v>
      </c>
      <c r="C117" s="1">
        <v>2200001473</v>
      </c>
      <c r="D117" s="1" t="s">
        <v>303</v>
      </c>
      <c r="E117" s="1">
        <f>IF(AND(B117&lt;&gt;1110,B117&lt;&gt;1210,B117&lt;&gt;1510,B117&lt;&gt;1710),B117,IF(B117=1110,"1100",IF(B117=1210,"1200",IF(B117=1510,"1500",IF(B117=1710,"1700","X")))))</f>
        <v>1100</v>
      </c>
      <c r="F117" s="1" t="s">
        <v>11198</v>
      </c>
      <c r="G117" s="1" t="s">
        <v>302</v>
      </c>
      <c r="H117" s="1">
        <f>ROUND(P117/(1-((R117+S117))/100)*Q117, 3)</f>
        <v>33.313000000000002</v>
      </c>
      <c r="I117" s="1">
        <v>0.45</v>
      </c>
      <c r="J117" s="1">
        <v>2</v>
      </c>
      <c r="K117" s="1">
        <v>1</v>
      </c>
      <c r="L117" s="1" t="s">
        <v>292</v>
      </c>
      <c r="M117" s="1">
        <v>1</v>
      </c>
      <c r="N117" s="1">
        <v>1</v>
      </c>
      <c r="O117" s="1" t="s">
        <v>296</v>
      </c>
      <c r="P117" s="1">
        <v>27.9</v>
      </c>
      <c r="Q117" s="1">
        <v>1</v>
      </c>
      <c r="R117" s="1">
        <v>7</v>
      </c>
      <c r="S117" s="1">
        <v>9.25</v>
      </c>
      <c r="T117" s="1">
        <v>0</v>
      </c>
      <c r="V117" s="1" t="s">
        <v>11223</v>
      </c>
      <c r="W117" s="1">
        <v>100</v>
      </c>
      <c r="X117" s="1" t="s">
        <v>375</v>
      </c>
      <c r="Y117" s="1" t="s">
        <v>299</v>
      </c>
      <c r="Z117" s="1">
        <v>1</v>
      </c>
      <c r="AA117" s="1">
        <f>ROUND(H117*I117*Z117, 3)</f>
        <v>14.991</v>
      </c>
      <c r="AB117" s="1">
        <f>ROUND(VLOOKUP(X117,'Base de dados'!A:B, 2, 0)*AA117, 2)</f>
        <v>1.5</v>
      </c>
      <c r="AC117" s="1">
        <f>ROUND((AA117*(Destino!AG117/100))*(W117/100),2)</f>
        <v>1.05</v>
      </c>
      <c r="AD117" s="1">
        <f>ROUND(AA117*(Destino!AH117/100),2)</f>
        <v>1.39</v>
      </c>
      <c r="AF117" s="1">
        <f>ROUND((AA117+ AB117)*(J117/100),2)</f>
        <v>0.33</v>
      </c>
      <c r="AG117" s="1">
        <f>ROUND(AA117*T117,2)</f>
        <v>0</v>
      </c>
      <c r="AH117" s="1">
        <f>ROUND(AA117-(AC117+AD117)+AF117+AG117, 3)</f>
        <v>12.881</v>
      </c>
      <c r="AI117" s="1">
        <f>AH117*M117*K117</f>
        <v>12.881</v>
      </c>
      <c r="BA117" s="1" t="s">
        <v>11534</v>
      </c>
      <c r="BB117" s="1">
        <f>AI117</f>
        <v>12.881</v>
      </c>
      <c r="BD117" s="1">
        <f>N117</f>
        <v>1</v>
      </c>
    </row>
    <row r="118" spans="1:56" x14ac:dyDescent="0.25">
      <c r="A118" s="1">
        <v>600001039</v>
      </c>
      <c r="B118" s="1">
        <v>1110</v>
      </c>
      <c r="C118" s="1">
        <v>2200001473</v>
      </c>
      <c r="D118" s="1" t="s">
        <v>303</v>
      </c>
      <c r="E118" s="1" t="str">
        <f>IF(AND(B118&lt;&gt;1110,B118&lt;&gt;1210,B118&lt;&gt;1510,B118&lt;&gt;1710),B118,IF(B118=1110,"1100",IF(B118=1210,"1200",IF(B118=1510,"1500",IF(B118=1710,"1700","X")))))</f>
        <v>1100</v>
      </c>
      <c r="F118" s="1" t="s">
        <v>447</v>
      </c>
      <c r="G118" s="1" t="s">
        <v>302</v>
      </c>
      <c r="H118" s="1">
        <f>ROUND(P118/(1-((R118+S118))/100)*Q118, 3)</f>
        <v>33.313000000000002</v>
      </c>
      <c r="I118" s="1">
        <v>0.45</v>
      </c>
      <c r="J118" s="1">
        <v>4</v>
      </c>
      <c r="K118" s="1">
        <v>1</v>
      </c>
      <c r="L118" s="1" t="s">
        <v>292</v>
      </c>
      <c r="M118" s="1">
        <v>1</v>
      </c>
      <c r="N118" s="1">
        <v>0.75229199999999996</v>
      </c>
      <c r="O118" s="1" t="s">
        <v>296</v>
      </c>
      <c r="P118" s="1">
        <v>27.9</v>
      </c>
      <c r="Q118" s="1">
        <v>1</v>
      </c>
      <c r="R118" s="1">
        <v>7</v>
      </c>
      <c r="S118" s="1">
        <v>9.25</v>
      </c>
      <c r="T118" s="1">
        <v>0</v>
      </c>
      <c r="V118" s="1" t="s">
        <v>11223</v>
      </c>
      <c r="W118" s="1">
        <v>100</v>
      </c>
      <c r="X118" s="1" t="s">
        <v>375</v>
      </c>
      <c r="Y118" s="1" t="s">
        <v>299</v>
      </c>
      <c r="Z118" s="1">
        <v>1</v>
      </c>
      <c r="AA118" s="1">
        <f>ROUND(H118*I118*Z118, 3)</f>
        <v>14.991</v>
      </c>
      <c r="AB118" s="1">
        <f>ROUND(VLOOKUP(X118,'Base de dados'!A:B, 2, 0)*AA118, 2)</f>
        <v>1.5</v>
      </c>
      <c r="AC118" s="1">
        <f>ROUND((AA118*(Destino!AG118/100))*(W118/100),2)</f>
        <v>1.05</v>
      </c>
      <c r="AD118" s="1">
        <f>ROUND(AA118*(Destino!AH118/100),2)</f>
        <v>1.39</v>
      </c>
      <c r="AE118" s="1">
        <f>ROUND((((AA118+AB118)*1.5039)*(Destino!AI118/100))-AC118,2)</f>
        <v>3.17</v>
      </c>
      <c r="AF118" s="1">
        <f>ROUND((AA118+AB118+AE118)*(J118/100),2)</f>
        <v>0.79</v>
      </c>
      <c r="AG118" s="1">
        <f>ROUND(AA118*T118,2)</f>
        <v>0</v>
      </c>
      <c r="AH118" s="1">
        <f>ROUND(AA118-AD118+AE118+AF118+AG118, 3)</f>
        <v>17.561</v>
      </c>
      <c r="AI118" s="1">
        <f>AH118*M118*K118</f>
        <v>17.561</v>
      </c>
      <c r="BA118" s="1" t="s">
        <v>11535</v>
      </c>
      <c r="BB118" s="1">
        <f>AI118</f>
        <v>17.561</v>
      </c>
      <c r="BD118" s="1">
        <f>N118</f>
        <v>0.75229199999999996</v>
      </c>
    </row>
    <row r="119" spans="1:56" x14ac:dyDescent="0.25">
      <c r="A119" s="1">
        <v>600001039</v>
      </c>
      <c r="B119" s="1">
        <v>1400</v>
      </c>
      <c r="C119" s="1">
        <v>2200001473</v>
      </c>
      <c r="D119" s="1" t="s">
        <v>303</v>
      </c>
      <c r="E119" s="1">
        <f>IF(AND(B119&lt;&gt;1110,B119&lt;&gt;1210,B119&lt;&gt;1510,B119&lt;&gt;1710),B119,IF(B119=1110,"1100",IF(B119=1210,"1200",IF(B119=1510,"1500",IF(B119=1710,"1700","X")))))</f>
        <v>1400</v>
      </c>
      <c r="F119" s="1" t="s">
        <v>11198</v>
      </c>
      <c r="G119" s="1" t="s">
        <v>302</v>
      </c>
      <c r="H119" s="1">
        <f>ROUND(P119/(1-((R119+S119))/100)*Q119, 3)</f>
        <v>38.350999999999999</v>
      </c>
      <c r="I119" s="1">
        <v>0.45</v>
      </c>
      <c r="J119" s="1">
        <v>1.5</v>
      </c>
      <c r="K119" s="1">
        <v>1</v>
      </c>
      <c r="L119" s="1" t="s">
        <v>292</v>
      </c>
      <c r="M119" s="1">
        <v>1</v>
      </c>
      <c r="N119" s="1">
        <v>1</v>
      </c>
      <c r="O119" s="1" t="s">
        <v>296</v>
      </c>
      <c r="P119" s="1">
        <v>27.9</v>
      </c>
      <c r="Q119" s="1">
        <v>1</v>
      </c>
      <c r="R119" s="1">
        <v>18</v>
      </c>
      <c r="S119" s="1">
        <v>9.25</v>
      </c>
      <c r="T119" s="1">
        <v>0</v>
      </c>
      <c r="V119" s="1" t="s">
        <v>11223</v>
      </c>
      <c r="W119" s="1">
        <v>100</v>
      </c>
      <c r="X119" s="1" t="s">
        <v>375</v>
      </c>
      <c r="Y119" s="1" t="s">
        <v>299</v>
      </c>
      <c r="Z119" s="1">
        <v>1</v>
      </c>
      <c r="AA119" s="1">
        <f>ROUND(H119*I119*Z119, 3)</f>
        <v>17.257999999999999</v>
      </c>
      <c r="AB119" s="1">
        <f>ROUND(VLOOKUP(X119,'Base de dados'!A:B, 2, 0)*AA119, 2)</f>
        <v>1.73</v>
      </c>
      <c r="AC119" s="1">
        <f>ROUND((AA119*(Destino!AG119/100))*(W119/100),2)</f>
        <v>3.11</v>
      </c>
      <c r="AD119" s="1">
        <f>ROUND(AA119*(Destino!AH119/100),2)</f>
        <v>1.6</v>
      </c>
      <c r="AF119" s="1">
        <f>ROUND((AA119+ AB119)*(J119/100),2)</f>
        <v>0.28000000000000003</v>
      </c>
      <c r="AG119" s="1">
        <f>ROUND(AA119*T119,2)</f>
        <v>0</v>
      </c>
      <c r="AH119" s="1">
        <f>ROUND(AA119-(AC119+AD119)+AF119+AG119, 3)</f>
        <v>12.827999999999999</v>
      </c>
      <c r="AI119" s="1">
        <f>AH119*M119*K119</f>
        <v>12.827999999999999</v>
      </c>
      <c r="BA119" s="1" t="s">
        <v>11372</v>
      </c>
      <c r="BB119" s="1">
        <f>AI119</f>
        <v>12.827999999999999</v>
      </c>
      <c r="BD119" s="1">
        <f>N119</f>
        <v>1</v>
      </c>
    </row>
    <row r="120" spans="1:56" x14ac:dyDescent="0.25">
      <c r="A120" s="1">
        <v>600001039</v>
      </c>
      <c r="B120" s="1">
        <v>1700</v>
      </c>
      <c r="C120" s="1">
        <v>2200001421</v>
      </c>
      <c r="D120" s="1" t="s">
        <v>303</v>
      </c>
      <c r="E120" s="1">
        <f>IF(AND(B120&lt;&gt;1110,B120&lt;&gt;1210,B120&lt;&gt;1510,B120&lt;&gt;1710),B120,IF(B120=1110,"1100",IF(B120=1210,"1200",IF(B120=1510,"1500",IF(B120=1710,"1700","X")))))</f>
        <v>1700</v>
      </c>
      <c r="F120" s="1" t="s">
        <v>11238</v>
      </c>
      <c r="G120" s="1" t="s">
        <v>302</v>
      </c>
      <c r="H120" s="1">
        <f>ROUND(P120/(1-((R120+S120))/100)*Q120, 3)</f>
        <v>15.317</v>
      </c>
      <c r="I120" s="1">
        <v>0.25</v>
      </c>
      <c r="J120" s="1">
        <v>3</v>
      </c>
      <c r="K120" s="1">
        <v>1</v>
      </c>
      <c r="L120" s="1" t="s">
        <v>292</v>
      </c>
      <c r="M120" s="1">
        <v>4</v>
      </c>
      <c r="N120" s="1">
        <v>1</v>
      </c>
      <c r="O120" s="1" t="s">
        <v>296</v>
      </c>
      <c r="P120" s="1">
        <f>IFERROR(VLOOKUP(BC120, BA:BA:BB:BB, 2, 0),)</f>
        <v>12.827999999999999</v>
      </c>
      <c r="Q120" s="1">
        <f>IFERROR(VLOOKUP(BC120, BA:BA:BD:BD, 4, 0),1)</f>
        <v>1</v>
      </c>
      <c r="R120" s="1">
        <v>7</v>
      </c>
      <c r="S120" s="1">
        <v>9.25</v>
      </c>
      <c r="T120" s="1">
        <v>0</v>
      </c>
      <c r="V120" s="1" t="s">
        <v>11223</v>
      </c>
      <c r="W120" s="1">
        <v>100</v>
      </c>
      <c r="X120" s="1" t="s">
        <v>375</v>
      </c>
      <c r="Y120" s="1" t="s">
        <v>299</v>
      </c>
      <c r="Z120" s="1">
        <v>1</v>
      </c>
      <c r="AA120" s="1">
        <f>ROUND(H120*I120*Z120, 3)</f>
        <v>3.8290000000000002</v>
      </c>
      <c r="AB120" s="1">
        <f>ROUND(VLOOKUP(X120,'Base de dados'!A:B, 2, 0)*AA120, 2)</f>
        <v>0.38</v>
      </c>
      <c r="AC120" s="1">
        <f>ROUND((AA120*(Destino!AG120/100))*(W120/100),2)</f>
        <v>0.27</v>
      </c>
      <c r="AD120" s="1">
        <f>ROUND(AA120*(Destino!AH120/100),2)</f>
        <v>0</v>
      </c>
      <c r="AE120" s="1">
        <f>ROUND((((AA120+AB120)*1.48)*(Destino!AI120/100))-AC120,2)</f>
        <v>0.79</v>
      </c>
      <c r="AF120" s="1">
        <f>ROUND((AA120+AB120+AE120)*(J120/100),2)</f>
        <v>0.15</v>
      </c>
      <c r="AG120" s="1">
        <f>ROUND(AA120*T120,2)</f>
        <v>0</v>
      </c>
      <c r="AH120" s="1">
        <f>ROUND(AA120+AB120-AD120+AE120+AF120+AG120, 3)</f>
        <v>5.149</v>
      </c>
      <c r="AI120" s="1">
        <f>AH120*M120*K120</f>
        <v>20.596</v>
      </c>
      <c r="BA120" s="1" t="s">
        <v>11271</v>
      </c>
      <c r="BB120" s="1">
        <f>AI120</f>
        <v>20.596</v>
      </c>
      <c r="BC120" s="1" t="s">
        <v>11372</v>
      </c>
      <c r="BD120" s="1">
        <f>N120</f>
        <v>1</v>
      </c>
    </row>
    <row r="121" spans="1:56" x14ac:dyDescent="0.25">
      <c r="A121" s="1">
        <v>600001041</v>
      </c>
      <c r="B121" s="1">
        <v>1000</v>
      </c>
      <c r="C121" s="1">
        <v>2200001473</v>
      </c>
      <c r="D121" s="1" t="s">
        <v>303</v>
      </c>
      <c r="E121" s="1">
        <f>IF(AND(B121&lt;&gt;1110,B121&lt;&gt;1210,B121&lt;&gt;1510,B121&lt;&gt;1710),B121,IF(B121=1110,"1100",IF(B121=1210,"1200",IF(B121=1510,"1500",IF(B121=1710,"1700","X")))))</f>
        <v>1000</v>
      </c>
      <c r="F121" s="1" t="s">
        <v>11198</v>
      </c>
      <c r="G121" s="1" t="s">
        <v>302</v>
      </c>
      <c r="H121" s="1">
        <f>ROUND(P121/(1-((R121+S121))/100)*Q121, 3)</f>
        <v>58.466999999999999</v>
      </c>
      <c r="I121" s="1">
        <v>0.45</v>
      </c>
      <c r="J121" s="1">
        <v>1.5</v>
      </c>
      <c r="K121" s="1">
        <v>1</v>
      </c>
      <c r="L121" s="1" t="s">
        <v>292</v>
      </c>
      <c r="M121" s="1">
        <v>1</v>
      </c>
      <c r="N121" s="1">
        <v>1</v>
      </c>
      <c r="O121" s="1" t="s">
        <v>296</v>
      </c>
      <c r="P121" s="1">
        <v>46.042999999999999</v>
      </c>
      <c r="Q121" s="1">
        <v>1</v>
      </c>
      <c r="R121" s="1">
        <v>12</v>
      </c>
      <c r="S121" s="1">
        <v>9.25</v>
      </c>
      <c r="T121" s="1">
        <v>0</v>
      </c>
      <c r="V121" s="1" t="s">
        <v>11223</v>
      </c>
      <c r="W121" s="1">
        <v>100</v>
      </c>
      <c r="X121" s="1" t="s">
        <v>319</v>
      </c>
      <c r="Y121" s="1" t="s">
        <v>299</v>
      </c>
      <c r="Z121" s="1">
        <v>1</v>
      </c>
      <c r="AA121" s="1">
        <f>ROUND(H121*I121*Z121, 3)</f>
        <v>26.31</v>
      </c>
      <c r="AB121" s="1">
        <f>ROUND(VLOOKUP(X121,'Base de dados'!A:B, 2, 0)*AA121, 2)</f>
        <v>2.63</v>
      </c>
      <c r="AC121" s="1">
        <f>ROUND((AA121*(Destino!AG121/100))*(W121/100),2)</f>
        <v>3.16</v>
      </c>
      <c r="AD121" s="1">
        <f>ROUND(AA121*(Destino!AH121/100),2)</f>
        <v>2.4300000000000002</v>
      </c>
      <c r="AF121" s="1">
        <f>ROUND((AA121+ AB121)*(J121/100),2)</f>
        <v>0.43</v>
      </c>
      <c r="AG121" s="1">
        <f>ROUND(AA121*T121,2)</f>
        <v>0</v>
      </c>
      <c r="AH121" s="1">
        <f>ROUND(AA121-(AC121+AD121)+AF121+AG121, 3)</f>
        <v>21.15</v>
      </c>
      <c r="AI121" s="1">
        <f>AH121*M121*K121</f>
        <v>21.15</v>
      </c>
      <c r="BA121" s="1" t="s">
        <v>11536</v>
      </c>
      <c r="BB121" s="1">
        <f>AI121</f>
        <v>21.15</v>
      </c>
      <c r="BD121" s="1">
        <f>N121</f>
        <v>1</v>
      </c>
    </row>
    <row r="122" spans="1:56" x14ac:dyDescent="0.25">
      <c r="A122" s="1">
        <v>600001041</v>
      </c>
      <c r="B122" s="1">
        <v>1100</v>
      </c>
      <c r="C122" s="1">
        <v>2200001473</v>
      </c>
      <c r="D122" s="1" t="s">
        <v>303</v>
      </c>
      <c r="E122" s="1">
        <f>IF(AND(B122&lt;&gt;1110,B122&lt;&gt;1210,B122&lt;&gt;1510,B122&lt;&gt;1710),B122,IF(B122=1110,"1100",IF(B122=1210,"1200",IF(B122=1510,"1500",IF(B122=1710,"1700","X")))))</f>
        <v>1100</v>
      </c>
      <c r="F122" s="1" t="s">
        <v>11198</v>
      </c>
      <c r="G122" s="1" t="s">
        <v>302</v>
      </c>
      <c r="H122" s="1">
        <f>ROUND(P122/(1-((R122+S122))/100)*Q122, 3)</f>
        <v>54.976999999999997</v>
      </c>
      <c r="I122" s="1">
        <v>0.45</v>
      </c>
      <c r="J122" s="1">
        <v>2</v>
      </c>
      <c r="K122" s="1">
        <v>1</v>
      </c>
      <c r="L122" s="1" t="s">
        <v>292</v>
      </c>
      <c r="M122" s="1">
        <v>1</v>
      </c>
      <c r="N122" s="1">
        <v>1</v>
      </c>
      <c r="O122" s="1" t="s">
        <v>296</v>
      </c>
      <c r="P122" s="1">
        <v>46.042999999999999</v>
      </c>
      <c r="Q122" s="1">
        <v>1</v>
      </c>
      <c r="R122" s="1">
        <v>7</v>
      </c>
      <c r="S122" s="1">
        <v>9.25</v>
      </c>
      <c r="T122" s="1">
        <v>0</v>
      </c>
      <c r="V122" s="1" t="s">
        <v>11223</v>
      </c>
      <c r="W122" s="1">
        <v>100</v>
      </c>
      <c r="X122" s="1" t="s">
        <v>319</v>
      </c>
      <c r="Y122" s="1" t="s">
        <v>299</v>
      </c>
      <c r="Z122" s="1">
        <v>1</v>
      </c>
      <c r="AA122" s="1">
        <f>ROUND(H122*I122*Z122, 3)</f>
        <v>24.74</v>
      </c>
      <c r="AB122" s="1">
        <f>ROUND(VLOOKUP(X122,'Base de dados'!A:B, 2, 0)*AA122, 2)</f>
        <v>2.4700000000000002</v>
      </c>
      <c r="AC122" s="1">
        <f>ROUND((AA122*(Destino!AG122/100))*(W122/100),2)</f>
        <v>1.73</v>
      </c>
      <c r="AD122" s="1">
        <f>ROUND(AA122*(Destino!AH122/100),2)</f>
        <v>2.29</v>
      </c>
      <c r="AF122" s="1">
        <f>ROUND((AA122+ AB122)*(J122/100),2)</f>
        <v>0.54</v>
      </c>
      <c r="AG122" s="1">
        <f>ROUND(AA122*T122,2)</f>
        <v>0</v>
      </c>
      <c r="AH122" s="1">
        <f>ROUND(AA122-(AC122+AD122)+AF122+AG122, 3)</f>
        <v>21.26</v>
      </c>
      <c r="AI122" s="1">
        <f>AH122*M122*K122</f>
        <v>21.26</v>
      </c>
      <c r="BA122" s="1" t="s">
        <v>11537</v>
      </c>
      <c r="BB122" s="1">
        <f>AI122</f>
        <v>21.26</v>
      </c>
      <c r="BD122" s="1">
        <f>N122</f>
        <v>1</v>
      </c>
    </row>
    <row r="123" spans="1:56" x14ac:dyDescent="0.25">
      <c r="A123" s="1">
        <v>600001041</v>
      </c>
      <c r="B123" s="1">
        <v>1110</v>
      </c>
      <c r="C123" s="1">
        <v>2200001473</v>
      </c>
      <c r="D123" s="1" t="s">
        <v>303</v>
      </c>
      <c r="E123" s="1" t="str">
        <f>IF(AND(B123&lt;&gt;1110,B123&lt;&gt;1210,B123&lt;&gt;1510,B123&lt;&gt;1710),B123,IF(B123=1110,"1100",IF(B123=1210,"1200",IF(B123=1510,"1500",IF(B123=1710,"1700","X")))))</f>
        <v>1100</v>
      </c>
      <c r="F123" s="1" t="s">
        <v>447</v>
      </c>
      <c r="G123" s="1" t="s">
        <v>302</v>
      </c>
      <c r="H123" s="1">
        <f>ROUND(P123/(1-((R123+S123))/100)*Q123, 3)</f>
        <v>54.976999999999997</v>
      </c>
      <c r="I123" s="1">
        <v>0.45</v>
      </c>
      <c r="J123" s="1">
        <v>4</v>
      </c>
      <c r="K123" s="1">
        <v>1</v>
      </c>
      <c r="L123" s="1" t="s">
        <v>292</v>
      </c>
      <c r="M123" s="1">
        <v>1</v>
      </c>
      <c r="N123" s="1">
        <v>0.75258800000000003</v>
      </c>
      <c r="O123" s="1" t="s">
        <v>296</v>
      </c>
      <c r="P123" s="1">
        <v>46.042999999999999</v>
      </c>
      <c r="Q123" s="1">
        <v>1</v>
      </c>
      <c r="R123" s="1">
        <v>7</v>
      </c>
      <c r="S123" s="1">
        <v>9.25</v>
      </c>
      <c r="T123" s="1">
        <v>0</v>
      </c>
      <c r="V123" s="1" t="s">
        <v>11223</v>
      </c>
      <c r="W123" s="1">
        <v>100</v>
      </c>
      <c r="X123" s="1" t="s">
        <v>319</v>
      </c>
      <c r="Y123" s="1" t="s">
        <v>299</v>
      </c>
      <c r="Z123" s="1">
        <v>1</v>
      </c>
      <c r="AA123" s="1">
        <f>ROUND(H123*I123*Z123, 3)</f>
        <v>24.74</v>
      </c>
      <c r="AB123" s="1">
        <f>ROUND(VLOOKUP(X123,'Base de dados'!A:B, 2, 0)*AA123, 2)</f>
        <v>2.4700000000000002</v>
      </c>
      <c r="AC123" s="1">
        <f>ROUND((AA123*(Destino!AG123/100))*(W123/100),2)</f>
        <v>1.73</v>
      </c>
      <c r="AD123" s="1">
        <f>ROUND(AA123*(Destino!AH123/100),2)</f>
        <v>2.29</v>
      </c>
      <c r="AE123" s="1">
        <f>ROUND((((AA123+AB123)*1.5039)*(Destino!AI123/100))-AC123,2)</f>
        <v>5.23</v>
      </c>
      <c r="AF123" s="1">
        <f>ROUND((AA123+AB123+AE123)*(J123/100),2)</f>
        <v>1.3</v>
      </c>
      <c r="AG123" s="1">
        <f>ROUND(AA123*T123,2)</f>
        <v>0</v>
      </c>
      <c r="AH123" s="1">
        <f>ROUND(AA123-AD123+AE123+AF123+AG123, 3)</f>
        <v>28.98</v>
      </c>
      <c r="AI123" s="1">
        <f>AH123*M123*K123</f>
        <v>28.98</v>
      </c>
      <c r="BA123" s="1" t="s">
        <v>11538</v>
      </c>
      <c r="BB123" s="1">
        <f>AI123</f>
        <v>28.98</v>
      </c>
      <c r="BD123" s="1">
        <f>N123</f>
        <v>0.75258800000000003</v>
      </c>
    </row>
    <row r="124" spans="1:56" x14ac:dyDescent="0.25">
      <c r="A124" s="1">
        <v>600001041</v>
      </c>
      <c r="B124" s="1">
        <v>1400</v>
      </c>
      <c r="C124" s="1">
        <v>2200001473</v>
      </c>
      <c r="D124" s="1" t="s">
        <v>303</v>
      </c>
      <c r="E124" s="1">
        <f>IF(AND(B124&lt;&gt;1110,B124&lt;&gt;1210,B124&lt;&gt;1510,B124&lt;&gt;1710),B124,IF(B124=1110,"1100",IF(B124=1210,"1200",IF(B124=1510,"1500",IF(B124=1710,"1700","X")))))</f>
        <v>1400</v>
      </c>
      <c r="F124" s="1" t="s">
        <v>11198</v>
      </c>
      <c r="G124" s="1" t="s">
        <v>302</v>
      </c>
      <c r="H124" s="1">
        <f>ROUND(P124/(1-((R124+S124))/100)*Q124, 3)</f>
        <v>63.289000000000001</v>
      </c>
      <c r="I124" s="1">
        <v>0.45</v>
      </c>
      <c r="J124" s="1">
        <v>1.5</v>
      </c>
      <c r="K124" s="1">
        <v>1</v>
      </c>
      <c r="L124" s="1" t="s">
        <v>292</v>
      </c>
      <c r="M124" s="1">
        <v>1</v>
      </c>
      <c r="N124" s="1">
        <v>1</v>
      </c>
      <c r="O124" s="1" t="s">
        <v>296</v>
      </c>
      <c r="P124" s="1">
        <v>46.042999999999999</v>
      </c>
      <c r="Q124" s="1">
        <v>1</v>
      </c>
      <c r="R124" s="1">
        <v>18</v>
      </c>
      <c r="S124" s="1">
        <v>9.25</v>
      </c>
      <c r="T124" s="1">
        <v>0</v>
      </c>
      <c r="V124" s="1" t="s">
        <v>11223</v>
      </c>
      <c r="W124" s="1">
        <v>100</v>
      </c>
      <c r="X124" s="1" t="s">
        <v>319</v>
      </c>
      <c r="Y124" s="1" t="s">
        <v>299</v>
      </c>
      <c r="Z124" s="1">
        <v>1</v>
      </c>
      <c r="AA124" s="1">
        <f>ROUND(H124*I124*Z124, 3)</f>
        <v>28.48</v>
      </c>
      <c r="AB124" s="1">
        <f>ROUND(VLOOKUP(X124,'Base de dados'!A:B, 2, 0)*AA124, 2)</f>
        <v>2.85</v>
      </c>
      <c r="AC124" s="1">
        <f>ROUND((AA124*(Destino!AG124/100))*(W124/100),2)</f>
        <v>5.13</v>
      </c>
      <c r="AD124" s="1">
        <f>ROUND(AA124*(Destino!AH124/100),2)</f>
        <v>2.63</v>
      </c>
      <c r="AF124" s="1">
        <f>ROUND((AA124+ AB124)*(J124/100),2)</f>
        <v>0.47</v>
      </c>
      <c r="AG124" s="1">
        <f>ROUND(AA124*T124,2)</f>
        <v>0</v>
      </c>
      <c r="AH124" s="1">
        <f>ROUND(AA124-(AC124+AD124)+AF124+AG124, 3)</f>
        <v>21.19</v>
      </c>
      <c r="AI124" s="1">
        <f>AH124*M124*K124</f>
        <v>21.19</v>
      </c>
      <c r="BA124" s="1" t="s">
        <v>11373</v>
      </c>
      <c r="BB124" s="1">
        <f>AI124</f>
        <v>21.19</v>
      </c>
      <c r="BD124" s="1">
        <f>N124</f>
        <v>1</v>
      </c>
    </row>
    <row r="125" spans="1:56" x14ac:dyDescent="0.25">
      <c r="A125" s="1">
        <v>600001041</v>
      </c>
      <c r="B125" s="1">
        <v>1700</v>
      </c>
      <c r="C125" s="1">
        <v>2200001421</v>
      </c>
      <c r="D125" s="1" t="s">
        <v>303</v>
      </c>
      <c r="E125" s="1">
        <f>IF(AND(B125&lt;&gt;1110,B125&lt;&gt;1210,B125&lt;&gt;1510,B125&lt;&gt;1710),B125,IF(B125=1110,"1100",IF(B125=1210,"1200",IF(B125=1510,"1500",IF(B125=1710,"1700","X")))))</f>
        <v>1700</v>
      </c>
      <c r="F125" s="1" t="s">
        <v>11238</v>
      </c>
      <c r="G125" s="1" t="s">
        <v>302</v>
      </c>
      <c r="H125" s="1">
        <f>ROUND(P125/(1-((R125+S125))/100)*Q125, 3)</f>
        <v>25.300999999999998</v>
      </c>
      <c r="I125" s="1">
        <v>0.25</v>
      </c>
      <c r="J125" s="1">
        <v>3</v>
      </c>
      <c r="K125" s="1">
        <v>1</v>
      </c>
      <c r="L125" s="1" t="s">
        <v>292</v>
      </c>
      <c r="M125" s="1">
        <v>4</v>
      </c>
      <c r="N125" s="1">
        <v>1</v>
      </c>
      <c r="O125" s="1" t="s">
        <v>296</v>
      </c>
      <c r="P125" s="1">
        <f>IFERROR(VLOOKUP(BC125, BA:BA:BB:BB, 2, 0),)</f>
        <v>21.19</v>
      </c>
      <c r="Q125" s="1">
        <f>IFERROR(VLOOKUP(BC125, BA:BA:BD:BD, 4, 0),1)</f>
        <v>1</v>
      </c>
      <c r="R125" s="1">
        <v>7</v>
      </c>
      <c r="S125" s="1">
        <v>9.25</v>
      </c>
      <c r="T125" s="1">
        <v>0</v>
      </c>
      <c r="V125" s="1" t="s">
        <v>11223</v>
      </c>
      <c r="W125" s="1">
        <v>100</v>
      </c>
      <c r="X125" s="1" t="s">
        <v>319</v>
      </c>
      <c r="Y125" s="1" t="s">
        <v>299</v>
      </c>
      <c r="Z125" s="1">
        <v>1</v>
      </c>
      <c r="AA125" s="1">
        <f>ROUND(H125*I125*Z125, 3)</f>
        <v>6.3250000000000002</v>
      </c>
      <c r="AB125" s="1">
        <f>ROUND(VLOOKUP(X125,'Base de dados'!A:B, 2, 0)*AA125, 2)</f>
        <v>0.63</v>
      </c>
      <c r="AC125" s="1">
        <f>ROUND((AA125*(Destino!AG125/100))*(W125/100),2)</f>
        <v>0.44</v>
      </c>
      <c r="AD125" s="1">
        <f>ROUND(AA125*(Destino!AH125/100),2)</f>
        <v>0</v>
      </c>
      <c r="AE125" s="1">
        <f>ROUND((((AA125+AB125)*1.48)*(Destino!AI125/100))-AC125,2)</f>
        <v>1.31</v>
      </c>
      <c r="AF125" s="1">
        <f>ROUND((AA125+AB125+AE125)*(J125/100),2)</f>
        <v>0.25</v>
      </c>
      <c r="AG125" s="1">
        <f>ROUND(AA125*T125,2)</f>
        <v>0</v>
      </c>
      <c r="AH125" s="1">
        <f>ROUND(AA125+AB125-AD125+AE125+AF125+AG125, 3)</f>
        <v>8.5150000000000006</v>
      </c>
      <c r="AI125" s="1">
        <f>AH125*M125*K125</f>
        <v>34.06</v>
      </c>
      <c r="BA125" s="1" t="s">
        <v>11272</v>
      </c>
      <c r="BB125" s="1">
        <f>AI125</f>
        <v>34.06</v>
      </c>
      <c r="BC125" s="1" t="s">
        <v>11373</v>
      </c>
      <c r="BD125" s="1">
        <f>N125</f>
        <v>1</v>
      </c>
    </row>
    <row r="126" spans="1:56" x14ac:dyDescent="0.25">
      <c r="A126" s="1">
        <v>600001042</v>
      </c>
      <c r="B126" s="1">
        <v>1000</v>
      </c>
      <c r="C126" s="1">
        <v>2200001473</v>
      </c>
      <c r="D126" s="1" t="s">
        <v>303</v>
      </c>
      <c r="E126" s="1">
        <f>IF(AND(B126&lt;&gt;1110,B126&lt;&gt;1210,B126&lt;&gt;1510,B126&lt;&gt;1710),B126,IF(B126=1110,"1100",IF(B126=1210,"1200",IF(B126=1510,"1500",IF(B126=1710,"1700","X")))))</f>
        <v>1000</v>
      </c>
      <c r="F126" s="1" t="s">
        <v>11198</v>
      </c>
      <c r="G126" s="1" t="s">
        <v>302</v>
      </c>
      <c r="H126" s="1">
        <f>ROUND(P126/(1-((R126+S126))/100)*Q126, 3)</f>
        <v>63.844999999999999</v>
      </c>
      <c r="I126" s="1">
        <v>0.45</v>
      </c>
      <c r="J126" s="1">
        <v>1.5</v>
      </c>
      <c r="K126" s="1">
        <v>1</v>
      </c>
      <c r="L126" s="1" t="s">
        <v>292</v>
      </c>
      <c r="M126" s="1">
        <v>1</v>
      </c>
      <c r="N126" s="1">
        <v>1</v>
      </c>
      <c r="O126" s="1" t="s">
        <v>296</v>
      </c>
      <c r="P126" s="1">
        <v>50.277999999999999</v>
      </c>
      <c r="Q126" s="1">
        <v>1</v>
      </c>
      <c r="R126" s="1">
        <v>12</v>
      </c>
      <c r="S126" s="1">
        <v>9.25</v>
      </c>
      <c r="T126" s="1">
        <v>0</v>
      </c>
      <c r="V126" s="1" t="s">
        <v>11223</v>
      </c>
      <c r="W126" s="1">
        <v>100</v>
      </c>
      <c r="X126" s="1" t="s">
        <v>319</v>
      </c>
      <c r="Y126" s="1" t="s">
        <v>299</v>
      </c>
      <c r="Z126" s="1">
        <v>1</v>
      </c>
      <c r="AA126" s="1">
        <f>ROUND(H126*I126*Z126, 3)</f>
        <v>28.73</v>
      </c>
      <c r="AB126" s="1">
        <f>ROUND(VLOOKUP(X126,'Base de dados'!A:B, 2, 0)*AA126, 2)</f>
        <v>2.87</v>
      </c>
      <c r="AC126" s="1">
        <f>ROUND((AA126*(Destino!AG126/100))*(W126/100),2)</f>
        <v>3.45</v>
      </c>
      <c r="AD126" s="1">
        <f>ROUND(AA126*(Destino!AH126/100),2)</f>
        <v>2.66</v>
      </c>
      <c r="AF126" s="1">
        <f>ROUND((AA126+ AB126)*(J126/100),2)</f>
        <v>0.47</v>
      </c>
      <c r="AG126" s="1">
        <f>ROUND(AA126*T126,2)</f>
        <v>0</v>
      </c>
      <c r="AH126" s="1">
        <f>ROUND(AA126-(AC126+AD126)+AF126+AG126, 3)</f>
        <v>23.09</v>
      </c>
      <c r="AI126" s="1">
        <f>AH126*M126*K126</f>
        <v>23.09</v>
      </c>
      <c r="BA126" s="1" t="s">
        <v>11539</v>
      </c>
      <c r="BB126" s="1">
        <f>AI126</f>
        <v>23.09</v>
      </c>
      <c r="BD126" s="1">
        <f>N126</f>
        <v>1</v>
      </c>
    </row>
    <row r="127" spans="1:56" x14ac:dyDescent="0.25">
      <c r="A127" s="1">
        <v>600001042</v>
      </c>
      <c r="B127" s="1">
        <v>1100</v>
      </c>
      <c r="C127" s="1">
        <v>2200001473</v>
      </c>
      <c r="D127" s="1" t="s">
        <v>303</v>
      </c>
      <c r="E127" s="1">
        <f>IF(AND(B127&lt;&gt;1110,B127&lt;&gt;1210,B127&lt;&gt;1510,B127&lt;&gt;1710),B127,IF(B127=1110,"1100",IF(B127=1210,"1200",IF(B127=1510,"1500",IF(B127=1710,"1700","X")))))</f>
        <v>1100</v>
      </c>
      <c r="F127" s="1" t="s">
        <v>11198</v>
      </c>
      <c r="G127" s="1" t="s">
        <v>302</v>
      </c>
      <c r="H127" s="1">
        <f>ROUND(P127/(1-((R127+S127))/100)*Q127, 3)</f>
        <v>60.033000000000001</v>
      </c>
      <c r="I127" s="1">
        <v>0.45</v>
      </c>
      <c r="J127" s="1">
        <v>2</v>
      </c>
      <c r="K127" s="1">
        <v>1</v>
      </c>
      <c r="L127" s="1" t="s">
        <v>292</v>
      </c>
      <c r="M127" s="1">
        <v>1</v>
      </c>
      <c r="N127" s="1">
        <v>1</v>
      </c>
      <c r="O127" s="1" t="s">
        <v>296</v>
      </c>
      <c r="P127" s="1">
        <v>50.277999999999999</v>
      </c>
      <c r="Q127" s="1">
        <v>1</v>
      </c>
      <c r="R127" s="1">
        <v>7</v>
      </c>
      <c r="S127" s="1">
        <v>9.25</v>
      </c>
      <c r="T127" s="1">
        <v>0</v>
      </c>
      <c r="V127" s="1" t="s">
        <v>11223</v>
      </c>
      <c r="W127" s="1">
        <v>100</v>
      </c>
      <c r="X127" s="1" t="s">
        <v>319</v>
      </c>
      <c r="Y127" s="1" t="s">
        <v>299</v>
      </c>
      <c r="Z127" s="1">
        <v>1</v>
      </c>
      <c r="AA127" s="1">
        <f>ROUND(H127*I127*Z127, 3)</f>
        <v>27.015000000000001</v>
      </c>
      <c r="AB127" s="1">
        <f>ROUND(VLOOKUP(X127,'Base de dados'!A:B, 2, 0)*AA127, 2)</f>
        <v>2.7</v>
      </c>
      <c r="AC127" s="1">
        <f>ROUND((AA127*(Destino!AG127/100))*(W127/100),2)</f>
        <v>1.89</v>
      </c>
      <c r="AD127" s="1">
        <f>ROUND(AA127*(Destino!AH127/100),2)</f>
        <v>2.5</v>
      </c>
      <c r="AF127" s="1">
        <f>ROUND((AA127+ AB127)*(J127/100),2)</f>
        <v>0.59</v>
      </c>
      <c r="AG127" s="1">
        <f>ROUND(AA127*T127,2)</f>
        <v>0</v>
      </c>
      <c r="AH127" s="1">
        <f>ROUND(AA127-(AC127+AD127)+AF127+AG127, 3)</f>
        <v>23.215</v>
      </c>
      <c r="AI127" s="1">
        <f>AH127*M127*K127</f>
        <v>23.215</v>
      </c>
      <c r="BA127" s="1" t="s">
        <v>11540</v>
      </c>
      <c r="BB127" s="1">
        <f>AI127</f>
        <v>23.215</v>
      </c>
      <c r="BD127" s="1">
        <f>N127</f>
        <v>1</v>
      </c>
    </row>
    <row r="128" spans="1:56" x14ac:dyDescent="0.25">
      <c r="A128" s="1">
        <v>600001042</v>
      </c>
      <c r="B128" s="1">
        <v>1110</v>
      </c>
      <c r="C128" s="1">
        <v>2200001473</v>
      </c>
      <c r="D128" s="1" t="s">
        <v>303</v>
      </c>
      <c r="E128" s="1" t="str">
        <f>IF(AND(B128&lt;&gt;1110,B128&lt;&gt;1210,B128&lt;&gt;1510,B128&lt;&gt;1710),B128,IF(B128=1110,"1100",IF(B128=1210,"1200",IF(B128=1510,"1500",IF(B128=1710,"1700","X")))))</f>
        <v>1100</v>
      </c>
      <c r="F128" s="1" t="s">
        <v>447</v>
      </c>
      <c r="G128" s="1" t="s">
        <v>302</v>
      </c>
      <c r="H128" s="1">
        <f>ROUND(P128/(1-((R128+S128))/100)*Q128, 3)</f>
        <v>60.033000000000001</v>
      </c>
      <c r="I128" s="1">
        <v>0.45</v>
      </c>
      <c r="J128" s="1">
        <v>4</v>
      </c>
      <c r="K128" s="1">
        <v>1</v>
      </c>
      <c r="L128" s="1" t="s">
        <v>292</v>
      </c>
      <c r="M128" s="1">
        <v>1</v>
      </c>
      <c r="N128" s="1">
        <v>0.75256800000000001</v>
      </c>
      <c r="O128" s="1" t="s">
        <v>296</v>
      </c>
      <c r="P128" s="1">
        <v>50.277999999999999</v>
      </c>
      <c r="Q128" s="1">
        <v>1</v>
      </c>
      <c r="R128" s="1">
        <v>7</v>
      </c>
      <c r="S128" s="1">
        <v>9.25</v>
      </c>
      <c r="T128" s="1">
        <v>0</v>
      </c>
      <c r="V128" s="1" t="s">
        <v>11223</v>
      </c>
      <c r="W128" s="1">
        <v>100</v>
      </c>
      <c r="X128" s="1" t="s">
        <v>319</v>
      </c>
      <c r="Y128" s="1" t="s">
        <v>299</v>
      </c>
      <c r="Z128" s="1">
        <v>1</v>
      </c>
      <c r="AA128" s="1">
        <f>ROUND(H128*I128*Z128, 3)</f>
        <v>27.015000000000001</v>
      </c>
      <c r="AB128" s="1">
        <f>ROUND(VLOOKUP(X128,'Base de dados'!A:B, 2, 0)*AA128, 2)</f>
        <v>2.7</v>
      </c>
      <c r="AC128" s="1">
        <f>ROUND((AA128*(Destino!AG128/100))*(W128/100),2)</f>
        <v>1.89</v>
      </c>
      <c r="AD128" s="1">
        <f>ROUND(AA128*(Destino!AH128/100),2)</f>
        <v>2.5</v>
      </c>
      <c r="AE128" s="1">
        <f>ROUND((((AA128+AB128)*1.5039)*(Destino!AI128/100))-AC128,2)</f>
        <v>5.71</v>
      </c>
      <c r="AF128" s="1">
        <f>ROUND((AA128+AB128+AE128)*(J128/100),2)</f>
        <v>1.42</v>
      </c>
      <c r="AG128" s="1">
        <f>ROUND(AA128*T128,2)</f>
        <v>0</v>
      </c>
      <c r="AH128" s="1">
        <f>ROUND(AA128-AD128+AE128+AF128+AG128, 3)</f>
        <v>31.645</v>
      </c>
      <c r="AI128" s="1">
        <f>AH128*M128*K128</f>
        <v>31.645</v>
      </c>
      <c r="BA128" s="1" t="s">
        <v>11541</v>
      </c>
      <c r="BB128" s="1">
        <f>AI128</f>
        <v>31.645</v>
      </c>
      <c r="BD128" s="1">
        <f>N128</f>
        <v>0.75256800000000001</v>
      </c>
    </row>
    <row r="129" spans="1:56" x14ac:dyDescent="0.25">
      <c r="A129" s="1">
        <v>600001042</v>
      </c>
      <c r="B129" s="1">
        <v>1400</v>
      </c>
      <c r="C129" s="1">
        <v>2200001473</v>
      </c>
      <c r="D129" s="1" t="s">
        <v>303</v>
      </c>
      <c r="E129" s="1">
        <f>IF(AND(B129&lt;&gt;1110,B129&lt;&gt;1210,B129&lt;&gt;1510,B129&lt;&gt;1710),B129,IF(B129=1110,"1100",IF(B129=1210,"1200",IF(B129=1510,"1500",IF(B129=1710,"1700","X")))))</f>
        <v>1400</v>
      </c>
      <c r="F129" s="1" t="s">
        <v>11198</v>
      </c>
      <c r="G129" s="1" t="s">
        <v>302</v>
      </c>
      <c r="H129" s="1">
        <f>ROUND(P129/(1-((R129+S129))/100)*Q129, 3)</f>
        <v>69.111000000000004</v>
      </c>
      <c r="I129" s="1">
        <v>0.45</v>
      </c>
      <c r="J129" s="1">
        <v>1.5</v>
      </c>
      <c r="K129" s="1">
        <v>1</v>
      </c>
      <c r="L129" s="1" t="s">
        <v>292</v>
      </c>
      <c r="M129" s="1">
        <v>1</v>
      </c>
      <c r="N129" s="1">
        <v>1</v>
      </c>
      <c r="O129" s="1" t="s">
        <v>296</v>
      </c>
      <c r="P129" s="1">
        <v>50.277999999999999</v>
      </c>
      <c r="Q129" s="1">
        <v>1</v>
      </c>
      <c r="R129" s="1">
        <v>18</v>
      </c>
      <c r="S129" s="1">
        <v>9.25</v>
      </c>
      <c r="T129" s="1">
        <v>0</v>
      </c>
      <c r="V129" s="1" t="s">
        <v>11223</v>
      </c>
      <c r="W129" s="1">
        <v>100</v>
      </c>
      <c r="X129" s="1" t="s">
        <v>319</v>
      </c>
      <c r="Y129" s="1" t="s">
        <v>299</v>
      </c>
      <c r="Z129" s="1">
        <v>1</v>
      </c>
      <c r="AA129" s="1">
        <f>ROUND(H129*I129*Z129, 3)</f>
        <v>31.1</v>
      </c>
      <c r="AB129" s="1">
        <f>ROUND(VLOOKUP(X129,'Base de dados'!A:B, 2, 0)*AA129, 2)</f>
        <v>3.11</v>
      </c>
      <c r="AC129" s="1">
        <f>ROUND((AA129*(Destino!AG129/100))*(W129/100),2)</f>
        <v>5.6</v>
      </c>
      <c r="AD129" s="1">
        <f>ROUND(AA129*(Destino!AH129/100),2)</f>
        <v>2.88</v>
      </c>
      <c r="AF129" s="1">
        <f>ROUND((AA129+ AB129)*(J129/100),2)</f>
        <v>0.51</v>
      </c>
      <c r="AG129" s="1">
        <f>ROUND(AA129*T129,2)</f>
        <v>0</v>
      </c>
      <c r="AH129" s="1">
        <f>ROUND(AA129-(AC129+AD129)+AF129+AG129, 3)</f>
        <v>23.13</v>
      </c>
      <c r="AI129" s="1">
        <f>AH129*M129*K129</f>
        <v>23.13</v>
      </c>
      <c r="BA129" s="1" t="s">
        <v>11374</v>
      </c>
      <c r="BB129" s="1">
        <f>AI129</f>
        <v>23.13</v>
      </c>
      <c r="BD129" s="1">
        <f>N129</f>
        <v>1</v>
      </c>
    </row>
    <row r="130" spans="1:56" x14ac:dyDescent="0.25">
      <c r="A130" s="1">
        <v>600001042</v>
      </c>
      <c r="B130" s="1">
        <v>1700</v>
      </c>
      <c r="C130" s="1">
        <v>2200001421</v>
      </c>
      <c r="D130" s="1" t="s">
        <v>303</v>
      </c>
      <c r="E130" s="1">
        <f>IF(AND(B130&lt;&gt;1110,B130&lt;&gt;1210,B130&lt;&gt;1510,B130&lt;&gt;1710),B130,IF(B130=1110,"1100",IF(B130=1210,"1200",IF(B130=1510,"1500",IF(B130=1710,"1700","X")))))</f>
        <v>1700</v>
      </c>
      <c r="F130" s="1" t="s">
        <v>11238</v>
      </c>
      <c r="G130" s="1" t="s">
        <v>302</v>
      </c>
      <c r="H130" s="1">
        <f>ROUND(P130/(1-((R130+S130))/100)*Q130, 3)</f>
        <v>27.617999999999999</v>
      </c>
      <c r="I130" s="1">
        <v>0.25</v>
      </c>
      <c r="J130" s="1">
        <v>3</v>
      </c>
      <c r="K130" s="1">
        <v>1</v>
      </c>
      <c r="L130" s="1" t="s">
        <v>292</v>
      </c>
      <c r="M130" s="1">
        <v>4</v>
      </c>
      <c r="N130" s="1">
        <v>1</v>
      </c>
      <c r="O130" s="1" t="s">
        <v>296</v>
      </c>
      <c r="P130" s="1">
        <f>IFERROR(VLOOKUP(BC130, BA:BA:BB:BB, 2, 0),)</f>
        <v>23.13</v>
      </c>
      <c r="Q130" s="1">
        <f>IFERROR(VLOOKUP(BC130, BA:BA:BD:BD, 4, 0),1)</f>
        <v>1</v>
      </c>
      <c r="R130" s="1">
        <v>7</v>
      </c>
      <c r="S130" s="1">
        <v>9.25</v>
      </c>
      <c r="T130" s="1">
        <v>0</v>
      </c>
      <c r="V130" s="1" t="s">
        <v>11223</v>
      </c>
      <c r="W130" s="1">
        <v>100</v>
      </c>
      <c r="X130" s="1" t="s">
        <v>319</v>
      </c>
      <c r="Y130" s="1" t="s">
        <v>299</v>
      </c>
      <c r="Z130" s="1">
        <v>1</v>
      </c>
      <c r="AA130" s="1">
        <f>ROUND(H130*I130*Z130, 3)</f>
        <v>6.9050000000000002</v>
      </c>
      <c r="AB130" s="1">
        <f>ROUND(VLOOKUP(X130,'Base de dados'!A:B, 2, 0)*AA130, 2)</f>
        <v>0.69</v>
      </c>
      <c r="AC130" s="1">
        <f>ROUND((AA130*(Destino!AG130/100))*(W130/100),2)</f>
        <v>0.48</v>
      </c>
      <c r="AD130" s="1">
        <f>ROUND(AA130*(Destino!AH130/100),2)</f>
        <v>0</v>
      </c>
      <c r="AE130" s="1">
        <f>ROUND((((AA130+AB130)*1.48)*(Destino!AI130/100))-AC130,2)</f>
        <v>1.43</v>
      </c>
      <c r="AF130" s="1">
        <f>ROUND((AA130+AB130+AE130)*(J130/100),2)</f>
        <v>0.27</v>
      </c>
      <c r="AG130" s="1">
        <f>ROUND(AA130*T130,2)</f>
        <v>0</v>
      </c>
      <c r="AH130" s="1">
        <f>ROUND(AA130+AB130-AD130+AE130+AF130+AG130, 3)</f>
        <v>9.2949999999999999</v>
      </c>
      <c r="AI130" s="1">
        <f>AH130*M130*K130</f>
        <v>37.18</v>
      </c>
      <c r="BA130" s="1" t="s">
        <v>11273</v>
      </c>
      <c r="BB130" s="1">
        <f>AI130</f>
        <v>37.18</v>
      </c>
      <c r="BC130" s="1" t="s">
        <v>11374</v>
      </c>
      <c r="BD130" s="1">
        <f>N130</f>
        <v>1</v>
      </c>
    </row>
    <row r="131" spans="1:56" x14ac:dyDescent="0.25">
      <c r="A131" s="1">
        <v>600001043</v>
      </c>
      <c r="B131" s="1">
        <v>1000</v>
      </c>
      <c r="C131" s="1">
        <v>2200001473</v>
      </c>
      <c r="D131" s="1" t="s">
        <v>303</v>
      </c>
      <c r="E131" s="1">
        <f>IF(AND(B131&lt;&gt;1110,B131&lt;&gt;1210,B131&lt;&gt;1510,B131&lt;&gt;1710),B131,IF(B131=1110,"1100",IF(B131=1210,"1200",IF(B131=1510,"1500",IF(B131=1710,"1700","X")))))</f>
        <v>1000</v>
      </c>
      <c r="F131" s="1" t="s">
        <v>11198</v>
      </c>
      <c r="G131" s="1" t="s">
        <v>302</v>
      </c>
      <c r="H131" s="1">
        <f>ROUND(P131/(1-((R131+S131))/100)*Q131, 3)</f>
        <v>62.011000000000003</v>
      </c>
      <c r="I131" s="1">
        <v>0.45</v>
      </c>
      <c r="J131" s="1">
        <v>1.5</v>
      </c>
      <c r="K131" s="1">
        <v>1</v>
      </c>
      <c r="L131" s="1" t="s">
        <v>292</v>
      </c>
      <c r="M131" s="1">
        <v>1</v>
      </c>
      <c r="N131" s="1">
        <v>1</v>
      </c>
      <c r="O131" s="1" t="s">
        <v>296</v>
      </c>
      <c r="P131" s="1">
        <v>48.834000000000003</v>
      </c>
      <c r="Q131" s="1">
        <v>1</v>
      </c>
      <c r="R131" s="1">
        <v>12</v>
      </c>
      <c r="S131" s="1">
        <v>9.25</v>
      </c>
      <c r="T131" s="1">
        <v>0</v>
      </c>
      <c r="V131" s="1" t="s">
        <v>11223</v>
      </c>
      <c r="W131" s="1">
        <v>100</v>
      </c>
      <c r="X131" s="1" t="s">
        <v>368</v>
      </c>
      <c r="Y131" s="1" t="s">
        <v>299</v>
      </c>
      <c r="Z131" s="1">
        <v>1</v>
      </c>
      <c r="AA131" s="1">
        <f>ROUND(H131*I131*Z131, 3)</f>
        <v>27.905000000000001</v>
      </c>
      <c r="AB131" s="1">
        <f>ROUND(VLOOKUP(X131,'Base de dados'!A:B, 2, 0)*AA131, 2)</f>
        <v>2.79</v>
      </c>
      <c r="AC131" s="1">
        <f>ROUND((AA131*(Destino!AG131/100))*(W131/100),2)</f>
        <v>3.35</v>
      </c>
      <c r="AD131" s="1">
        <f>ROUND(AA131*(Destino!AH131/100),2)</f>
        <v>2.58</v>
      </c>
      <c r="AF131" s="1">
        <f>ROUND((AA131+ AB131)*(J131/100),2)</f>
        <v>0.46</v>
      </c>
      <c r="AG131" s="1">
        <f>ROUND(AA131*T131,2)</f>
        <v>0</v>
      </c>
      <c r="AH131" s="1">
        <f>ROUND(AA131-(AC131+AD131)+AF131+AG131, 3)</f>
        <v>22.434999999999999</v>
      </c>
      <c r="AI131" s="1">
        <f>AH131*M131*K131</f>
        <v>22.434999999999999</v>
      </c>
      <c r="BA131" s="1" t="s">
        <v>11542</v>
      </c>
      <c r="BB131" s="1">
        <f>AI131</f>
        <v>22.434999999999999</v>
      </c>
      <c r="BD131" s="1">
        <f>N131</f>
        <v>1</v>
      </c>
    </row>
    <row r="132" spans="1:56" x14ac:dyDescent="0.25">
      <c r="A132" s="1">
        <v>600001043</v>
      </c>
      <c r="B132" s="1">
        <v>1100</v>
      </c>
      <c r="C132" s="1">
        <v>2200001473</v>
      </c>
      <c r="D132" s="1" t="s">
        <v>303</v>
      </c>
      <c r="E132" s="1">
        <f>IF(AND(B132&lt;&gt;1110,B132&lt;&gt;1210,B132&lt;&gt;1510,B132&lt;&gt;1710),B132,IF(B132=1110,"1100",IF(B132=1210,"1200",IF(B132=1510,"1500",IF(B132=1710,"1700","X")))))</f>
        <v>1100</v>
      </c>
      <c r="F132" s="1" t="s">
        <v>11198</v>
      </c>
      <c r="G132" s="1" t="s">
        <v>302</v>
      </c>
      <c r="H132" s="1">
        <f>ROUND(P132/(1-((R132+S132))/100)*Q132, 3)</f>
        <v>58.313000000000002</v>
      </c>
      <c r="I132" s="1">
        <v>0.45</v>
      </c>
      <c r="J132" s="1">
        <v>2</v>
      </c>
      <c r="K132" s="1">
        <v>1</v>
      </c>
      <c r="L132" s="1" t="s">
        <v>292</v>
      </c>
      <c r="M132" s="1">
        <v>1</v>
      </c>
      <c r="N132" s="1">
        <v>1</v>
      </c>
      <c r="O132" s="1" t="s">
        <v>296</v>
      </c>
      <c r="P132" s="1">
        <v>48.837000000000003</v>
      </c>
      <c r="Q132" s="1">
        <v>1</v>
      </c>
      <c r="R132" s="1">
        <v>7</v>
      </c>
      <c r="S132" s="1">
        <v>9.25</v>
      </c>
      <c r="T132" s="1">
        <v>0</v>
      </c>
      <c r="V132" s="1" t="s">
        <v>11223</v>
      </c>
      <c r="W132" s="1">
        <v>100</v>
      </c>
      <c r="X132" s="1" t="s">
        <v>368</v>
      </c>
      <c r="Y132" s="1" t="s">
        <v>299</v>
      </c>
      <c r="Z132" s="1">
        <v>1</v>
      </c>
      <c r="AA132" s="1">
        <f>ROUND(H132*I132*Z132, 3)</f>
        <v>26.241</v>
      </c>
      <c r="AB132" s="1">
        <f>ROUND(VLOOKUP(X132,'Base de dados'!A:B, 2, 0)*AA132, 2)</f>
        <v>2.62</v>
      </c>
      <c r="AC132" s="1">
        <f>ROUND((AA132*(Destino!AG132/100))*(W132/100),2)</f>
        <v>1.84</v>
      </c>
      <c r="AD132" s="1">
        <f>ROUND(AA132*(Destino!AH132/100),2)</f>
        <v>2.4300000000000002</v>
      </c>
      <c r="AF132" s="1">
        <f>ROUND((AA132+ AB132)*(J132/100),2)</f>
        <v>0.57999999999999996</v>
      </c>
      <c r="AG132" s="1">
        <f>ROUND(AA132*T132,2)</f>
        <v>0</v>
      </c>
      <c r="AH132" s="1">
        <f>ROUND(AA132-(AC132+AD132)+AF132+AG132, 3)</f>
        <v>22.550999999999998</v>
      </c>
      <c r="AI132" s="1">
        <f>AH132*M132*K132</f>
        <v>22.550999999999998</v>
      </c>
      <c r="BA132" s="1" t="s">
        <v>11543</v>
      </c>
      <c r="BB132" s="1">
        <f>AI132</f>
        <v>22.550999999999998</v>
      </c>
      <c r="BD132" s="1">
        <f>N132</f>
        <v>1</v>
      </c>
    </row>
    <row r="133" spans="1:56" x14ac:dyDescent="0.25">
      <c r="A133" s="1">
        <v>600001043</v>
      </c>
      <c r="B133" s="1">
        <v>1110</v>
      </c>
      <c r="C133" s="1">
        <v>2200001473</v>
      </c>
      <c r="D133" s="1" t="s">
        <v>303</v>
      </c>
      <c r="E133" s="1" t="str">
        <f>IF(AND(B133&lt;&gt;1110,B133&lt;&gt;1210,B133&lt;&gt;1510,B133&lt;&gt;1710),B133,IF(B133=1110,"1100",IF(B133=1210,"1200",IF(B133=1510,"1500",IF(B133=1710,"1700","X")))))</f>
        <v>1100</v>
      </c>
      <c r="F133" s="1" t="s">
        <v>447</v>
      </c>
      <c r="G133" s="1" t="s">
        <v>302</v>
      </c>
      <c r="H133" s="1">
        <f>ROUND(P133/(1-((R133+S133))/100)*Q133, 3)</f>
        <v>58.313000000000002</v>
      </c>
      <c r="I133" s="1">
        <v>0.45</v>
      </c>
      <c r="J133" s="1">
        <v>4</v>
      </c>
      <c r="K133" s="1">
        <v>1</v>
      </c>
      <c r="L133" s="1" t="s">
        <v>292</v>
      </c>
      <c r="M133" s="1">
        <v>1</v>
      </c>
      <c r="N133" s="1">
        <v>0.75244800000000001</v>
      </c>
      <c r="O133" s="1" t="s">
        <v>296</v>
      </c>
      <c r="P133" s="1">
        <v>48.837000000000003</v>
      </c>
      <c r="Q133" s="1">
        <v>1</v>
      </c>
      <c r="R133" s="1">
        <v>7</v>
      </c>
      <c r="S133" s="1">
        <v>9.25</v>
      </c>
      <c r="T133" s="1">
        <v>0</v>
      </c>
      <c r="V133" s="1" t="s">
        <v>11223</v>
      </c>
      <c r="W133" s="1">
        <v>100</v>
      </c>
      <c r="X133" s="1" t="s">
        <v>368</v>
      </c>
      <c r="Y133" s="1" t="s">
        <v>299</v>
      </c>
      <c r="Z133" s="1">
        <v>1</v>
      </c>
      <c r="AA133" s="1">
        <f>ROUND(H133*I133*Z133, 3)</f>
        <v>26.241</v>
      </c>
      <c r="AB133" s="1">
        <f>ROUND(VLOOKUP(X133,'Base de dados'!A:B, 2, 0)*AA133, 2)</f>
        <v>2.62</v>
      </c>
      <c r="AC133" s="1">
        <f>ROUND((AA133*(Destino!AG133/100))*(W133/100),2)</f>
        <v>1.84</v>
      </c>
      <c r="AD133" s="1">
        <f>ROUND(AA133*(Destino!AH133/100),2)</f>
        <v>2.4300000000000002</v>
      </c>
      <c r="AE133" s="1">
        <f>ROUND((((AA133+AB133)*1.5039)*(Destino!AI133/100))-AC133,2)</f>
        <v>5.54</v>
      </c>
      <c r="AF133" s="1">
        <f>ROUND((AA133+AB133+AE133)*(J133/100),2)</f>
        <v>1.38</v>
      </c>
      <c r="AG133" s="1">
        <f>ROUND(AA133*T133,2)</f>
        <v>0</v>
      </c>
      <c r="AH133" s="1">
        <f>ROUND(AA133-AD133+AE133+AF133+AG133, 3)</f>
        <v>30.731000000000002</v>
      </c>
      <c r="AI133" s="1">
        <f>AH133*M133*K133</f>
        <v>30.731000000000002</v>
      </c>
      <c r="BA133" s="1" t="s">
        <v>11544</v>
      </c>
      <c r="BB133" s="1">
        <f>AI133</f>
        <v>30.731000000000002</v>
      </c>
      <c r="BD133" s="1">
        <f>N133</f>
        <v>0.75244800000000001</v>
      </c>
    </row>
    <row r="134" spans="1:56" x14ac:dyDescent="0.25">
      <c r="A134" s="1">
        <v>600001043</v>
      </c>
      <c r="B134" s="1">
        <v>1400</v>
      </c>
      <c r="C134" s="1">
        <v>2200001473</v>
      </c>
      <c r="D134" s="1" t="s">
        <v>303</v>
      </c>
      <c r="E134" s="1">
        <f>IF(AND(B134&lt;&gt;1110,B134&lt;&gt;1210,B134&lt;&gt;1510,B134&lt;&gt;1710),B134,IF(B134=1110,"1100",IF(B134=1210,"1200",IF(B134=1510,"1500",IF(B134=1710,"1700","X")))))</f>
        <v>1400</v>
      </c>
      <c r="F134" s="1" t="s">
        <v>11198</v>
      </c>
      <c r="G134" s="1" t="s">
        <v>302</v>
      </c>
      <c r="H134" s="1">
        <f>ROUND(P134/(1-((R134+S134))/100)*Q134, 3)</f>
        <v>67.13</v>
      </c>
      <c r="I134" s="1">
        <v>0.45</v>
      </c>
      <c r="J134" s="1">
        <v>1.5</v>
      </c>
      <c r="K134" s="1">
        <v>1</v>
      </c>
      <c r="L134" s="1" t="s">
        <v>292</v>
      </c>
      <c r="M134" s="1">
        <v>1</v>
      </c>
      <c r="N134" s="1">
        <v>1</v>
      </c>
      <c r="O134" s="1" t="s">
        <v>296</v>
      </c>
      <c r="P134" s="1">
        <v>48.837000000000003</v>
      </c>
      <c r="Q134" s="1">
        <v>1</v>
      </c>
      <c r="R134" s="1">
        <v>18</v>
      </c>
      <c r="S134" s="1">
        <v>9.25</v>
      </c>
      <c r="T134" s="1">
        <v>0</v>
      </c>
      <c r="V134" s="1" t="s">
        <v>11223</v>
      </c>
      <c r="W134" s="1">
        <v>100</v>
      </c>
      <c r="X134" s="1" t="s">
        <v>368</v>
      </c>
      <c r="Y134" s="1" t="s">
        <v>299</v>
      </c>
      <c r="Z134" s="1">
        <v>1</v>
      </c>
      <c r="AA134" s="1">
        <f>ROUND(H134*I134*Z134, 3)</f>
        <v>30.209</v>
      </c>
      <c r="AB134" s="1">
        <f>ROUND(VLOOKUP(X134,'Base de dados'!A:B, 2, 0)*AA134, 2)</f>
        <v>3.02</v>
      </c>
      <c r="AC134" s="1">
        <f>ROUND((AA134*(Destino!AG134/100))*(W134/100),2)</f>
        <v>5.44</v>
      </c>
      <c r="AD134" s="1">
        <f>ROUND(AA134*(Destino!AH134/100),2)</f>
        <v>2.79</v>
      </c>
      <c r="AF134" s="1">
        <f>ROUND((AA134+ AB134)*(J134/100),2)</f>
        <v>0.5</v>
      </c>
      <c r="AG134" s="1">
        <f>ROUND(AA134*T134,2)</f>
        <v>0</v>
      </c>
      <c r="AH134" s="1">
        <f>ROUND(AA134-(AC134+AD134)+AF134+AG134, 3)</f>
        <v>22.478999999999999</v>
      </c>
      <c r="AI134" s="1">
        <f>AH134*M134*K134</f>
        <v>22.478999999999999</v>
      </c>
      <c r="BA134" s="1" t="s">
        <v>11375</v>
      </c>
      <c r="BB134" s="1">
        <f>AI134</f>
        <v>22.478999999999999</v>
      </c>
      <c r="BD134" s="1">
        <f>N134</f>
        <v>1</v>
      </c>
    </row>
    <row r="135" spans="1:56" x14ac:dyDescent="0.25">
      <c r="A135" s="1">
        <v>600001043</v>
      </c>
      <c r="B135" s="1">
        <v>1700</v>
      </c>
      <c r="C135" s="1">
        <v>2200001421</v>
      </c>
      <c r="D135" s="1" t="s">
        <v>303</v>
      </c>
      <c r="E135" s="1">
        <f>IF(AND(B135&lt;&gt;1110,B135&lt;&gt;1210,B135&lt;&gt;1510,B135&lt;&gt;1710),B135,IF(B135=1110,"1100",IF(B135=1210,"1200",IF(B135=1510,"1500",IF(B135=1710,"1700","X")))))</f>
        <v>1700</v>
      </c>
      <c r="F135" s="1" t="s">
        <v>11238</v>
      </c>
      <c r="G135" s="1" t="s">
        <v>302</v>
      </c>
      <c r="H135" s="1">
        <f>ROUND(P135/(1-((R135+S135))/100)*Q135, 3)</f>
        <v>26.841000000000001</v>
      </c>
      <c r="I135" s="1">
        <v>0.25</v>
      </c>
      <c r="J135" s="1">
        <v>3</v>
      </c>
      <c r="K135" s="1">
        <v>1</v>
      </c>
      <c r="L135" s="1" t="s">
        <v>292</v>
      </c>
      <c r="M135" s="1">
        <v>4</v>
      </c>
      <c r="N135" s="1">
        <v>1</v>
      </c>
      <c r="O135" s="1" t="s">
        <v>296</v>
      </c>
      <c r="P135" s="1">
        <f>IFERROR(VLOOKUP(BC135, BA:BA:BB:BB, 2, 0),)</f>
        <v>22.478999999999999</v>
      </c>
      <c r="Q135" s="1">
        <f>IFERROR(VLOOKUP(BC135, BA:BA:BD:BD, 4, 0),1)</f>
        <v>1</v>
      </c>
      <c r="R135" s="1">
        <v>7</v>
      </c>
      <c r="S135" s="1">
        <v>9.25</v>
      </c>
      <c r="T135" s="1">
        <v>0</v>
      </c>
      <c r="V135" s="1" t="s">
        <v>11223</v>
      </c>
      <c r="W135" s="1">
        <v>100</v>
      </c>
      <c r="X135" s="1" t="s">
        <v>368</v>
      </c>
      <c r="Y135" s="1" t="s">
        <v>299</v>
      </c>
      <c r="Z135" s="1">
        <v>1</v>
      </c>
      <c r="AA135" s="1">
        <f>ROUND(H135*I135*Z135, 3)</f>
        <v>6.71</v>
      </c>
      <c r="AB135" s="1">
        <f>ROUND(VLOOKUP(X135,'Base de dados'!A:B, 2, 0)*AA135, 2)</f>
        <v>0.67</v>
      </c>
      <c r="AC135" s="1">
        <f>ROUND((AA135*(Destino!AG135/100))*(W135/100),2)</f>
        <v>0.47</v>
      </c>
      <c r="AD135" s="1">
        <f>ROUND(AA135*(Destino!AH135/100),2)</f>
        <v>0</v>
      </c>
      <c r="AE135" s="1">
        <f>ROUND((((AA135+AB135)*1.48)*(Destino!AI135/100))-AC135,2)</f>
        <v>1.39</v>
      </c>
      <c r="AF135" s="1">
        <f>ROUND((AA135+AB135+AE135)*(J135/100),2)</f>
        <v>0.26</v>
      </c>
      <c r="AG135" s="1">
        <f>ROUND(AA135*T135,2)</f>
        <v>0</v>
      </c>
      <c r="AH135" s="1">
        <f>ROUND(AA135+AB135-AD135+AE135+AF135+AG135, 3)</f>
        <v>9.0299999999999994</v>
      </c>
      <c r="AI135" s="1">
        <f>AH135*M135*K135</f>
        <v>36.119999999999997</v>
      </c>
      <c r="BA135" s="1" t="s">
        <v>11274</v>
      </c>
      <c r="BB135" s="1">
        <f>AI135</f>
        <v>36.119999999999997</v>
      </c>
      <c r="BC135" s="1" t="s">
        <v>11375</v>
      </c>
      <c r="BD135" s="1">
        <f>N135</f>
        <v>1</v>
      </c>
    </row>
    <row r="136" spans="1:56" x14ac:dyDescent="0.25">
      <c r="A136" s="1">
        <v>600001044</v>
      </c>
      <c r="B136" s="1">
        <v>1000</v>
      </c>
      <c r="C136" s="1">
        <v>2200001473</v>
      </c>
      <c r="D136" s="1" t="s">
        <v>303</v>
      </c>
      <c r="E136" s="1">
        <f>IF(AND(B136&lt;&gt;1110,B136&lt;&gt;1210,B136&lt;&gt;1510,B136&lt;&gt;1710),B136,IF(B136=1110,"1100",IF(B136=1210,"1200",IF(B136=1510,"1500",IF(B136=1710,"1700","X")))))</f>
        <v>1000</v>
      </c>
      <c r="F136" s="1" t="s">
        <v>11198</v>
      </c>
      <c r="G136" s="1" t="s">
        <v>302</v>
      </c>
      <c r="H136" s="1">
        <f>ROUND(P136/(1-((R136+S136))/100)*Q136, 3)</f>
        <v>62.021999999999998</v>
      </c>
      <c r="I136" s="1">
        <v>0.45</v>
      </c>
      <c r="J136" s="1">
        <v>1.5</v>
      </c>
      <c r="K136" s="1">
        <v>1</v>
      </c>
      <c r="L136" s="1" t="s">
        <v>292</v>
      </c>
      <c r="M136" s="1">
        <v>1</v>
      </c>
      <c r="N136" s="1">
        <v>1</v>
      </c>
      <c r="O136" s="1" t="s">
        <v>296</v>
      </c>
      <c r="P136" s="1">
        <v>48.841999999999999</v>
      </c>
      <c r="Q136" s="1">
        <v>1</v>
      </c>
      <c r="R136" s="1">
        <v>12</v>
      </c>
      <c r="S136" s="1">
        <v>9.25</v>
      </c>
      <c r="T136" s="1">
        <v>0</v>
      </c>
      <c r="V136" s="1" t="s">
        <v>11223</v>
      </c>
      <c r="W136" s="1">
        <v>100</v>
      </c>
      <c r="X136" s="1" t="s">
        <v>368</v>
      </c>
      <c r="Y136" s="1" t="s">
        <v>299</v>
      </c>
      <c r="Z136" s="1">
        <v>1</v>
      </c>
      <c r="AA136" s="1">
        <f>ROUND(H136*I136*Z136, 3)</f>
        <v>27.91</v>
      </c>
      <c r="AB136" s="1">
        <f>ROUND(VLOOKUP(X136,'Base de dados'!A:B, 2, 0)*AA136, 2)</f>
        <v>2.79</v>
      </c>
      <c r="AC136" s="1">
        <f>ROUND((AA136*(Destino!AG136/100))*(W136/100),2)</f>
        <v>3.35</v>
      </c>
      <c r="AD136" s="1">
        <f>ROUND(AA136*(Destino!AH136/100),2)</f>
        <v>2.58</v>
      </c>
      <c r="AF136" s="1">
        <f>ROUND((AA136+ AB136)*(J136/100),2)</f>
        <v>0.46</v>
      </c>
      <c r="AG136" s="1">
        <f>ROUND(AA136*T136,2)</f>
        <v>0</v>
      </c>
      <c r="AH136" s="1">
        <f>ROUND(AA136-(AC136+AD136)+AF136+AG136, 3)</f>
        <v>22.44</v>
      </c>
      <c r="AI136" s="1">
        <f>AH136*M136*K136</f>
        <v>22.44</v>
      </c>
      <c r="BA136" s="1" t="s">
        <v>11545</v>
      </c>
      <c r="BB136" s="1">
        <f>AI136</f>
        <v>22.44</v>
      </c>
      <c r="BD136" s="1">
        <f>N136</f>
        <v>1</v>
      </c>
    </row>
    <row r="137" spans="1:56" x14ac:dyDescent="0.25">
      <c r="A137" s="1">
        <v>600001044</v>
      </c>
      <c r="B137" s="1">
        <v>1100</v>
      </c>
      <c r="C137" s="1">
        <v>2200001473</v>
      </c>
      <c r="D137" s="1" t="s">
        <v>303</v>
      </c>
      <c r="E137" s="1">
        <f>IF(AND(B137&lt;&gt;1110,B137&lt;&gt;1210,B137&lt;&gt;1510,B137&lt;&gt;1710),B137,IF(B137=1110,"1100",IF(B137=1210,"1200",IF(B137=1510,"1500",IF(B137=1710,"1700","X")))))</f>
        <v>1100</v>
      </c>
      <c r="F137" s="1" t="s">
        <v>11198</v>
      </c>
      <c r="G137" s="1" t="s">
        <v>302</v>
      </c>
      <c r="H137" s="1">
        <f>ROUND(P137/(1-((R137+S137))/100)*Q137, 3)</f>
        <v>58.320999999999998</v>
      </c>
      <c r="I137" s="1">
        <v>0.45</v>
      </c>
      <c r="J137" s="1">
        <v>2</v>
      </c>
      <c r="K137" s="1">
        <v>1</v>
      </c>
      <c r="L137" s="1" t="s">
        <v>292</v>
      </c>
      <c r="M137" s="1">
        <v>1</v>
      </c>
      <c r="N137" s="1">
        <v>1</v>
      </c>
      <c r="O137" s="1" t="s">
        <v>296</v>
      </c>
      <c r="P137" s="1">
        <v>48.844000000000001</v>
      </c>
      <c r="Q137" s="1">
        <v>1</v>
      </c>
      <c r="R137" s="1">
        <v>7</v>
      </c>
      <c r="S137" s="1">
        <v>9.25</v>
      </c>
      <c r="T137" s="1">
        <v>0</v>
      </c>
      <c r="V137" s="1" t="s">
        <v>11223</v>
      </c>
      <c r="W137" s="1">
        <v>100</v>
      </c>
      <c r="X137" s="1" t="s">
        <v>368</v>
      </c>
      <c r="Y137" s="1" t="s">
        <v>299</v>
      </c>
      <c r="Z137" s="1">
        <v>1</v>
      </c>
      <c r="AA137" s="1">
        <f>ROUND(H137*I137*Z137, 3)</f>
        <v>26.244</v>
      </c>
      <c r="AB137" s="1">
        <f>ROUND(VLOOKUP(X137,'Base de dados'!A:B, 2, 0)*AA137, 2)</f>
        <v>2.62</v>
      </c>
      <c r="AC137" s="1">
        <f>ROUND((AA137*(Destino!AG137/100))*(W137/100),2)</f>
        <v>1.84</v>
      </c>
      <c r="AD137" s="1">
        <f>ROUND(AA137*(Destino!AH137/100),2)</f>
        <v>2.4300000000000002</v>
      </c>
      <c r="AF137" s="1">
        <f>ROUND((AA137+ AB137)*(J137/100),2)</f>
        <v>0.57999999999999996</v>
      </c>
      <c r="AG137" s="1">
        <f>ROUND(AA137*T137,2)</f>
        <v>0</v>
      </c>
      <c r="AH137" s="1">
        <f>ROUND(AA137-(AC137+AD137)+AF137+AG137, 3)</f>
        <v>22.553999999999998</v>
      </c>
      <c r="AI137" s="1">
        <f>AH137*M137*K137</f>
        <v>22.553999999999998</v>
      </c>
      <c r="BA137" s="1" t="s">
        <v>11546</v>
      </c>
      <c r="BB137" s="1">
        <f>AI137</f>
        <v>22.553999999999998</v>
      </c>
      <c r="BD137" s="1">
        <f>N137</f>
        <v>1</v>
      </c>
    </row>
    <row r="138" spans="1:56" x14ac:dyDescent="0.25">
      <c r="A138" s="1">
        <v>600001044</v>
      </c>
      <c r="B138" s="1">
        <v>1110</v>
      </c>
      <c r="C138" s="1">
        <v>2200001473</v>
      </c>
      <c r="D138" s="1" t="s">
        <v>303</v>
      </c>
      <c r="E138" s="1" t="str">
        <f>IF(AND(B138&lt;&gt;1110,B138&lt;&gt;1210,B138&lt;&gt;1510,B138&lt;&gt;1710),B138,IF(B138=1110,"1100",IF(B138=1210,"1200",IF(B138=1510,"1500",IF(B138=1710,"1700","X")))))</f>
        <v>1100</v>
      </c>
      <c r="F138" s="1" t="s">
        <v>447</v>
      </c>
      <c r="G138" s="1" t="s">
        <v>302</v>
      </c>
      <c r="H138" s="1">
        <f>ROUND(P138/(1-((R138+S138))/100)*Q138, 3)</f>
        <v>58.320999999999998</v>
      </c>
      <c r="I138" s="1">
        <v>0.45</v>
      </c>
      <c r="J138" s="1">
        <v>4</v>
      </c>
      <c r="K138" s="1">
        <v>1</v>
      </c>
      <c r="L138" s="1" t="s">
        <v>292</v>
      </c>
      <c r="M138" s="1">
        <v>1</v>
      </c>
      <c r="N138" s="1">
        <v>0.75247200000000003</v>
      </c>
      <c r="O138" s="1" t="s">
        <v>296</v>
      </c>
      <c r="P138" s="1">
        <v>48.844000000000001</v>
      </c>
      <c r="Q138" s="1">
        <v>1</v>
      </c>
      <c r="R138" s="1">
        <v>7</v>
      </c>
      <c r="S138" s="1">
        <v>9.25</v>
      </c>
      <c r="T138" s="1">
        <v>0</v>
      </c>
      <c r="V138" s="1" t="s">
        <v>11223</v>
      </c>
      <c r="W138" s="1">
        <v>100</v>
      </c>
      <c r="X138" s="1" t="s">
        <v>368</v>
      </c>
      <c r="Y138" s="1" t="s">
        <v>299</v>
      </c>
      <c r="Z138" s="1">
        <v>1</v>
      </c>
      <c r="AA138" s="1">
        <f>ROUND(H138*I138*Z138, 3)</f>
        <v>26.244</v>
      </c>
      <c r="AB138" s="1">
        <f>ROUND(VLOOKUP(X138,'Base de dados'!A:B, 2, 0)*AA138, 2)</f>
        <v>2.62</v>
      </c>
      <c r="AC138" s="1">
        <f>ROUND((AA138*(Destino!AG138/100))*(W138/100),2)</f>
        <v>1.84</v>
      </c>
      <c r="AD138" s="1">
        <f>ROUND(AA138*(Destino!AH138/100),2)</f>
        <v>2.4300000000000002</v>
      </c>
      <c r="AE138" s="1">
        <f>ROUND((((AA138+AB138)*1.5039)*(Destino!AI138/100))-AC138,2)</f>
        <v>5.54</v>
      </c>
      <c r="AF138" s="1">
        <f>ROUND((AA138+AB138+AE138)*(J138/100),2)</f>
        <v>1.38</v>
      </c>
      <c r="AG138" s="1">
        <f>ROUND(AA138*T138,2)</f>
        <v>0</v>
      </c>
      <c r="AH138" s="1">
        <f>ROUND(AA138-AD138+AE138+AF138+AG138, 3)</f>
        <v>30.734000000000002</v>
      </c>
      <c r="AI138" s="1">
        <f>AH138*M138*K138</f>
        <v>30.734000000000002</v>
      </c>
      <c r="BA138" s="1" t="s">
        <v>11547</v>
      </c>
      <c r="BB138" s="1">
        <f>AI138</f>
        <v>30.734000000000002</v>
      </c>
      <c r="BD138" s="1">
        <f>N138</f>
        <v>0.75247200000000003</v>
      </c>
    </row>
    <row r="139" spans="1:56" x14ac:dyDescent="0.25">
      <c r="A139" s="1">
        <v>600001044</v>
      </c>
      <c r="B139" s="1">
        <v>1400</v>
      </c>
      <c r="C139" s="1">
        <v>2200001473</v>
      </c>
      <c r="D139" s="1" t="s">
        <v>303</v>
      </c>
      <c r="E139" s="1">
        <f>IF(AND(B139&lt;&gt;1110,B139&lt;&gt;1210,B139&lt;&gt;1510,B139&lt;&gt;1710),B139,IF(B139=1110,"1100",IF(B139=1210,"1200",IF(B139=1510,"1500",IF(B139=1710,"1700","X")))))</f>
        <v>1400</v>
      </c>
      <c r="F139" s="1" t="s">
        <v>11198</v>
      </c>
      <c r="G139" s="1" t="s">
        <v>302</v>
      </c>
      <c r="H139" s="1">
        <f>ROUND(P139/(1-((R139+S139))/100)*Q139, 3)</f>
        <v>67.14</v>
      </c>
      <c r="I139" s="1">
        <v>0.45</v>
      </c>
      <c r="J139" s="1">
        <v>1.5</v>
      </c>
      <c r="K139" s="1">
        <v>1</v>
      </c>
      <c r="L139" s="1" t="s">
        <v>292</v>
      </c>
      <c r="M139" s="1">
        <v>1</v>
      </c>
      <c r="N139" s="1">
        <v>1</v>
      </c>
      <c r="O139" s="1" t="s">
        <v>296</v>
      </c>
      <c r="P139" s="1">
        <v>48.844000000000001</v>
      </c>
      <c r="Q139" s="1">
        <v>1</v>
      </c>
      <c r="R139" s="1">
        <v>18</v>
      </c>
      <c r="S139" s="1">
        <v>9.25</v>
      </c>
      <c r="T139" s="1">
        <v>0</v>
      </c>
      <c r="V139" s="1" t="s">
        <v>11223</v>
      </c>
      <c r="W139" s="1">
        <v>100</v>
      </c>
      <c r="X139" s="1" t="s">
        <v>368</v>
      </c>
      <c r="Y139" s="1" t="s">
        <v>299</v>
      </c>
      <c r="Z139" s="1">
        <v>1</v>
      </c>
      <c r="AA139" s="1">
        <f>ROUND(H139*I139*Z139, 3)</f>
        <v>30.213000000000001</v>
      </c>
      <c r="AB139" s="1">
        <f>ROUND(VLOOKUP(X139,'Base de dados'!A:B, 2, 0)*AA139, 2)</f>
        <v>3.02</v>
      </c>
      <c r="AC139" s="1">
        <f>ROUND((AA139*(Destino!AG139/100))*(W139/100),2)</f>
        <v>5.44</v>
      </c>
      <c r="AD139" s="1">
        <f>ROUND(AA139*(Destino!AH139/100),2)</f>
        <v>2.79</v>
      </c>
      <c r="AF139" s="1">
        <f>ROUND((AA139+ AB139)*(J139/100),2)</f>
        <v>0.5</v>
      </c>
      <c r="AG139" s="1">
        <f>ROUND(AA139*T139,2)</f>
        <v>0</v>
      </c>
      <c r="AH139" s="1">
        <f>ROUND(AA139-(AC139+AD139)+AF139+AG139, 3)</f>
        <v>22.483000000000001</v>
      </c>
      <c r="AI139" s="1">
        <f>AH139*M139*K139</f>
        <v>22.483000000000001</v>
      </c>
      <c r="BA139" s="1" t="s">
        <v>11376</v>
      </c>
      <c r="BB139" s="1">
        <f>AI139</f>
        <v>22.483000000000001</v>
      </c>
      <c r="BD139" s="1">
        <f>N139</f>
        <v>1</v>
      </c>
    </row>
    <row r="140" spans="1:56" x14ac:dyDescent="0.25">
      <c r="A140" s="1">
        <v>600001044</v>
      </c>
      <c r="B140" s="1">
        <v>1700</v>
      </c>
      <c r="C140" s="1">
        <v>2200001421</v>
      </c>
      <c r="D140" s="1" t="s">
        <v>303</v>
      </c>
      <c r="E140" s="1">
        <f>IF(AND(B140&lt;&gt;1110,B140&lt;&gt;1210,B140&lt;&gt;1510,B140&lt;&gt;1710),B140,IF(B140=1110,"1100",IF(B140=1210,"1200",IF(B140=1510,"1500",IF(B140=1710,"1700","X")))))</f>
        <v>1700</v>
      </c>
      <c r="F140" s="1" t="s">
        <v>11238</v>
      </c>
      <c r="G140" s="1" t="s">
        <v>302</v>
      </c>
      <c r="H140" s="1">
        <f>ROUND(P140/(1-((R140+S140))/100)*Q140, 3)</f>
        <v>26.844999999999999</v>
      </c>
      <c r="I140" s="1">
        <v>0.25</v>
      </c>
      <c r="J140" s="1">
        <v>3</v>
      </c>
      <c r="K140" s="1">
        <v>1</v>
      </c>
      <c r="L140" s="1" t="s">
        <v>292</v>
      </c>
      <c r="M140" s="1">
        <v>4</v>
      </c>
      <c r="N140" s="1">
        <v>1</v>
      </c>
      <c r="O140" s="1" t="s">
        <v>296</v>
      </c>
      <c r="P140" s="1">
        <f>IFERROR(VLOOKUP(BC140, BA:BA:BB:BB, 2, 0),)</f>
        <v>22.483000000000001</v>
      </c>
      <c r="Q140" s="1">
        <f>IFERROR(VLOOKUP(BC140, BA:BA:BD:BD, 4, 0),1)</f>
        <v>1</v>
      </c>
      <c r="R140" s="1">
        <v>7</v>
      </c>
      <c r="S140" s="1">
        <v>9.25</v>
      </c>
      <c r="T140" s="1">
        <v>0</v>
      </c>
      <c r="V140" s="1" t="s">
        <v>11223</v>
      </c>
      <c r="W140" s="1">
        <v>100</v>
      </c>
      <c r="X140" s="1" t="s">
        <v>368</v>
      </c>
      <c r="Y140" s="1" t="s">
        <v>299</v>
      </c>
      <c r="Z140" s="1">
        <v>1</v>
      </c>
      <c r="AA140" s="1">
        <f>ROUND(H140*I140*Z140, 3)</f>
        <v>6.7110000000000003</v>
      </c>
      <c r="AB140" s="1">
        <f>ROUND(VLOOKUP(X140,'Base de dados'!A:B, 2, 0)*AA140, 2)</f>
        <v>0.67</v>
      </c>
      <c r="AC140" s="1">
        <f>ROUND((AA140*(Destino!AG140/100))*(W140/100),2)</f>
        <v>0.47</v>
      </c>
      <c r="AD140" s="1">
        <f>ROUND(AA140*(Destino!AH140/100),2)</f>
        <v>0</v>
      </c>
      <c r="AE140" s="1">
        <f>ROUND((((AA140+AB140)*1.48)*(Destino!AI140/100))-AC140,2)</f>
        <v>1.39</v>
      </c>
      <c r="AF140" s="1">
        <f>ROUND((AA140+AB140+AE140)*(J140/100),2)</f>
        <v>0.26</v>
      </c>
      <c r="AG140" s="1">
        <f>ROUND(AA140*T140,2)</f>
        <v>0</v>
      </c>
      <c r="AH140" s="1">
        <f>ROUND(AA140+AB140-AD140+AE140+AF140+AG140, 3)</f>
        <v>9.0310000000000006</v>
      </c>
      <c r="AI140" s="1">
        <f>AH140*M140*K140</f>
        <v>36.124000000000002</v>
      </c>
      <c r="BA140" s="1" t="s">
        <v>11275</v>
      </c>
      <c r="BB140" s="1">
        <f>AI140</f>
        <v>36.124000000000002</v>
      </c>
      <c r="BC140" s="1" t="s">
        <v>11376</v>
      </c>
      <c r="BD140" s="1">
        <f>N140</f>
        <v>1</v>
      </c>
    </row>
    <row r="141" spans="1:56" x14ac:dyDescent="0.25">
      <c r="A141" s="1">
        <v>600001045</v>
      </c>
      <c r="B141" s="1">
        <v>1000</v>
      </c>
      <c r="C141" s="1">
        <v>2200001473</v>
      </c>
      <c r="D141" s="1" t="s">
        <v>303</v>
      </c>
      <c r="E141" s="1">
        <f>IF(AND(B141&lt;&gt;1110,B141&lt;&gt;1210,B141&lt;&gt;1510,B141&lt;&gt;1710),B141,IF(B141=1110,"1100",IF(B141=1210,"1200",IF(B141=1510,"1500",IF(B141=1710,"1700","X")))))</f>
        <v>1000</v>
      </c>
      <c r="F141" s="1" t="s">
        <v>11198</v>
      </c>
      <c r="G141" s="1" t="s">
        <v>302</v>
      </c>
      <c r="H141" s="1">
        <f>ROUND(P141/(1-((R141+S141))/100)*Q141, 3)</f>
        <v>69.141999999999996</v>
      </c>
      <c r="I141" s="1">
        <v>0.45</v>
      </c>
      <c r="J141" s="1">
        <v>1.5</v>
      </c>
      <c r="K141" s="1">
        <v>1</v>
      </c>
      <c r="L141" s="1" t="s">
        <v>292</v>
      </c>
      <c r="M141" s="1">
        <v>1</v>
      </c>
      <c r="N141" s="1">
        <v>1</v>
      </c>
      <c r="O141" s="1" t="s">
        <v>296</v>
      </c>
      <c r="P141" s="1">
        <v>54.448999999999998</v>
      </c>
      <c r="Q141" s="1">
        <v>1</v>
      </c>
      <c r="R141" s="1">
        <v>12</v>
      </c>
      <c r="S141" s="1">
        <v>9.25</v>
      </c>
      <c r="T141" s="1">
        <v>0</v>
      </c>
      <c r="V141" s="1" t="s">
        <v>11223</v>
      </c>
      <c r="W141" s="1">
        <v>100</v>
      </c>
      <c r="X141" s="1" t="s">
        <v>368</v>
      </c>
      <c r="Y141" s="1" t="s">
        <v>299</v>
      </c>
      <c r="Z141" s="1">
        <v>1</v>
      </c>
      <c r="AA141" s="1">
        <f>ROUND(H141*I141*Z141, 3)</f>
        <v>31.114000000000001</v>
      </c>
      <c r="AB141" s="1">
        <f>ROUND(VLOOKUP(X141,'Base de dados'!A:B, 2, 0)*AA141, 2)</f>
        <v>3.11</v>
      </c>
      <c r="AC141" s="1">
        <f>ROUND((AA141*(Destino!AG141/100))*(W141/100),2)</f>
        <v>3.73</v>
      </c>
      <c r="AD141" s="1">
        <f>ROUND(AA141*(Destino!AH141/100),2)</f>
        <v>2.88</v>
      </c>
      <c r="AF141" s="1">
        <f>ROUND((AA141+ AB141)*(J141/100),2)</f>
        <v>0.51</v>
      </c>
      <c r="AG141" s="1">
        <f>ROUND(AA141*T141,2)</f>
        <v>0</v>
      </c>
      <c r="AH141" s="1">
        <f>ROUND(AA141-(AC141+AD141)+AF141+AG141, 3)</f>
        <v>25.013999999999999</v>
      </c>
      <c r="AI141" s="1">
        <f>AH141*M141*K141</f>
        <v>25.013999999999999</v>
      </c>
      <c r="BA141" s="1" t="s">
        <v>11548</v>
      </c>
      <c r="BB141" s="1">
        <f>AI141</f>
        <v>25.013999999999999</v>
      </c>
      <c r="BD141" s="1">
        <f>N141</f>
        <v>1</v>
      </c>
    </row>
    <row r="142" spans="1:56" x14ac:dyDescent="0.25">
      <c r="A142" s="1">
        <v>600001045</v>
      </c>
      <c r="B142" s="1">
        <v>1100</v>
      </c>
      <c r="C142" s="1">
        <v>2200001473</v>
      </c>
      <c r="D142" s="1" t="s">
        <v>303</v>
      </c>
      <c r="E142" s="1">
        <f>IF(AND(B142&lt;&gt;1110,B142&lt;&gt;1210,B142&lt;&gt;1510,B142&lt;&gt;1710),B142,IF(B142=1110,"1100",IF(B142=1210,"1200",IF(B142=1510,"1500",IF(B142=1710,"1700","X")))))</f>
        <v>1100</v>
      </c>
      <c r="F142" s="1" t="s">
        <v>11198</v>
      </c>
      <c r="G142" s="1" t="s">
        <v>302</v>
      </c>
      <c r="H142" s="1">
        <f>ROUND(P142/(1-((R142+S142))/100)*Q142, 3)</f>
        <v>65.010000000000005</v>
      </c>
      <c r="I142" s="1">
        <v>0.45</v>
      </c>
      <c r="J142" s="1">
        <v>2</v>
      </c>
      <c r="K142" s="1">
        <v>1</v>
      </c>
      <c r="L142" s="1" t="s">
        <v>292</v>
      </c>
      <c r="M142" s="1">
        <v>1</v>
      </c>
      <c r="N142" s="1">
        <v>1</v>
      </c>
      <c r="O142" s="1" t="s">
        <v>296</v>
      </c>
      <c r="P142" s="1">
        <v>54.445999999999998</v>
      </c>
      <c r="Q142" s="1">
        <v>1</v>
      </c>
      <c r="R142" s="1">
        <v>7</v>
      </c>
      <c r="S142" s="1">
        <v>9.25</v>
      </c>
      <c r="T142" s="1">
        <v>0</v>
      </c>
      <c r="V142" s="1" t="s">
        <v>11223</v>
      </c>
      <c r="W142" s="1">
        <v>100</v>
      </c>
      <c r="X142" s="1" t="s">
        <v>368</v>
      </c>
      <c r="Y142" s="1" t="s">
        <v>299</v>
      </c>
      <c r="Z142" s="1">
        <v>1</v>
      </c>
      <c r="AA142" s="1">
        <f>ROUND(H142*I142*Z142, 3)</f>
        <v>29.254999999999999</v>
      </c>
      <c r="AB142" s="1">
        <f>ROUND(VLOOKUP(X142,'Base de dados'!A:B, 2, 0)*AA142, 2)</f>
        <v>2.93</v>
      </c>
      <c r="AC142" s="1">
        <f>ROUND((AA142*(Destino!AG142/100))*(W142/100),2)</f>
        <v>2.0499999999999998</v>
      </c>
      <c r="AD142" s="1">
        <f>ROUND(AA142*(Destino!AH142/100),2)</f>
        <v>2.71</v>
      </c>
      <c r="AF142" s="1">
        <f>ROUND((AA142+ AB142)*(J142/100),2)</f>
        <v>0.64</v>
      </c>
      <c r="AG142" s="1">
        <f>ROUND(AA142*T142,2)</f>
        <v>0</v>
      </c>
      <c r="AH142" s="1">
        <f>ROUND(AA142-(AC142+AD142)+AF142+AG142, 3)</f>
        <v>25.135000000000002</v>
      </c>
      <c r="AI142" s="1">
        <f>AH142*M142*K142</f>
        <v>25.135000000000002</v>
      </c>
      <c r="BA142" s="1" t="s">
        <v>11549</v>
      </c>
      <c r="BB142" s="1">
        <f>AI142</f>
        <v>25.135000000000002</v>
      </c>
      <c r="BD142" s="1">
        <f>N142</f>
        <v>1</v>
      </c>
    </row>
    <row r="143" spans="1:56" x14ac:dyDescent="0.25">
      <c r="A143" s="1">
        <v>600001045</v>
      </c>
      <c r="B143" s="1">
        <v>1110</v>
      </c>
      <c r="C143" s="1">
        <v>2200001473</v>
      </c>
      <c r="D143" s="1" t="s">
        <v>303</v>
      </c>
      <c r="E143" s="1" t="str">
        <f>IF(AND(B143&lt;&gt;1110,B143&lt;&gt;1210,B143&lt;&gt;1510,B143&lt;&gt;1710),B143,IF(B143=1110,"1100",IF(B143=1210,"1200",IF(B143=1510,"1500",IF(B143=1710,"1700","X")))))</f>
        <v>1100</v>
      </c>
      <c r="F143" s="1" t="s">
        <v>447</v>
      </c>
      <c r="G143" s="1" t="s">
        <v>302</v>
      </c>
      <c r="H143" s="1">
        <f>ROUND(P143/(1-((R143+S143))/100)*Q143, 3)</f>
        <v>65.010000000000005</v>
      </c>
      <c r="I143" s="1">
        <v>0.45</v>
      </c>
      <c r="J143" s="1">
        <v>4</v>
      </c>
      <c r="K143" s="1">
        <v>1</v>
      </c>
      <c r="L143" s="1" t="s">
        <v>292</v>
      </c>
      <c r="M143" s="1">
        <v>1</v>
      </c>
      <c r="N143" s="1">
        <v>0.75280899999999995</v>
      </c>
      <c r="O143" s="1" t="s">
        <v>296</v>
      </c>
      <c r="P143" s="1">
        <v>54.445999999999998</v>
      </c>
      <c r="Q143" s="1">
        <v>1</v>
      </c>
      <c r="R143" s="1">
        <v>7</v>
      </c>
      <c r="S143" s="1">
        <v>9.25</v>
      </c>
      <c r="T143" s="1">
        <v>0</v>
      </c>
      <c r="V143" s="1" t="s">
        <v>11223</v>
      </c>
      <c r="W143" s="1">
        <v>100</v>
      </c>
      <c r="X143" s="1" t="s">
        <v>368</v>
      </c>
      <c r="Y143" s="1" t="s">
        <v>299</v>
      </c>
      <c r="Z143" s="1">
        <v>1</v>
      </c>
      <c r="AA143" s="1">
        <f>ROUND(H143*I143*Z143, 3)</f>
        <v>29.254999999999999</v>
      </c>
      <c r="AB143" s="1">
        <f>ROUND(VLOOKUP(X143,'Base de dados'!A:B, 2, 0)*AA143, 2)</f>
        <v>2.93</v>
      </c>
      <c r="AC143" s="1">
        <f>ROUND((AA143*(Destino!AG143/100))*(W143/100),2)</f>
        <v>2.0499999999999998</v>
      </c>
      <c r="AD143" s="1">
        <f>ROUND(AA143*(Destino!AH143/100),2)</f>
        <v>2.71</v>
      </c>
      <c r="AE143" s="1">
        <f>ROUND((((AA143+AB143)*1.5039)*(Destino!AI143/100))-AC143,2)</f>
        <v>6.18</v>
      </c>
      <c r="AF143" s="1">
        <f>ROUND((AA143+AB143+AE143)*(J143/100),2)</f>
        <v>1.53</v>
      </c>
      <c r="AG143" s="1">
        <f>ROUND(AA143*T143,2)</f>
        <v>0</v>
      </c>
      <c r="AH143" s="1">
        <f>ROUND(AA143-AD143+AE143+AF143+AG143, 3)</f>
        <v>34.255000000000003</v>
      </c>
      <c r="AI143" s="1">
        <f>AH143*M143*K143</f>
        <v>34.255000000000003</v>
      </c>
      <c r="BA143" s="1" t="s">
        <v>11550</v>
      </c>
      <c r="BB143" s="1">
        <f>AI143</f>
        <v>34.255000000000003</v>
      </c>
      <c r="BD143" s="1">
        <f>N143</f>
        <v>0.75280899999999995</v>
      </c>
    </row>
    <row r="144" spans="1:56" x14ac:dyDescent="0.25">
      <c r="A144" s="1">
        <v>600001045</v>
      </c>
      <c r="B144" s="1">
        <v>1400</v>
      </c>
      <c r="C144" s="1">
        <v>2200001473</v>
      </c>
      <c r="D144" s="1" t="s">
        <v>303</v>
      </c>
      <c r="E144" s="1">
        <f>IF(AND(B144&lt;&gt;1110,B144&lt;&gt;1210,B144&lt;&gt;1510,B144&lt;&gt;1710),B144,IF(B144=1110,"1100",IF(B144=1210,"1200",IF(B144=1510,"1500",IF(B144=1710,"1700","X")))))</f>
        <v>1400</v>
      </c>
      <c r="F144" s="1" t="s">
        <v>11198</v>
      </c>
      <c r="G144" s="1" t="s">
        <v>302</v>
      </c>
      <c r="H144" s="1">
        <f>ROUND(P144/(1-((R144+S144))/100)*Q144, 3)</f>
        <v>74.84</v>
      </c>
      <c r="I144" s="1">
        <v>0.45</v>
      </c>
      <c r="J144" s="1">
        <v>1.5</v>
      </c>
      <c r="K144" s="1">
        <v>1</v>
      </c>
      <c r="L144" s="1" t="s">
        <v>292</v>
      </c>
      <c r="M144" s="1">
        <v>1</v>
      </c>
      <c r="N144" s="1">
        <v>1</v>
      </c>
      <c r="O144" s="1" t="s">
        <v>296</v>
      </c>
      <c r="P144" s="1">
        <v>54.445999999999998</v>
      </c>
      <c r="Q144" s="1">
        <v>1</v>
      </c>
      <c r="R144" s="1">
        <v>18</v>
      </c>
      <c r="S144" s="1">
        <v>9.25</v>
      </c>
      <c r="T144" s="1">
        <v>0</v>
      </c>
      <c r="V144" s="1" t="s">
        <v>11223</v>
      </c>
      <c r="W144" s="1">
        <v>100</v>
      </c>
      <c r="X144" s="1" t="s">
        <v>368</v>
      </c>
      <c r="Y144" s="1" t="s">
        <v>299</v>
      </c>
      <c r="Z144" s="1">
        <v>1</v>
      </c>
      <c r="AA144" s="1">
        <f>ROUND(H144*I144*Z144, 3)</f>
        <v>33.677999999999997</v>
      </c>
      <c r="AB144" s="1">
        <f>ROUND(VLOOKUP(X144,'Base de dados'!A:B, 2, 0)*AA144, 2)</f>
        <v>3.37</v>
      </c>
      <c r="AC144" s="1">
        <f>ROUND((AA144*(Destino!AG144/100))*(W144/100),2)</f>
        <v>6.06</v>
      </c>
      <c r="AD144" s="1">
        <f>ROUND(AA144*(Destino!AH144/100),2)</f>
        <v>3.12</v>
      </c>
      <c r="AF144" s="1">
        <f>ROUND((AA144+ AB144)*(J144/100),2)</f>
        <v>0.56000000000000005</v>
      </c>
      <c r="AG144" s="1">
        <f>ROUND(AA144*T144,2)</f>
        <v>0</v>
      </c>
      <c r="AH144" s="1">
        <f>ROUND(AA144-(AC144+AD144)+AF144+AG144, 3)</f>
        <v>25.058</v>
      </c>
      <c r="AI144" s="1">
        <f>AH144*M144*K144</f>
        <v>25.058</v>
      </c>
      <c r="BA144" s="1" t="s">
        <v>11377</v>
      </c>
      <c r="BB144" s="1">
        <f>AI144</f>
        <v>25.058</v>
      </c>
      <c r="BD144" s="1">
        <f>N144</f>
        <v>1</v>
      </c>
    </row>
    <row r="145" spans="1:56" x14ac:dyDescent="0.25">
      <c r="A145" s="1">
        <v>600001045</v>
      </c>
      <c r="B145" s="1">
        <v>1700</v>
      </c>
      <c r="C145" s="1">
        <v>2200001421</v>
      </c>
      <c r="D145" s="1" t="s">
        <v>303</v>
      </c>
      <c r="E145" s="1">
        <f>IF(AND(B145&lt;&gt;1110,B145&lt;&gt;1210,B145&lt;&gt;1510,B145&lt;&gt;1710),B145,IF(B145=1110,"1100",IF(B145=1210,"1200",IF(B145=1510,"1500",IF(B145=1710,"1700","X")))))</f>
        <v>1700</v>
      </c>
      <c r="F145" s="1" t="s">
        <v>11238</v>
      </c>
      <c r="G145" s="1" t="s">
        <v>302</v>
      </c>
      <c r="H145" s="1">
        <f>ROUND(P145/(1-((R145+S145))/100)*Q145, 3)</f>
        <v>29.92</v>
      </c>
      <c r="I145" s="1">
        <v>0.25</v>
      </c>
      <c r="J145" s="1">
        <v>3</v>
      </c>
      <c r="K145" s="1">
        <v>1</v>
      </c>
      <c r="L145" s="1" t="s">
        <v>292</v>
      </c>
      <c r="M145" s="1">
        <v>4</v>
      </c>
      <c r="N145" s="1">
        <v>1</v>
      </c>
      <c r="O145" s="1" t="s">
        <v>296</v>
      </c>
      <c r="P145" s="1">
        <f>IFERROR(VLOOKUP(BC145, BA:BA:BB:BB, 2, 0),)</f>
        <v>25.058</v>
      </c>
      <c r="Q145" s="1">
        <f>IFERROR(VLOOKUP(BC145, BA:BA:BD:BD, 4, 0),1)</f>
        <v>1</v>
      </c>
      <c r="R145" s="1">
        <v>7</v>
      </c>
      <c r="S145" s="1">
        <v>9.25</v>
      </c>
      <c r="T145" s="1">
        <v>0</v>
      </c>
      <c r="V145" s="1" t="s">
        <v>11223</v>
      </c>
      <c r="W145" s="1">
        <v>100</v>
      </c>
      <c r="X145" s="1" t="s">
        <v>368</v>
      </c>
      <c r="Y145" s="1" t="s">
        <v>299</v>
      </c>
      <c r="Z145" s="1">
        <v>1</v>
      </c>
      <c r="AA145" s="1">
        <f>ROUND(H145*I145*Z145, 3)</f>
        <v>7.48</v>
      </c>
      <c r="AB145" s="1">
        <f>ROUND(VLOOKUP(X145,'Base de dados'!A:B, 2, 0)*AA145, 2)</f>
        <v>0.75</v>
      </c>
      <c r="AC145" s="1">
        <f>ROUND((AA145*(Destino!AG145/100))*(W145/100),2)</f>
        <v>0.52</v>
      </c>
      <c r="AD145" s="1">
        <f>ROUND(AA145*(Destino!AH145/100),2)</f>
        <v>0</v>
      </c>
      <c r="AE145" s="1">
        <f>ROUND((((AA145+AB145)*1.48)*(Destino!AI145/100))-AC145,2)</f>
        <v>1.55</v>
      </c>
      <c r="AF145" s="1">
        <f>ROUND((AA145+AB145+AE145)*(J145/100),2)</f>
        <v>0.28999999999999998</v>
      </c>
      <c r="AG145" s="1">
        <f>ROUND(AA145*T145,2)</f>
        <v>0</v>
      </c>
      <c r="AH145" s="1">
        <f>ROUND(AA145+AB145-AD145+AE145+AF145+AG145, 3)</f>
        <v>10.07</v>
      </c>
      <c r="AI145" s="1">
        <f>AH145*M145*K145</f>
        <v>40.28</v>
      </c>
      <c r="BA145" s="1" t="s">
        <v>11276</v>
      </c>
      <c r="BB145" s="1">
        <f>AI145</f>
        <v>40.28</v>
      </c>
      <c r="BC145" s="1" t="s">
        <v>11377</v>
      </c>
      <c r="BD145" s="1">
        <f>N145</f>
        <v>1</v>
      </c>
    </row>
    <row r="146" spans="1:56" x14ac:dyDescent="0.25">
      <c r="A146" s="1">
        <v>600001053</v>
      </c>
      <c r="B146" s="1">
        <v>1000</v>
      </c>
      <c r="C146" s="1">
        <v>2200001473</v>
      </c>
      <c r="D146" s="1" t="s">
        <v>303</v>
      </c>
      <c r="E146" s="1">
        <f>IF(AND(B146&lt;&gt;1110,B146&lt;&gt;1210,B146&lt;&gt;1510,B146&lt;&gt;1710),B146,IF(B146=1110,"1100",IF(B146=1210,"1200",IF(B146=1510,"1500",IF(B146=1710,"1700","X")))))</f>
        <v>1000</v>
      </c>
      <c r="F146" s="1" t="s">
        <v>11198</v>
      </c>
      <c r="G146" s="1" t="s">
        <v>302</v>
      </c>
      <c r="H146" s="1">
        <f>ROUND(P146/(1-((R146+S146))/100)*Q146, 3)</f>
        <v>128.56399999999999</v>
      </c>
      <c r="I146" s="1">
        <v>0.45</v>
      </c>
      <c r="J146" s="1">
        <v>1.5</v>
      </c>
      <c r="K146" s="1">
        <v>1</v>
      </c>
      <c r="L146" s="1" t="s">
        <v>292</v>
      </c>
      <c r="M146" s="1">
        <v>1</v>
      </c>
      <c r="N146" s="1">
        <v>1</v>
      </c>
      <c r="O146" s="1" t="s">
        <v>296</v>
      </c>
      <c r="P146" s="1">
        <v>101.244</v>
      </c>
      <c r="Q146" s="1">
        <v>1</v>
      </c>
      <c r="R146" s="1">
        <v>12</v>
      </c>
      <c r="S146" s="1">
        <v>9.25</v>
      </c>
      <c r="T146" s="1">
        <v>0</v>
      </c>
      <c r="V146" s="1" t="s">
        <v>11223</v>
      </c>
      <c r="W146" s="1">
        <v>100</v>
      </c>
      <c r="X146" s="1" t="s">
        <v>298</v>
      </c>
      <c r="Y146" s="1" t="s">
        <v>299</v>
      </c>
      <c r="Z146" s="1">
        <v>1</v>
      </c>
      <c r="AA146" s="1">
        <f>ROUND(H146*I146*Z146, 3)</f>
        <v>57.853999999999999</v>
      </c>
      <c r="AB146" s="1">
        <f>ROUND(VLOOKUP(X146,'Base de dados'!A:B, 2, 0)*AA146, 2)</f>
        <v>5.79</v>
      </c>
      <c r="AC146" s="1">
        <f>ROUND((AA146*(Destino!AG146/100))*(W146/100),2)</f>
        <v>6.94</v>
      </c>
      <c r="AD146" s="1">
        <f>ROUND(AA146*(Destino!AH146/100),2)</f>
        <v>5.35</v>
      </c>
      <c r="AF146" s="1">
        <f>ROUND((AA146+ AB146)*(J146/100),2)</f>
        <v>0.95</v>
      </c>
      <c r="AG146" s="1">
        <f>ROUND(AA146*T146,2)</f>
        <v>0</v>
      </c>
      <c r="AH146" s="1">
        <f>ROUND(AA146-(AC146+AD146)+AF146+AG146, 3)</f>
        <v>46.514000000000003</v>
      </c>
      <c r="AI146" s="1">
        <f>AH146*M146*K146</f>
        <v>46.514000000000003</v>
      </c>
      <c r="BA146" s="1" t="s">
        <v>11551</v>
      </c>
      <c r="BB146" s="1">
        <f>AI146</f>
        <v>46.514000000000003</v>
      </c>
      <c r="BD146" s="1">
        <f>N146</f>
        <v>1</v>
      </c>
    </row>
    <row r="147" spans="1:56" x14ac:dyDescent="0.25">
      <c r="A147" s="1">
        <v>600001053</v>
      </c>
      <c r="B147" s="1">
        <v>1100</v>
      </c>
      <c r="C147" s="1">
        <v>2200001473</v>
      </c>
      <c r="D147" s="1" t="s">
        <v>303</v>
      </c>
      <c r="E147" s="1">
        <f>IF(AND(B147&lt;&gt;1110,B147&lt;&gt;1210,B147&lt;&gt;1510,B147&lt;&gt;1710),B147,IF(B147=1110,"1100",IF(B147=1210,"1200",IF(B147=1510,"1500",IF(B147=1710,"1700","X")))))</f>
        <v>1100</v>
      </c>
      <c r="F147" s="1" t="s">
        <v>11198</v>
      </c>
      <c r="G147" s="1" t="s">
        <v>302</v>
      </c>
      <c r="H147" s="1">
        <f>ROUND(P147/(1-((R147+S147))/100)*Q147, 3)</f>
        <v>120.89100000000001</v>
      </c>
      <c r="I147" s="1">
        <v>0.45</v>
      </c>
      <c r="J147" s="1">
        <v>2</v>
      </c>
      <c r="K147" s="1">
        <v>1</v>
      </c>
      <c r="L147" s="1" t="s">
        <v>292</v>
      </c>
      <c r="M147" s="1">
        <v>1</v>
      </c>
      <c r="N147" s="1">
        <v>1</v>
      </c>
      <c r="O147" s="1" t="s">
        <v>296</v>
      </c>
      <c r="P147" s="1">
        <v>101.246</v>
      </c>
      <c r="Q147" s="1">
        <v>1</v>
      </c>
      <c r="R147" s="1">
        <v>7</v>
      </c>
      <c r="S147" s="1">
        <v>9.25</v>
      </c>
      <c r="T147" s="1">
        <v>0</v>
      </c>
      <c r="V147" s="1" t="s">
        <v>11223</v>
      </c>
      <c r="W147" s="1">
        <v>100</v>
      </c>
      <c r="X147" s="1" t="s">
        <v>298</v>
      </c>
      <c r="Y147" s="1" t="s">
        <v>299</v>
      </c>
      <c r="Z147" s="1">
        <v>1</v>
      </c>
      <c r="AA147" s="1">
        <f>ROUND(H147*I147*Z147, 3)</f>
        <v>54.401000000000003</v>
      </c>
      <c r="AB147" s="1">
        <f>ROUND(VLOOKUP(X147,'Base de dados'!A:B, 2, 0)*AA147, 2)</f>
        <v>5.44</v>
      </c>
      <c r="AC147" s="1">
        <f>ROUND((AA147*(Destino!AG147/100))*(W147/100),2)</f>
        <v>3.81</v>
      </c>
      <c r="AD147" s="1">
        <f>ROUND(AA147*(Destino!AH147/100),2)</f>
        <v>5.03</v>
      </c>
      <c r="AF147" s="1">
        <f>ROUND((AA147+ AB147)*(J147/100),2)</f>
        <v>1.2</v>
      </c>
      <c r="AG147" s="1">
        <f>ROUND(AA147*T147,2)</f>
        <v>0</v>
      </c>
      <c r="AH147" s="1">
        <f>ROUND(AA147-(AC147+AD147)+AF147+AG147, 3)</f>
        <v>46.761000000000003</v>
      </c>
      <c r="AI147" s="1">
        <f>AH147*M147*K147</f>
        <v>46.761000000000003</v>
      </c>
      <c r="BA147" s="1" t="s">
        <v>11552</v>
      </c>
      <c r="BB147" s="1">
        <f>AI147</f>
        <v>46.761000000000003</v>
      </c>
      <c r="BD147" s="1">
        <f>N147</f>
        <v>1</v>
      </c>
    </row>
    <row r="148" spans="1:56" x14ac:dyDescent="0.25">
      <c r="A148" s="1">
        <v>600001053</v>
      </c>
      <c r="B148" s="1">
        <v>1110</v>
      </c>
      <c r="C148" s="1">
        <v>2200001473</v>
      </c>
      <c r="D148" s="1" t="s">
        <v>303</v>
      </c>
      <c r="E148" s="1" t="str">
        <f>IF(AND(B148&lt;&gt;1110,B148&lt;&gt;1210,B148&lt;&gt;1510,B148&lt;&gt;1710),B148,IF(B148=1110,"1100",IF(B148=1210,"1200",IF(B148=1510,"1500",IF(B148=1710,"1700","X")))))</f>
        <v>1100</v>
      </c>
      <c r="F148" s="1" t="s">
        <v>447</v>
      </c>
      <c r="G148" s="1" t="s">
        <v>302</v>
      </c>
      <c r="H148" s="1">
        <f>ROUND(P148/(1-((R148+S148))/100)*Q148, 3)</f>
        <v>120.89100000000001</v>
      </c>
      <c r="I148" s="1">
        <v>0.45</v>
      </c>
      <c r="J148" s="1">
        <v>4</v>
      </c>
      <c r="K148" s="1">
        <v>1</v>
      </c>
      <c r="L148" s="1" t="s">
        <v>292</v>
      </c>
      <c r="M148" s="1">
        <v>1</v>
      </c>
      <c r="N148" s="1">
        <v>0.752633</v>
      </c>
      <c r="O148" s="1" t="s">
        <v>296</v>
      </c>
      <c r="P148" s="1">
        <v>101.246</v>
      </c>
      <c r="Q148" s="1">
        <v>1</v>
      </c>
      <c r="R148" s="1">
        <v>7</v>
      </c>
      <c r="S148" s="1">
        <v>9.25</v>
      </c>
      <c r="T148" s="1">
        <v>0</v>
      </c>
      <c r="V148" s="1" t="s">
        <v>11223</v>
      </c>
      <c r="W148" s="1">
        <v>100</v>
      </c>
      <c r="X148" s="1" t="s">
        <v>298</v>
      </c>
      <c r="Y148" s="1" t="s">
        <v>299</v>
      </c>
      <c r="Z148" s="1">
        <v>1</v>
      </c>
      <c r="AA148" s="1">
        <f>ROUND(H148*I148*Z148, 3)</f>
        <v>54.401000000000003</v>
      </c>
      <c r="AB148" s="1">
        <f>ROUND(VLOOKUP(X148,'Base de dados'!A:B, 2, 0)*AA148, 2)</f>
        <v>5.44</v>
      </c>
      <c r="AC148" s="1">
        <f>ROUND((AA148*(Destino!AG148/100))*(W148/100),2)</f>
        <v>3.81</v>
      </c>
      <c r="AD148" s="1">
        <f>ROUND(AA148*(Destino!AH148/100),2)</f>
        <v>5.03</v>
      </c>
      <c r="AE148" s="1">
        <f>ROUND((((AA148+AB148)*1.5039)*(Destino!AI148/100))-AC148,2)</f>
        <v>11.49</v>
      </c>
      <c r="AF148" s="1">
        <f>ROUND((AA148+AB148+AE148)*(J148/100),2)</f>
        <v>2.85</v>
      </c>
      <c r="AG148" s="1">
        <f>ROUND(AA148*T148,2)</f>
        <v>0</v>
      </c>
      <c r="AH148" s="1">
        <f>ROUND(AA148-AD148+AE148+AF148+AG148, 3)</f>
        <v>63.710999999999999</v>
      </c>
      <c r="AI148" s="1">
        <f>AH148*M148*K148</f>
        <v>63.710999999999999</v>
      </c>
      <c r="BA148" s="1" t="s">
        <v>11553</v>
      </c>
      <c r="BB148" s="1">
        <f>AI148</f>
        <v>63.710999999999999</v>
      </c>
      <c r="BD148" s="1">
        <f>N148</f>
        <v>0.752633</v>
      </c>
    </row>
    <row r="149" spans="1:56" x14ac:dyDescent="0.25">
      <c r="A149" s="1">
        <v>600001053</v>
      </c>
      <c r="B149" s="1">
        <v>1400</v>
      </c>
      <c r="C149" s="1">
        <v>2200001473</v>
      </c>
      <c r="D149" s="1" t="s">
        <v>303</v>
      </c>
      <c r="E149" s="1">
        <f>IF(AND(B149&lt;&gt;1110,B149&lt;&gt;1210,B149&lt;&gt;1510,B149&lt;&gt;1710),B149,IF(B149=1110,"1100",IF(B149=1210,"1200",IF(B149=1510,"1500",IF(B149=1710,"1700","X")))))</f>
        <v>1400</v>
      </c>
      <c r="F149" s="1" t="s">
        <v>11198</v>
      </c>
      <c r="G149" s="1" t="s">
        <v>302</v>
      </c>
      <c r="H149" s="1">
        <f>ROUND(P149/(1-((R149+S149))/100)*Q149, 3)</f>
        <v>139.16999999999999</v>
      </c>
      <c r="I149" s="1">
        <v>0.45</v>
      </c>
      <c r="J149" s="1">
        <v>1.5</v>
      </c>
      <c r="K149" s="1">
        <v>1</v>
      </c>
      <c r="L149" s="1" t="s">
        <v>292</v>
      </c>
      <c r="M149" s="1">
        <v>1</v>
      </c>
      <c r="N149" s="1">
        <v>1</v>
      </c>
      <c r="O149" s="1" t="s">
        <v>296</v>
      </c>
      <c r="P149" s="1">
        <v>101.246</v>
      </c>
      <c r="Q149" s="1">
        <v>1</v>
      </c>
      <c r="R149" s="1">
        <v>18</v>
      </c>
      <c r="S149" s="1">
        <v>9.25</v>
      </c>
      <c r="T149" s="1">
        <v>0</v>
      </c>
      <c r="V149" s="1" t="s">
        <v>11223</v>
      </c>
      <c r="W149" s="1">
        <v>100</v>
      </c>
      <c r="X149" s="1" t="s">
        <v>298</v>
      </c>
      <c r="Y149" s="1" t="s">
        <v>299</v>
      </c>
      <c r="Z149" s="1">
        <v>1</v>
      </c>
      <c r="AA149" s="1">
        <f>ROUND(H149*I149*Z149, 3)</f>
        <v>62.627000000000002</v>
      </c>
      <c r="AB149" s="1">
        <f>ROUND(VLOOKUP(X149,'Base de dados'!A:B, 2, 0)*AA149, 2)</f>
        <v>6.26</v>
      </c>
      <c r="AC149" s="1">
        <f>ROUND((AA149*(Destino!AG149/100))*(W149/100),2)</f>
        <v>11.27</v>
      </c>
      <c r="AD149" s="1">
        <f>ROUND(AA149*(Destino!AH149/100),2)</f>
        <v>5.79</v>
      </c>
      <c r="AF149" s="1">
        <f>ROUND((AA149+ AB149)*(J149/100),2)</f>
        <v>1.03</v>
      </c>
      <c r="AG149" s="1">
        <f>ROUND(AA149*T149,2)</f>
        <v>0</v>
      </c>
      <c r="AH149" s="1">
        <f>ROUND(AA149-(AC149+AD149)+AF149+AG149, 3)</f>
        <v>46.597000000000001</v>
      </c>
      <c r="AI149" s="1">
        <f>AH149*M149*K149</f>
        <v>46.597000000000001</v>
      </c>
      <c r="BA149" s="1" t="s">
        <v>11378</v>
      </c>
      <c r="BB149" s="1">
        <f>AI149</f>
        <v>46.597000000000001</v>
      </c>
      <c r="BD149" s="1">
        <f>N149</f>
        <v>1</v>
      </c>
    </row>
    <row r="150" spans="1:56" x14ac:dyDescent="0.25">
      <c r="A150" s="1">
        <v>600001053</v>
      </c>
      <c r="B150" s="1">
        <v>1700</v>
      </c>
      <c r="C150" s="1">
        <v>2200001421</v>
      </c>
      <c r="D150" s="1" t="s">
        <v>303</v>
      </c>
      <c r="E150" s="1">
        <f>IF(AND(B150&lt;&gt;1110,B150&lt;&gt;1210,B150&lt;&gt;1510,B150&lt;&gt;1710),B150,IF(B150=1110,"1100",IF(B150=1210,"1200",IF(B150=1510,"1500",IF(B150=1710,"1700","X")))))</f>
        <v>1700</v>
      </c>
      <c r="F150" s="1" t="s">
        <v>11238</v>
      </c>
      <c r="G150" s="1" t="s">
        <v>302</v>
      </c>
      <c r="H150" s="1">
        <f>ROUND(P150/(1-((R150+S150))/100)*Q150, 3)</f>
        <v>55.637999999999998</v>
      </c>
      <c r="I150" s="1">
        <v>0.25</v>
      </c>
      <c r="J150" s="1">
        <v>3</v>
      </c>
      <c r="K150" s="1">
        <v>1</v>
      </c>
      <c r="L150" s="1" t="s">
        <v>292</v>
      </c>
      <c r="M150" s="1">
        <v>4</v>
      </c>
      <c r="N150" s="1">
        <v>1</v>
      </c>
      <c r="O150" s="1" t="s">
        <v>296</v>
      </c>
      <c r="P150" s="1">
        <f>IFERROR(VLOOKUP(BC150, BA:BA:BB:BB, 2, 0),)</f>
        <v>46.597000000000001</v>
      </c>
      <c r="Q150" s="1">
        <f>IFERROR(VLOOKUP(BC150, BA:BA:BD:BD, 4, 0),1)</f>
        <v>1</v>
      </c>
      <c r="R150" s="1">
        <v>7</v>
      </c>
      <c r="S150" s="1">
        <v>9.25</v>
      </c>
      <c r="T150" s="1">
        <v>0</v>
      </c>
      <c r="V150" s="1" t="s">
        <v>11223</v>
      </c>
      <c r="W150" s="1">
        <v>100</v>
      </c>
      <c r="X150" s="1" t="s">
        <v>298</v>
      </c>
      <c r="Y150" s="1" t="s">
        <v>299</v>
      </c>
      <c r="Z150" s="1">
        <v>1</v>
      </c>
      <c r="AA150" s="1">
        <f>ROUND(H150*I150*Z150, 3)</f>
        <v>13.91</v>
      </c>
      <c r="AB150" s="1">
        <f>ROUND(VLOOKUP(X150,'Base de dados'!A:B, 2, 0)*AA150, 2)</f>
        <v>1.39</v>
      </c>
      <c r="AC150" s="1">
        <f>ROUND((AA150*(Destino!AG150/100))*(W150/100),2)</f>
        <v>0.97</v>
      </c>
      <c r="AD150" s="1">
        <f>ROUND(AA150*(Destino!AH150/100),2)</f>
        <v>0</v>
      </c>
      <c r="AE150" s="1">
        <f>ROUND((((AA150+AB150)*1.48)*(Destino!AI150/100))-AC150,2)</f>
        <v>2.88</v>
      </c>
      <c r="AF150" s="1">
        <f>ROUND((AA150+AB150+AE150)*(J150/100),2)</f>
        <v>0.55000000000000004</v>
      </c>
      <c r="AG150" s="1">
        <f>ROUND(AA150*T150,2)</f>
        <v>0</v>
      </c>
      <c r="AH150" s="1">
        <f>ROUND(AA150+AB150-AD150+AE150+AF150+AG150, 3)</f>
        <v>18.73</v>
      </c>
      <c r="AI150" s="1">
        <f>AH150*M150*K150</f>
        <v>74.92</v>
      </c>
      <c r="BA150" s="1" t="s">
        <v>11277</v>
      </c>
      <c r="BB150" s="1">
        <f>AI150</f>
        <v>74.92</v>
      </c>
      <c r="BC150" s="1" t="s">
        <v>11378</v>
      </c>
      <c r="BD150" s="1">
        <f>N150</f>
        <v>1</v>
      </c>
    </row>
    <row r="151" spans="1:56" x14ac:dyDescent="0.25">
      <c r="A151" s="1">
        <v>600001054</v>
      </c>
      <c r="B151" s="1">
        <v>1000</v>
      </c>
      <c r="C151" s="1">
        <v>2200001473</v>
      </c>
      <c r="D151" s="1" t="s">
        <v>303</v>
      </c>
      <c r="E151" s="1">
        <f>IF(AND(B151&lt;&gt;1110,B151&lt;&gt;1210,B151&lt;&gt;1510,B151&lt;&gt;1710),B151,IF(B151=1110,"1100",IF(B151=1210,"1200",IF(B151=1510,"1500",IF(B151=1710,"1700","X")))))</f>
        <v>1000</v>
      </c>
      <c r="F151" s="1" t="s">
        <v>11198</v>
      </c>
      <c r="G151" s="1" t="s">
        <v>302</v>
      </c>
      <c r="H151" s="1">
        <f>ROUND(P151/(1-((R151+S151))/100)*Q151, 3)</f>
        <v>101.69499999999999</v>
      </c>
      <c r="I151" s="1">
        <v>0.45</v>
      </c>
      <c r="J151" s="1">
        <v>1.5</v>
      </c>
      <c r="K151" s="1">
        <v>1</v>
      </c>
      <c r="L151" s="1" t="s">
        <v>292</v>
      </c>
      <c r="M151" s="1">
        <v>1</v>
      </c>
      <c r="N151" s="1">
        <v>1</v>
      </c>
      <c r="O151" s="1" t="s">
        <v>296</v>
      </c>
      <c r="P151" s="1">
        <v>80.084999999999994</v>
      </c>
      <c r="Q151" s="1">
        <v>1</v>
      </c>
      <c r="R151" s="1">
        <v>12</v>
      </c>
      <c r="S151" s="1">
        <v>9.25</v>
      </c>
      <c r="T151" s="1">
        <v>0</v>
      </c>
      <c r="V151" s="1" t="s">
        <v>11223</v>
      </c>
      <c r="W151" s="1">
        <v>100</v>
      </c>
      <c r="X151" s="1" t="s">
        <v>368</v>
      </c>
      <c r="Y151" s="1" t="s">
        <v>299</v>
      </c>
      <c r="Z151" s="1">
        <v>1</v>
      </c>
      <c r="AA151" s="1">
        <f>ROUND(H151*I151*Z151, 3)</f>
        <v>45.762999999999998</v>
      </c>
      <c r="AB151" s="1">
        <f>ROUND(VLOOKUP(X151,'Base de dados'!A:B, 2, 0)*AA151, 2)</f>
        <v>4.58</v>
      </c>
      <c r="AC151" s="1">
        <f>ROUND((AA151*(Destino!AG151/100))*(W151/100),2)</f>
        <v>5.49</v>
      </c>
      <c r="AD151" s="1">
        <f>ROUND(AA151*(Destino!AH151/100),2)</f>
        <v>4.2300000000000004</v>
      </c>
      <c r="AF151" s="1">
        <f>ROUND((AA151+ AB151)*(J151/100),2)</f>
        <v>0.76</v>
      </c>
      <c r="AG151" s="1">
        <f>ROUND(AA151*T151,2)</f>
        <v>0</v>
      </c>
      <c r="AH151" s="1">
        <f>ROUND(AA151-(AC151+AD151)+AF151+AG151, 3)</f>
        <v>36.802999999999997</v>
      </c>
      <c r="AI151" s="1">
        <f>AH151*M151*K151</f>
        <v>36.802999999999997</v>
      </c>
      <c r="BA151" s="1" t="s">
        <v>11554</v>
      </c>
      <c r="BB151" s="1">
        <f>AI151</f>
        <v>36.802999999999997</v>
      </c>
      <c r="BD151" s="1">
        <f>N151</f>
        <v>1</v>
      </c>
    </row>
    <row r="152" spans="1:56" x14ac:dyDescent="0.25">
      <c r="A152" s="1">
        <v>600001054</v>
      </c>
      <c r="B152" s="1">
        <v>1100</v>
      </c>
      <c r="C152" s="1">
        <v>2200001473</v>
      </c>
      <c r="D152" s="1" t="s">
        <v>303</v>
      </c>
      <c r="E152" s="1">
        <f>IF(AND(B152&lt;&gt;1110,B152&lt;&gt;1210,B152&lt;&gt;1510,B152&lt;&gt;1710),B152,IF(B152=1110,"1100",IF(B152=1210,"1200",IF(B152=1510,"1500",IF(B152=1710,"1700","X")))))</f>
        <v>1100</v>
      </c>
      <c r="F152" s="1" t="s">
        <v>11198</v>
      </c>
      <c r="G152" s="1" t="s">
        <v>302</v>
      </c>
      <c r="H152" s="1">
        <f>ROUND(P152/(1-((R152+S152))/100)*Q152, 3)</f>
        <v>95.620999999999995</v>
      </c>
      <c r="I152" s="1">
        <v>0.45</v>
      </c>
      <c r="J152" s="1">
        <v>2</v>
      </c>
      <c r="K152" s="1">
        <v>1</v>
      </c>
      <c r="L152" s="1" t="s">
        <v>292</v>
      </c>
      <c r="M152" s="1">
        <v>1</v>
      </c>
      <c r="N152" s="1">
        <v>1</v>
      </c>
      <c r="O152" s="1" t="s">
        <v>296</v>
      </c>
      <c r="P152" s="1">
        <v>80.082999999999998</v>
      </c>
      <c r="Q152" s="1">
        <v>1</v>
      </c>
      <c r="R152" s="1">
        <v>7</v>
      </c>
      <c r="S152" s="1">
        <v>9.25</v>
      </c>
      <c r="T152" s="1">
        <v>0</v>
      </c>
      <c r="V152" s="1" t="s">
        <v>11223</v>
      </c>
      <c r="W152" s="1">
        <v>100</v>
      </c>
      <c r="X152" s="1" t="s">
        <v>368</v>
      </c>
      <c r="Y152" s="1" t="s">
        <v>299</v>
      </c>
      <c r="Z152" s="1">
        <v>1</v>
      </c>
      <c r="AA152" s="1">
        <f>ROUND(H152*I152*Z152, 3)</f>
        <v>43.029000000000003</v>
      </c>
      <c r="AB152" s="1">
        <f>ROUND(VLOOKUP(X152,'Base de dados'!A:B, 2, 0)*AA152, 2)</f>
        <v>4.3</v>
      </c>
      <c r="AC152" s="1">
        <f>ROUND((AA152*(Destino!AG152/100))*(W152/100),2)</f>
        <v>3.01</v>
      </c>
      <c r="AD152" s="1">
        <f>ROUND(AA152*(Destino!AH152/100),2)</f>
        <v>3.98</v>
      </c>
      <c r="AF152" s="1">
        <f>ROUND((AA152+ AB152)*(J152/100),2)</f>
        <v>0.95</v>
      </c>
      <c r="AG152" s="1">
        <f>ROUND(AA152*T152,2)</f>
        <v>0</v>
      </c>
      <c r="AH152" s="1">
        <f>ROUND(AA152-(AC152+AD152)+AF152+AG152, 3)</f>
        <v>36.988999999999997</v>
      </c>
      <c r="AI152" s="1">
        <f>AH152*M152*K152</f>
        <v>36.988999999999997</v>
      </c>
      <c r="BA152" s="1" t="s">
        <v>11379</v>
      </c>
      <c r="BB152" s="1">
        <f>AI152</f>
        <v>36.988999999999997</v>
      </c>
      <c r="BD152" s="1">
        <f>N152</f>
        <v>1</v>
      </c>
    </row>
    <row r="153" spans="1:56" x14ac:dyDescent="0.25">
      <c r="A153" s="1">
        <v>600001054</v>
      </c>
      <c r="B153" s="1">
        <v>1110</v>
      </c>
      <c r="C153" s="1">
        <v>2200000102</v>
      </c>
      <c r="D153" s="1" t="s">
        <v>303</v>
      </c>
      <c r="E153" s="1" t="str">
        <f>IF(AND(B153&lt;&gt;1110,B153&lt;&gt;1210,B153&lt;&gt;1510,B153&lt;&gt;1710),B153,IF(B153=1110,"1100",IF(B153=1210,"1200",IF(B153=1510,"1500",IF(B153=1710,"1700","X")))))</f>
        <v>1100</v>
      </c>
      <c r="F153" s="1" t="s">
        <v>11241</v>
      </c>
      <c r="G153" s="1" t="s">
        <v>302</v>
      </c>
      <c r="H153" s="1">
        <f>ROUND(P153/(1-((R153+S153))/100)*Q153, 3)</f>
        <v>42.033000000000001</v>
      </c>
      <c r="I153" s="1">
        <v>1</v>
      </c>
      <c r="J153" s="1">
        <v>4</v>
      </c>
      <c r="K153" s="1">
        <v>1</v>
      </c>
      <c r="L153" s="1" t="s">
        <v>292</v>
      </c>
      <c r="M153" s="1">
        <v>1</v>
      </c>
      <c r="N153" s="1">
        <v>0.762629</v>
      </c>
      <c r="O153" s="1" t="s">
        <v>292</v>
      </c>
      <c r="P153" s="1">
        <f>IFERROR(VLOOKUP(BC153, BA:BA:BB:BB, 2, 0),)</f>
        <v>36.988999999999997</v>
      </c>
      <c r="Q153" s="1">
        <f>IFERROR(VLOOKUP(BC153, BA:BA:BD:BD, 4, 0),1)</f>
        <v>1</v>
      </c>
      <c r="R153" s="1">
        <v>12</v>
      </c>
      <c r="S153" s="1">
        <v>0</v>
      </c>
      <c r="T153" s="1">
        <v>0</v>
      </c>
      <c r="V153" s="1" t="s">
        <v>11223</v>
      </c>
      <c r="W153" s="1">
        <v>100</v>
      </c>
      <c r="X153" s="1" t="s">
        <v>368</v>
      </c>
      <c r="Y153" s="1" t="s">
        <v>299</v>
      </c>
      <c r="Z153" s="1">
        <v>1</v>
      </c>
      <c r="AA153" s="1">
        <f>ROUND(H153*I153*Z153, 3)</f>
        <v>42.033000000000001</v>
      </c>
      <c r="AB153" s="1">
        <f>ROUND(VLOOKUP(X153,'Base de dados'!A:B, 2, 0)*AA153, 2)</f>
        <v>4.2</v>
      </c>
      <c r="AC153" s="1">
        <f>ROUND((AA153*(Destino!AG153/100))*(W153/100),2)</f>
        <v>5.04</v>
      </c>
      <c r="AD153" s="1">
        <f>ROUND(AA153*(Destino!AH153/100),2)</f>
        <v>0</v>
      </c>
      <c r="AE153" s="1">
        <f>ROUND((((AA153+AB153)*1.5039)*(Destino!AI153/100))-AC153,2)</f>
        <v>6.78</v>
      </c>
      <c r="AF153" s="1">
        <f>ROUND((AA153+AB153+AE153)*(J153/100),2)</f>
        <v>2.12</v>
      </c>
      <c r="AG153" s="1">
        <f>ROUND(AA153*T153,2)</f>
        <v>0</v>
      </c>
      <c r="AH153" s="1">
        <f>ROUND(AA153+AE153+AF153+AG153, 3)</f>
        <v>50.933</v>
      </c>
      <c r="AI153" s="1">
        <f>AH153*M153*K153</f>
        <v>50.933</v>
      </c>
      <c r="BB153" s="1">
        <f>AI153</f>
        <v>50.933</v>
      </c>
      <c r="BC153" s="1" t="s">
        <v>11379</v>
      </c>
      <c r="BD153" s="1">
        <f>N153</f>
        <v>0.762629</v>
      </c>
    </row>
    <row r="154" spans="1:56" x14ac:dyDescent="0.25">
      <c r="A154" s="1">
        <v>600001054</v>
      </c>
      <c r="B154" s="1">
        <v>1110</v>
      </c>
      <c r="C154" s="1">
        <v>2200001473</v>
      </c>
      <c r="D154" s="1" t="s">
        <v>303</v>
      </c>
      <c r="E154" s="1" t="str">
        <f>IF(AND(B154&lt;&gt;1110,B154&lt;&gt;1210,B154&lt;&gt;1510,B154&lt;&gt;1710),B154,IF(B154=1110,"1100",IF(B154=1210,"1200",IF(B154=1510,"1500",IF(B154=1710,"1700","X")))))</f>
        <v>1100</v>
      </c>
      <c r="F154" s="1" t="s">
        <v>447</v>
      </c>
      <c r="G154" s="1" t="s">
        <v>302</v>
      </c>
      <c r="H154" s="1">
        <f>ROUND(P154/(1-((R154+S154))/100)*Q154, 3)</f>
        <v>95.620999999999995</v>
      </c>
      <c r="I154" s="1">
        <v>0.45</v>
      </c>
      <c r="J154" s="1">
        <v>4</v>
      </c>
      <c r="K154" s="1">
        <v>1</v>
      </c>
      <c r="L154" s="1" t="s">
        <v>292</v>
      </c>
      <c r="M154" s="1">
        <v>1</v>
      </c>
      <c r="N154" s="1">
        <v>0.75257399999999997</v>
      </c>
      <c r="O154" s="1" t="s">
        <v>296</v>
      </c>
      <c r="P154" s="1">
        <v>80.082999999999998</v>
      </c>
      <c r="Q154" s="1">
        <v>1</v>
      </c>
      <c r="R154" s="1">
        <v>7</v>
      </c>
      <c r="S154" s="1">
        <v>9.25</v>
      </c>
      <c r="T154" s="1">
        <v>0</v>
      </c>
      <c r="V154" s="1" t="s">
        <v>11223</v>
      </c>
      <c r="W154" s="1">
        <v>100</v>
      </c>
      <c r="X154" s="1" t="s">
        <v>368</v>
      </c>
      <c r="Y154" s="1" t="s">
        <v>299</v>
      </c>
      <c r="Z154" s="1">
        <v>1</v>
      </c>
      <c r="AA154" s="1">
        <f>ROUND(H154*I154*Z154, 3)</f>
        <v>43.029000000000003</v>
      </c>
      <c r="AB154" s="1">
        <f>ROUND(VLOOKUP(X154,'Base de dados'!A:B, 2, 0)*AA154, 2)</f>
        <v>4.3</v>
      </c>
      <c r="AC154" s="1">
        <f>ROUND((AA154*(Destino!AG154/100))*(W154/100),2)</f>
        <v>3.01</v>
      </c>
      <c r="AD154" s="1">
        <f>ROUND(AA154*(Destino!AH154/100),2)</f>
        <v>3.98</v>
      </c>
      <c r="AE154" s="1">
        <f>ROUND((((AA154+AB154)*1.5039)*(Destino!AI154/100))-AC154,2)</f>
        <v>9.09</v>
      </c>
      <c r="AF154" s="1">
        <f>ROUND((AA154+AB154+AE154)*(J154/100),2)</f>
        <v>2.2599999999999998</v>
      </c>
      <c r="AG154" s="1">
        <f>ROUND(AA154*T154,2)</f>
        <v>0</v>
      </c>
      <c r="AH154" s="1">
        <f>ROUND(AA154-AD154+AE154+AF154+AG154, 3)</f>
        <v>50.399000000000001</v>
      </c>
      <c r="AI154" s="1">
        <f>AH154*M154*K154</f>
        <v>50.399000000000001</v>
      </c>
      <c r="BA154" s="1" t="s">
        <v>11555</v>
      </c>
      <c r="BB154" s="1">
        <f>AI154</f>
        <v>50.399000000000001</v>
      </c>
      <c r="BD154" s="1">
        <f>N154</f>
        <v>0.75257399999999997</v>
      </c>
    </row>
    <row r="155" spans="1:56" x14ac:dyDescent="0.25">
      <c r="A155" s="1">
        <v>600001054</v>
      </c>
      <c r="B155" s="1">
        <v>1400</v>
      </c>
      <c r="C155" s="1">
        <v>2200001473</v>
      </c>
      <c r="D155" s="1" t="s">
        <v>303</v>
      </c>
      <c r="E155" s="1">
        <f>IF(AND(B155&lt;&gt;1110,B155&lt;&gt;1210,B155&lt;&gt;1510,B155&lt;&gt;1710),B155,IF(B155=1110,"1100",IF(B155=1210,"1200",IF(B155=1510,"1500",IF(B155=1710,"1700","X")))))</f>
        <v>1400</v>
      </c>
      <c r="F155" s="1" t="s">
        <v>11198</v>
      </c>
      <c r="G155" s="1" t="s">
        <v>302</v>
      </c>
      <c r="H155" s="1">
        <f>ROUND(P155/(1-((R155+S155))/100)*Q155, 3)</f>
        <v>110.08</v>
      </c>
      <c r="I155" s="1">
        <v>0.45</v>
      </c>
      <c r="J155" s="1">
        <v>1.5</v>
      </c>
      <c r="K155" s="1">
        <v>1</v>
      </c>
      <c r="L155" s="1" t="s">
        <v>292</v>
      </c>
      <c r="M155" s="1">
        <v>1</v>
      </c>
      <c r="N155" s="1">
        <v>1</v>
      </c>
      <c r="O155" s="1" t="s">
        <v>296</v>
      </c>
      <c r="P155" s="1">
        <v>80.082999999999998</v>
      </c>
      <c r="Q155" s="1">
        <v>1</v>
      </c>
      <c r="R155" s="1">
        <v>18</v>
      </c>
      <c r="S155" s="1">
        <v>9.25</v>
      </c>
      <c r="T155" s="1">
        <v>0</v>
      </c>
      <c r="V155" s="1" t="s">
        <v>11223</v>
      </c>
      <c r="W155" s="1">
        <v>100</v>
      </c>
      <c r="X155" s="1" t="s">
        <v>368</v>
      </c>
      <c r="Y155" s="1" t="s">
        <v>299</v>
      </c>
      <c r="Z155" s="1">
        <v>1</v>
      </c>
      <c r="AA155" s="1">
        <f>ROUND(H155*I155*Z155, 3)</f>
        <v>49.536000000000001</v>
      </c>
      <c r="AB155" s="1">
        <f>ROUND(VLOOKUP(X155,'Base de dados'!A:B, 2, 0)*AA155, 2)</f>
        <v>4.95</v>
      </c>
      <c r="AC155" s="1">
        <f>ROUND((AA155*(Destino!AG155/100))*(W155/100),2)</f>
        <v>8.92</v>
      </c>
      <c r="AD155" s="1">
        <f>ROUND(AA155*(Destino!AH155/100),2)</f>
        <v>4.58</v>
      </c>
      <c r="AF155" s="1">
        <f>ROUND((AA155+ AB155)*(J155/100),2)</f>
        <v>0.82</v>
      </c>
      <c r="AG155" s="1">
        <f>ROUND(AA155*T155,2)</f>
        <v>0</v>
      </c>
      <c r="AH155" s="1">
        <f>ROUND(AA155-(AC155+AD155)+AF155+AG155, 3)</f>
        <v>36.856000000000002</v>
      </c>
      <c r="AI155" s="1">
        <f>AH155*M155*K155</f>
        <v>36.856000000000002</v>
      </c>
      <c r="BA155" s="1" t="s">
        <v>11380</v>
      </c>
      <c r="BB155" s="1">
        <f>AI155</f>
        <v>36.856000000000002</v>
      </c>
      <c r="BD155" s="1">
        <f>N155</f>
        <v>1</v>
      </c>
    </row>
    <row r="156" spans="1:56" x14ac:dyDescent="0.25">
      <c r="A156" s="1">
        <v>600001054</v>
      </c>
      <c r="B156" s="1">
        <v>1700</v>
      </c>
      <c r="C156" s="1">
        <v>2200001421</v>
      </c>
      <c r="D156" s="1" t="s">
        <v>303</v>
      </c>
      <c r="E156" s="1">
        <f>IF(AND(B156&lt;&gt;1110,B156&lt;&gt;1210,B156&lt;&gt;1510,B156&lt;&gt;1710),B156,IF(B156=1110,"1100",IF(B156=1210,"1200",IF(B156=1510,"1500",IF(B156=1710,"1700","X")))))</f>
        <v>1700</v>
      </c>
      <c r="F156" s="1" t="s">
        <v>11238</v>
      </c>
      <c r="G156" s="1" t="s">
        <v>302</v>
      </c>
      <c r="H156" s="1">
        <f>ROUND(P156/(1-((R156+S156))/100)*Q156, 3)</f>
        <v>44.006999999999998</v>
      </c>
      <c r="I156" s="1">
        <v>0.25</v>
      </c>
      <c r="J156" s="1">
        <v>3</v>
      </c>
      <c r="K156" s="1">
        <v>1</v>
      </c>
      <c r="L156" s="1" t="s">
        <v>292</v>
      </c>
      <c r="M156" s="1">
        <v>4</v>
      </c>
      <c r="N156" s="1">
        <v>1</v>
      </c>
      <c r="O156" s="1" t="s">
        <v>296</v>
      </c>
      <c r="P156" s="1">
        <f>IFERROR(VLOOKUP(BC156, BA:BA:BB:BB, 2, 0),)</f>
        <v>36.856000000000002</v>
      </c>
      <c r="Q156" s="1">
        <f>IFERROR(VLOOKUP(BC156, BA:BA:BD:BD, 4, 0),1)</f>
        <v>1</v>
      </c>
      <c r="R156" s="1">
        <v>7</v>
      </c>
      <c r="S156" s="1">
        <v>9.25</v>
      </c>
      <c r="T156" s="1">
        <v>0</v>
      </c>
      <c r="V156" s="1" t="s">
        <v>11223</v>
      </c>
      <c r="W156" s="1">
        <v>100</v>
      </c>
      <c r="X156" s="1" t="s">
        <v>368</v>
      </c>
      <c r="Y156" s="1" t="s">
        <v>299</v>
      </c>
      <c r="Z156" s="1">
        <v>1</v>
      </c>
      <c r="AA156" s="1">
        <f>ROUND(H156*I156*Z156, 3)</f>
        <v>11.002000000000001</v>
      </c>
      <c r="AB156" s="1">
        <f>ROUND(VLOOKUP(X156,'Base de dados'!A:B, 2, 0)*AA156, 2)</f>
        <v>1.1000000000000001</v>
      </c>
      <c r="AC156" s="1">
        <f>ROUND((AA156*(Destino!AG156/100))*(W156/100),2)</f>
        <v>0.77</v>
      </c>
      <c r="AD156" s="1">
        <f>ROUND(AA156*(Destino!AH156/100),2)</f>
        <v>0</v>
      </c>
      <c r="AE156" s="1">
        <f>ROUND((((AA156+AB156)*1.48)*(Destino!AI156/100))-AC156,2)</f>
        <v>2.27</v>
      </c>
      <c r="AF156" s="1">
        <f>ROUND((AA156+AB156+AE156)*(J156/100),2)</f>
        <v>0.43</v>
      </c>
      <c r="AG156" s="1">
        <f>ROUND(AA156*T156,2)</f>
        <v>0</v>
      </c>
      <c r="AH156" s="1">
        <f>ROUND(AA156+AB156-AD156+AE156+AF156+AG156, 3)</f>
        <v>14.802</v>
      </c>
      <c r="AI156" s="1">
        <f>AH156*M156*K156</f>
        <v>59.207999999999998</v>
      </c>
      <c r="BA156" s="1" t="s">
        <v>11278</v>
      </c>
      <c r="BB156" s="1">
        <f>AI156</f>
        <v>59.207999999999998</v>
      </c>
      <c r="BC156" s="1" t="s">
        <v>11380</v>
      </c>
      <c r="BD156" s="1">
        <f>N156</f>
        <v>1</v>
      </c>
    </row>
    <row r="157" spans="1:56" x14ac:dyDescent="0.25">
      <c r="A157" s="1">
        <v>600001062</v>
      </c>
      <c r="B157" s="1">
        <v>1000</v>
      </c>
      <c r="C157" s="1">
        <v>2200001473</v>
      </c>
      <c r="D157" s="1" t="s">
        <v>303</v>
      </c>
      <c r="E157" s="1">
        <f>IF(AND(B157&lt;&gt;1110,B157&lt;&gt;1210,B157&lt;&gt;1510,B157&lt;&gt;1710),B157,IF(B157=1110,"1100",IF(B157=1210,"1200",IF(B157=1510,"1500",IF(B157=1710,"1700","X")))))</f>
        <v>1000</v>
      </c>
      <c r="F157" s="1" t="s">
        <v>11198</v>
      </c>
      <c r="G157" s="1" t="s">
        <v>302</v>
      </c>
      <c r="H157" s="1">
        <f>ROUND(P157/(1-((R157+S157))/100)*Q157, 3)</f>
        <v>139.49600000000001</v>
      </c>
      <c r="I157" s="1">
        <v>0.45</v>
      </c>
      <c r="J157" s="1">
        <v>1.5</v>
      </c>
      <c r="K157" s="1">
        <v>1</v>
      </c>
      <c r="L157" s="1" t="s">
        <v>292</v>
      </c>
      <c r="M157" s="1">
        <v>1</v>
      </c>
      <c r="N157" s="1">
        <v>1</v>
      </c>
      <c r="O157" s="1" t="s">
        <v>296</v>
      </c>
      <c r="P157" s="1">
        <v>109.85299999999999</v>
      </c>
      <c r="Q157" s="1">
        <v>1</v>
      </c>
      <c r="R157" s="1">
        <v>12</v>
      </c>
      <c r="S157" s="1">
        <v>9.25</v>
      </c>
      <c r="T157" s="1">
        <v>0</v>
      </c>
      <c r="V157" s="1" t="s">
        <v>11223</v>
      </c>
      <c r="W157" s="1">
        <v>100</v>
      </c>
      <c r="X157" s="1" t="s">
        <v>368</v>
      </c>
      <c r="Y157" s="1" t="s">
        <v>299</v>
      </c>
      <c r="Z157" s="1">
        <v>1</v>
      </c>
      <c r="AA157" s="1">
        <f>ROUND(H157*I157*Z157, 3)</f>
        <v>62.773000000000003</v>
      </c>
      <c r="AB157" s="1">
        <f>ROUND(VLOOKUP(X157,'Base de dados'!A:B, 2, 0)*AA157, 2)</f>
        <v>6.28</v>
      </c>
      <c r="AC157" s="1">
        <f>ROUND((AA157*(Destino!AG157/100))*(W157/100),2)</f>
        <v>7.53</v>
      </c>
      <c r="AD157" s="1">
        <f>ROUND(AA157*(Destino!AH157/100),2)</f>
        <v>5.81</v>
      </c>
      <c r="AF157" s="1">
        <f>ROUND((AA157+ AB157)*(J157/100),2)</f>
        <v>1.04</v>
      </c>
      <c r="AG157" s="1">
        <f>ROUND(AA157*T157,2)</f>
        <v>0</v>
      </c>
      <c r="AH157" s="1">
        <f>ROUND(AA157-(AC157+AD157)+AF157+AG157, 3)</f>
        <v>50.472999999999999</v>
      </c>
      <c r="AI157" s="1">
        <f>AH157*M157*K157</f>
        <v>50.472999999999999</v>
      </c>
      <c r="BA157" s="1" t="s">
        <v>11556</v>
      </c>
      <c r="BB157" s="1">
        <f>AI157</f>
        <v>50.472999999999999</v>
      </c>
      <c r="BD157" s="1">
        <f>N157</f>
        <v>1</v>
      </c>
    </row>
    <row r="158" spans="1:56" x14ac:dyDescent="0.25">
      <c r="A158" s="1">
        <v>600001062</v>
      </c>
      <c r="B158" s="1">
        <v>1100</v>
      </c>
      <c r="C158" s="1">
        <v>2200001473</v>
      </c>
      <c r="D158" s="1" t="s">
        <v>303</v>
      </c>
      <c r="E158" s="1">
        <f>IF(AND(B158&lt;&gt;1110,B158&lt;&gt;1210,B158&lt;&gt;1510,B158&lt;&gt;1710),B158,IF(B158=1110,"1100",IF(B158=1210,"1200",IF(B158=1510,"1500",IF(B158=1710,"1700","X")))))</f>
        <v>1100</v>
      </c>
      <c r="F158" s="1" t="s">
        <v>11198</v>
      </c>
      <c r="G158" s="1" t="s">
        <v>302</v>
      </c>
      <c r="H158" s="1">
        <f>ROUND(P158/(1-((R158+S158))/100)*Q158, 3)</f>
        <v>131.16800000000001</v>
      </c>
      <c r="I158" s="1">
        <v>0.45</v>
      </c>
      <c r="J158" s="1">
        <v>2</v>
      </c>
      <c r="K158" s="1">
        <v>1</v>
      </c>
      <c r="L158" s="1" t="s">
        <v>292</v>
      </c>
      <c r="M158" s="1">
        <v>1</v>
      </c>
      <c r="N158" s="1">
        <v>1</v>
      </c>
      <c r="O158" s="1" t="s">
        <v>296</v>
      </c>
      <c r="P158" s="1">
        <v>109.85299999999999</v>
      </c>
      <c r="Q158" s="1">
        <v>1</v>
      </c>
      <c r="R158" s="1">
        <v>7</v>
      </c>
      <c r="S158" s="1">
        <v>9.25</v>
      </c>
      <c r="T158" s="1">
        <v>0</v>
      </c>
      <c r="V158" s="1" t="s">
        <v>11223</v>
      </c>
      <c r="W158" s="1">
        <v>100</v>
      </c>
      <c r="X158" s="1" t="s">
        <v>368</v>
      </c>
      <c r="Y158" s="1" t="s">
        <v>299</v>
      </c>
      <c r="Z158" s="1">
        <v>1</v>
      </c>
      <c r="AA158" s="1">
        <f>ROUND(H158*I158*Z158, 3)</f>
        <v>59.026000000000003</v>
      </c>
      <c r="AB158" s="1">
        <f>ROUND(VLOOKUP(X158,'Base de dados'!A:B, 2, 0)*AA158, 2)</f>
        <v>5.9</v>
      </c>
      <c r="AC158" s="1">
        <f>ROUND((AA158*(Destino!AG158/100))*(W158/100),2)</f>
        <v>4.13</v>
      </c>
      <c r="AD158" s="1">
        <f>ROUND(AA158*(Destino!AH158/100),2)</f>
        <v>5.46</v>
      </c>
      <c r="AF158" s="1">
        <f>ROUND((AA158+ AB158)*(J158/100),2)</f>
        <v>1.3</v>
      </c>
      <c r="AG158" s="1">
        <f>ROUND(AA158*T158,2)</f>
        <v>0</v>
      </c>
      <c r="AH158" s="1">
        <f>ROUND(AA158-(AC158+AD158)+AF158+AG158, 3)</f>
        <v>50.735999999999997</v>
      </c>
      <c r="AI158" s="1">
        <f>AH158*M158*K158</f>
        <v>50.735999999999997</v>
      </c>
      <c r="BA158" s="1" t="s">
        <v>11557</v>
      </c>
      <c r="BB158" s="1">
        <f>AI158</f>
        <v>50.735999999999997</v>
      </c>
      <c r="BD158" s="1">
        <f>N158</f>
        <v>1</v>
      </c>
    </row>
    <row r="159" spans="1:56" x14ac:dyDescent="0.25">
      <c r="A159" s="1">
        <v>600001062</v>
      </c>
      <c r="B159" s="1">
        <v>1110</v>
      </c>
      <c r="C159" s="1">
        <v>2200001473</v>
      </c>
      <c r="D159" s="1" t="s">
        <v>303</v>
      </c>
      <c r="E159" s="1" t="str">
        <f>IF(AND(B159&lt;&gt;1110,B159&lt;&gt;1210,B159&lt;&gt;1510,B159&lt;&gt;1710),B159,IF(B159=1110,"1100",IF(B159=1210,"1200",IF(B159=1510,"1500",IF(B159=1710,"1700","X")))))</f>
        <v>1100</v>
      </c>
      <c r="F159" s="1" t="s">
        <v>447</v>
      </c>
      <c r="G159" s="1" t="s">
        <v>302</v>
      </c>
      <c r="H159" s="1">
        <f>ROUND(P159/(1-((R159+S159))/100)*Q159, 3)</f>
        <v>131.16800000000001</v>
      </c>
      <c r="I159" s="1">
        <v>0.45</v>
      </c>
      <c r="J159" s="1">
        <v>4</v>
      </c>
      <c r="K159" s="1">
        <v>1</v>
      </c>
      <c r="L159" s="1" t="s">
        <v>292</v>
      </c>
      <c r="M159" s="1">
        <v>1</v>
      </c>
      <c r="N159" s="1">
        <v>0.75266100000000002</v>
      </c>
      <c r="O159" s="1" t="s">
        <v>296</v>
      </c>
      <c r="P159" s="1">
        <v>109.85299999999999</v>
      </c>
      <c r="Q159" s="1">
        <v>1</v>
      </c>
      <c r="R159" s="1">
        <v>7</v>
      </c>
      <c r="S159" s="1">
        <v>9.25</v>
      </c>
      <c r="T159" s="1">
        <v>0</v>
      </c>
      <c r="V159" s="1" t="s">
        <v>11223</v>
      </c>
      <c r="W159" s="1">
        <v>100</v>
      </c>
      <c r="X159" s="1" t="s">
        <v>368</v>
      </c>
      <c r="Y159" s="1" t="s">
        <v>299</v>
      </c>
      <c r="Z159" s="1">
        <v>1</v>
      </c>
      <c r="AA159" s="1">
        <f>ROUND(H159*I159*Z159, 3)</f>
        <v>59.026000000000003</v>
      </c>
      <c r="AB159" s="1">
        <f>ROUND(VLOOKUP(X159,'Base de dados'!A:B, 2, 0)*AA159, 2)</f>
        <v>5.9</v>
      </c>
      <c r="AC159" s="1">
        <f>ROUND((AA159*(Destino!AG159/100))*(W159/100),2)</f>
        <v>4.13</v>
      </c>
      <c r="AD159" s="1">
        <f>ROUND(AA159*(Destino!AH159/100),2)</f>
        <v>5.46</v>
      </c>
      <c r="AE159" s="1">
        <f>ROUND((((AA159+AB159)*1.5039)*(Destino!AI159/100))-AC159,2)</f>
        <v>12.47</v>
      </c>
      <c r="AF159" s="1">
        <f>ROUND((AA159+AB159+AE159)*(J159/100),2)</f>
        <v>3.1</v>
      </c>
      <c r="AG159" s="1">
        <f>ROUND(AA159*T159,2)</f>
        <v>0</v>
      </c>
      <c r="AH159" s="1">
        <f>ROUND(AA159-AD159+AE159+AF159+AG159, 3)</f>
        <v>69.135999999999996</v>
      </c>
      <c r="AI159" s="1">
        <f>AH159*M159*K159</f>
        <v>69.135999999999996</v>
      </c>
      <c r="BA159" s="1" t="s">
        <v>11558</v>
      </c>
      <c r="BB159" s="1">
        <f>AI159</f>
        <v>69.135999999999996</v>
      </c>
      <c r="BD159" s="1">
        <f>N159</f>
        <v>0.75266100000000002</v>
      </c>
    </row>
    <row r="160" spans="1:56" x14ac:dyDescent="0.25">
      <c r="A160" s="1">
        <v>600001062</v>
      </c>
      <c r="B160" s="1">
        <v>1400</v>
      </c>
      <c r="C160" s="1">
        <v>2200001473</v>
      </c>
      <c r="D160" s="1" t="s">
        <v>303</v>
      </c>
      <c r="E160" s="1">
        <f>IF(AND(B160&lt;&gt;1110,B160&lt;&gt;1210,B160&lt;&gt;1510,B160&lt;&gt;1710),B160,IF(B160=1110,"1100",IF(B160=1210,"1200",IF(B160=1510,"1500",IF(B160=1710,"1700","X")))))</f>
        <v>1400</v>
      </c>
      <c r="F160" s="1" t="s">
        <v>11198</v>
      </c>
      <c r="G160" s="1" t="s">
        <v>302</v>
      </c>
      <c r="H160" s="1">
        <f>ROUND(P160/(1-((R160+S160))/100)*Q160, 3)</f>
        <v>151.001</v>
      </c>
      <c r="I160" s="1">
        <v>0.45</v>
      </c>
      <c r="J160" s="1">
        <v>1.5</v>
      </c>
      <c r="K160" s="1">
        <v>1</v>
      </c>
      <c r="L160" s="1" t="s">
        <v>292</v>
      </c>
      <c r="M160" s="1">
        <v>1</v>
      </c>
      <c r="N160" s="1">
        <v>1</v>
      </c>
      <c r="O160" s="1" t="s">
        <v>296</v>
      </c>
      <c r="P160" s="1">
        <v>109.85299999999999</v>
      </c>
      <c r="Q160" s="1">
        <v>1</v>
      </c>
      <c r="R160" s="1">
        <v>18</v>
      </c>
      <c r="S160" s="1">
        <v>9.25</v>
      </c>
      <c r="T160" s="1">
        <v>0</v>
      </c>
      <c r="V160" s="1" t="s">
        <v>11223</v>
      </c>
      <c r="W160" s="1">
        <v>100</v>
      </c>
      <c r="X160" s="1" t="s">
        <v>368</v>
      </c>
      <c r="Y160" s="1" t="s">
        <v>299</v>
      </c>
      <c r="Z160" s="1">
        <v>1</v>
      </c>
      <c r="AA160" s="1">
        <f>ROUND(H160*I160*Z160, 3)</f>
        <v>67.95</v>
      </c>
      <c r="AB160" s="1">
        <f>ROUND(VLOOKUP(X160,'Base de dados'!A:B, 2, 0)*AA160, 2)</f>
        <v>6.8</v>
      </c>
      <c r="AC160" s="1">
        <f>ROUND((AA160*(Destino!AG160/100))*(W160/100),2)</f>
        <v>12.23</v>
      </c>
      <c r="AD160" s="1">
        <f>ROUND(AA160*(Destino!AH160/100),2)</f>
        <v>6.29</v>
      </c>
      <c r="AF160" s="1">
        <f>ROUND((AA160+ AB160)*(J160/100),2)</f>
        <v>1.1200000000000001</v>
      </c>
      <c r="AG160" s="1">
        <f>ROUND(AA160*T160,2)</f>
        <v>0</v>
      </c>
      <c r="AH160" s="1">
        <f>ROUND(AA160-(AC160+AD160)+AF160+AG160, 3)</f>
        <v>50.55</v>
      </c>
      <c r="AI160" s="1">
        <f>AH160*M160*K160</f>
        <v>50.55</v>
      </c>
      <c r="BA160" s="1" t="s">
        <v>11381</v>
      </c>
      <c r="BB160" s="1">
        <f>AI160</f>
        <v>50.55</v>
      </c>
      <c r="BD160" s="1">
        <f>N160</f>
        <v>1</v>
      </c>
    </row>
    <row r="161" spans="1:56" x14ac:dyDescent="0.25">
      <c r="A161" s="1">
        <v>600001062</v>
      </c>
      <c r="B161" s="1">
        <v>1700</v>
      </c>
      <c r="C161" s="1">
        <v>2200001421</v>
      </c>
      <c r="D161" s="1" t="s">
        <v>303</v>
      </c>
      <c r="E161" s="1">
        <f>IF(AND(B161&lt;&gt;1110,B161&lt;&gt;1210,B161&lt;&gt;1510,B161&lt;&gt;1710),B161,IF(B161=1110,"1100",IF(B161=1210,"1200",IF(B161=1510,"1500",IF(B161=1710,"1700","X")))))</f>
        <v>1700</v>
      </c>
      <c r="F161" s="1" t="s">
        <v>11238</v>
      </c>
      <c r="G161" s="1" t="s">
        <v>302</v>
      </c>
      <c r="H161" s="1">
        <f>ROUND(P161/(1-((R161+S161))/100)*Q161, 3)</f>
        <v>60.357999999999997</v>
      </c>
      <c r="I161" s="1">
        <v>0.25</v>
      </c>
      <c r="J161" s="1">
        <v>3</v>
      </c>
      <c r="K161" s="1">
        <v>1</v>
      </c>
      <c r="L161" s="1" t="s">
        <v>292</v>
      </c>
      <c r="M161" s="1">
        <v>4</v>
      </c>
      <c r="N161" s="1">
        <v>1</v>
      </c>
      <c r="O161" s="1" t="s">
        <v>296</v>
      </c>
      <c r="P161" s="1">
        <f>IFERROR(VLOOKUP(BC161, BA:BA:BB:BB, 2, 0),)</f>
        <v>50.55</v>
      </c>
      <c r="Q161" s="1">
        <f>IFERROR(VLOOKUP(BC161, BA:BA:BD:BD, 4, 0),1)</f>
        <v>1</v>
      </c>
      <c r="R161" s="1">
        <v>7</v>
      </c>
      <c r="S161" s="1">
        <v>9.25</v>
      </c>
      <c r="T161" s="1">
        <v>0</v>
      </c>
      <c r="V161" s="1" t="s">
        <v>11223</v>
      </c>
      <c r="W161" s="1">
        <v>100</v>
      </c>
      <c r="X161" s="1" t="s">
        <v>368</v>
      </c>
      <c r="Y161" s="1" t="s">
        <v>299</v>
      </c>
      <c r="Z161" s="1">
        <v>1</v>
      </c>
      <c r="AA161" s="1">
        <f>ROUND(H161*I161*Z161, 3)</f>
        <v>15.09</v>
      </c>
      <c r="AB161" s="1">
        <f>ROUND(VLOOKUP(X161,'Base de dados'!A:B, 2, 0)*AA161, 2)</f>
        <v>1.51</v>
      </c>
      <c r="AC161" s="1">
        <f>ROUND((AA161*(Destino!AG161/100))*(W161/100),2)</f>
        <v>1.06</v>
      </c>
      <c r="AD161" s="1">
        <f>ROUND(AA161*(Destino!AH161/100),2)</f>
        <v>0</v>
      </c>
      <c r="AE161" s="1">
        <f>ROUND((((AA161+AB161)*1.48)*(Destino!AI161/100))-AC161,2)</f>
        <v>3.12</v>
      </c>
      <c r="AF161" s="1">
        <f>ROUND((AA161+AB161+AE161)*(J161/100),2)</f>
        <v>0.59</v>
      </c>
      <c r="AG161" s="1">
        <f>ROUND(AA161*T161,2)</f>
        <v>0</v>
      </c>
      <c r="AH161" s="1">
        <f>ROUND(AA161+AB161-AD161+AE161+AF161+AG161, 3)</f>
        <v>20.309999999999999</v>
      </c>
      <c r="AI161" s="1">
        <f>AH161*M161*K161</f>
        <v>81.239999999999995</v>
      </c>
      <c r="BA161" s="1" t="s">
        <v>11279</v>
      </c>
      <c r="BB161" s="1">
        <f>AI161</f>
        <v>81.239999999999995</v>
      </c>
      <c r="BC161" s="1" t="s">
        <v>11381</v>
      </c>
      <c r="BD161" s="1">
        <f>N161</f>
        <v>1</v>
      </c>
    </row>
    <row r="162" spans="1:56" x14ac:dyDescent="0.25">
      <c r="A162" s="1">
        <v>600001069</v>
      </c>
      <c r="B162" s="1">
        <v>1000</v>
      </c>
      <c r="C162" s="1">
        <v>2200001473</v>
      </c>
      <c r="D162" s="1" t="s">
        <v>303</v>
      </c>
      <c r="E162" s="1">
        <f>IF(AND(B162&lt;&gt;1110,B162&lt;&gt;1210,B162&lt;&gt;1510,B162&lt;&gt;1710),B162,IF(B162=1110,"1100",IF(B162=1210,"1200",IF(B162=1510,"1500",IF(B162=1710,"1700","X")))))</f>
        <v>1000</v>
      </c>
      <c r="F162" s="1" t="s">
        <v>11198</v>
      </c>
      <c r="G162" s="1" t="s">
        <v>302</v>
      </c>
      <c r="H162" s="1">
        <f>ROUND(P162/(1-((R162+S162))/100)*Q162, 3)</f>
        <v>133.5</v>
      </c>
      <c r="I162" s="1">
        <v>0.45</v>
      </c>
      <c r="J162" s="1">
        <v>1.5</v>
      </c>
      <c r="K162" s="1">
        <v>1</v>
      </c>
      <c r="L162" s="1" t="s">
        <v>292</v>
      </c>
      <c r="M162" s="1">
        <v>1</v>
      </c>
      <c r="N162" s="1">
        <v>1</v>
      </c>
      <c r="O162" s="1" t="s">
        <v>296</v>
      </c>
      <c r="P162" s="1">
        <v>105.131</v>
      </c>
      <c r="Q162" s="1">
        <v>1</v>
      </c>
      <c r="R162" s="1">
        <v>12</v>
      </c>
      <c r="S162" s="1">
        <v>9.25</v>
      </c>
      <c r="T162" s="1">
        <v>0</v>
      </c>
      <c r="V162" s="1" t="s">
        <v>11223</v>
      </c>
      <c r="W162" s="1">
        <v>100</v>
      </c>
      <c r="X162" s="1" t="s">
        <v>368</v>
      </c>
      <c r="Y162" s="1" t="s">
        <v>299</v>
      </c>
      <c r="Z162" s="1">
        <v>1</v>
      </c>
      <c r="AA162" s="1">
        <f>ROUND(H162*I162*Z162, 3)</f>
        <v>60.075000000000003</v>
      </c>
      <c r="AB162" s="1">
        <f>ROUND(VLOOKUP(X162,'Base de dados'!A:B, 2, 0)*AA162, 2)</f>
        <v>6.01</v>
      </c>
      <c r="AC162" s="1">
        <f>ROUND((AA162*(Destino!AG162/100))*(W162/100),2)</f>
        <v>7.21</v>
      </c>
      <c r="AD162" s="1">
        <f>ROUND(AA162*(Destino!AH162/100),2)</f>
        <v>5.56</v>
      </c>
      <c r="AF162" s="1">
        <f>ROUND((AA162+ AB162)*(J162/100),2)</f>
        <v>0.99</v>
      </c>
      <c r="AG162" s="1">
        <f>ROUND(AA162*T162,2)</f>
        <v>0</v>
      </c>
      <c r="AH162" s="1">
        <f>ROUND(AA162-(AC162+AD162)+AF162+AG162, 3)</f>
        <v>48.295000000000002</v>
      </c>
      <c r="AI162" s="1">
        <f>AH162*M162*K162</f>
        <v>48.295000000000002</v>
      </c>
      <c r="BA162" s="1" t="s">
        <v>11559</v>
      </c>
      <c r="BB162" s="1">
        <f>AI162</f>
        <v>48.295000000000002</v>
      </c>
      <c r="BD162" s="1">
        <f>N162</f>
        <v>1</v>
      </c>
    </row>
    <row r="163" spans="1:56" x14ac:dyDescent="0.25">
      <c r="A163" s="1">
        <v>600001069</v>
      </c>
      <c r="B163" s="1">
        <v>1100</v>
      </c>
      <c r="C163" s="1">
        <v>2200001473</v>
      </c>
      <c r="D163" s="1" t="s">
        <v>303</v>
      </c>
      <c r="E163" s="1">
        <f>IF(AND(B163&lt;&gt;1110,B163&lt;&gt;1210,B163&lt;&gt;1510,B163&lt;&gt;1710),B163,IF(B163=1110,"1100",IF(B163=1210,"1200",IF(B163=1510,"1500",IF(B163=1710,"1700","X")))))</f>
        <v>1100</v>
      </c>
      <c r="F163" s="1" t="s">
        <v>11198</v>
      </c>
      <c r="G163" s="1" t="s">
        <v>302</v>
      </c>
      <c r="H163" s="1">
        <f>ROUND(P163/(1-((R163+S163))/100)*Q163, 3)</f>
        <v>125.53</v>
      </c>
      <c r="I163" s="1">
        <v>0.45</v>
      </c>
      <c r="J163" s="1">
        <v>2</v>
      </c>
      <c r="K163" s="1">
        <v>1</v>
      </c>
      <c r="L163" s="1" t="s">
        <v>292</v>
      </c>
      <c r="M163" s="1">
        <v>1</v>
      </c>
      <c r="N163" s="1">
        <v>1</v>
      </c>
      <c r="O163" s="1" t="s">
        <v>296</v>
      </c>
      <c r="P163" s="1">
        <v>105.131</v>
      </c>
      <c r="Q163" s="1">
        <v>1</v>
      </c>
      <c r="R163" s="1">
        <v>7</v>
      </c>
      <c r="S163" s="1">
        <v>9.25</v>
      </c>
      <c r="T163" s="1">
        <v>0</v>
      </c>
      <c r="V163" s="1" t="s">
        <v>11223</v>
      </c>
      <c r="W163" s="1">
        <v>100</v>
      </c>
      <c r="X163" s="1" t="s">
        <v>368</v>
      </c>
      <c r="Y163" s="1" t="s">
        <v>299</v>
      </c>
      <c r="Z163" s="1">
        <v>1</v>
      </c>
      <c r="AA163" s="1">
        <f>ROUND(H163*I163*Z163, 3)</f>
        <v>56.488999999999997</v>
      </c>
      <c r="AB163" s="1">
        <f>ROUND(VLOOKUP(X163,'Base de dados'!A:B, 2, 0)*AA163, 2)</f>
        <v>5.65</v>
      </c>
      <c r="AC163" s="1">
        <f>ROUND((AA163*(Destino!AG163/100))*(W163/100),2)</f>
        <v>3.95</v>
      </c>
      <c r="AD163" s="1">
        <f>ROUND(AA163*(Destino!AH163/100),2)</f>
        <v>5.23</v>
      </c>
      <c r="AF163" s="1">
        <f>ROUND((AA163+ AB163)*(J163/100),2)</f>
        <v>1.24</v>
      </c>
      <c r="AG163" s="1">
        <f>ROUND(AA163*T163,2)</f>
        <v>0</v>
      </c>
      <c r="AH163" s="1">
        <f>ROUND(AA163-(AC163+AD163)+AF163+AG163, 3)</f>
        <v>48.548999999999999</v>
      </c>
      <c r="AI163" s="1">
        <f>AH163*M163*K163</f>
        <v>48.548999999999999</v>
      </c>
      <c r="BA163" s="1" t="s">
        <v>11382</v>
      </c>
      <c r="BB163" s="1">
        <f>AI163</f>
        <v>48.548999999999999</v>
      </c>
      <c r="BD163" s="1">
        <f>N163</f>
        <v>1</v>
      </c>
    </row>
    <row r="164" spans="1:56" x14ac:dyDescent="0.25">
      <c r="A164" s="1">
        <v>600001069</v>
      </c>
      <c r="B164" s="1">
        <v>1110</v>
      </c>
      <c r="C164" s="1">
        <v>2200000102</v>
      </c>
      <c r="D164" s="1" t="s">
        <v>303</v>
      </c>
      <c r="E164" s="1" t="str">
        <f>IF(AND(B164&lt;&gt;1110,B164&lt;&gt;1210,B164&lt;&gt;1510,B164&lt;&gt;1710),B164,IF(B164=1110,"1100",IF(B164=1210,"1200",IF(B164=1510,"1500",IF(B164=1710,"1700","X")))))</f>
        <v>1100</v>
      </c>
      <c r="F164" s="1" t="s">
        <v>11241</v>
      </c>
      <c r="G164" s="1" t="s">
        <v>302</v>
      </c>
      <c r="H164" s="1">
        <f>ROUND(P164/(1-((R164+S164))/100)*Q164, 3)</f>
        <v>55.168999999999997</v>
      </c>
      <c r="I164" s="1">
        <v>1</v>
      </c>
      <c r="J164" s="1">
        <v>4</v>
      </c>
      <c r="K164" s="1">
        <v>1</v>
      </c>
      <c r="L164" s="1" t="s">
        <v>292</v>
      </c>
      <c r="M164" s="1">
        <v>1</v>
      </c>
      <c r="N164" s="1">
        <v>0.76264500000000002</v>
      </c>
      <c r="O164" s="1" t="s">
        <v>292</v>
      </c>
      <c r="P164" s="1">
        <f>IFERROR(VLOOKUP(BC164, BA:BA:BB:BB, 2, 0),)</f>
        <v>48.548999999999999</v>
      </c>
      <c r="Q164" s="1">
        <f>IFERROR(VLOOKUP(BC164, BA:BA:BD:BD, 4, 0),1)</f>
        <v>1</v>
      </c>
      <c r="R164" s="1">
        <v>12</v>
      </c>
      <c r="S164" s="1">
        <v>0</v>
      </c>
      <c r="T164" s="1">
        <v>0</v>
      </c>
      <c r="V164" s="1" t="s">
        <v>11223</v>
      </c>
      <c r="W164" s="1">
        <v>100</v>
      </c>
      <c r="X164" s="1" t="s">
        <v>368</v>
      </c>
      <c r="Y164" s="1" t="s">
        <v>299</v>
      </c>
      <c r="Z164" s="1">
        <v>1</v>
      </c>
      <c r="AA164" s="1">
        <f>ROUND(H164*I164*Z164, 3)</f>
        <v>55.168999999999997</v>
      </c>
      <c r="AB164" s="1">
        <f>ROUND(VLOOKUP(X164,'Base de dados'!A:B, 2, 0)*AA164, 2)</f>
        <v>5.52</v>
      </c>
      <c r="AC164" s="1">
        <f>ROUND((AA164*(Destino!AG164/100))*(W164/100),2)</f>
        <v>6.62</v>
      </c>
      <c r="AD164" s="1">
        <f>ROUND(AA164*(Destino!AH164/100),2)</f>
        <v>0</v>
      </c>
      <c r="AE164" s="1">
        <f>ROUND((((AA164+AB164)*1.5039)*(Destino!AI164/100))-AC164,2)</f>
        <v>8.9</v>
      </c>
      <c r="AF164" s="1">
        <f>ROUND((AA164+AB164+AE164)*(J164/100),2)</f>
        <v>2.78</v>
      </c>
      <c r="AG164" s="1">
        <f>ROUND(AA164*T164,2)</f>
        <v>0</v>
      </c>
      <c r="AH164" s="1">
        <f>ROUND(AA164+AE164+AF164+AG164, 3)</f>
        <v>66.849000000000004</v>
      </c>
      <c r="AI164" s="1">
        <f>AH164*M164*K164</f>
        <v>66.849000000000004</v>
      </c>
      <c r="BB164" s="1">
        <f>AI164</f>
        <v>66.849000000000004</v>
      </c>
      <c r="BC164" s="1" t="s">
        <v>11382</v>
      </c>
      <c r="BD164" s="1">
        <f>N164</f>
        <v>0.76264500000000002</v>
      </c>
    </row>
    <row r="165" spans="1:56" x14ac:dyDescent="0.25">
      <c r="A165" s="1">
        <v>600001069</v>
      </c>
      <c r="B165" s="1">
        <v>1110</v>
      </c>
      <c r="C165" s="1">
        <v>2200001473</v>
      </c>
      <c r="D165" s="1" t="s">
        <v>303</v>
      </c>
      <c r="E165" s="1" t="str">
        <f>IF(AND(B165&lt;&gt;1110,B165&lt;&gt;1210,B165&lt;&gt;1510,B165&lt;&gt;1710),B165,IF(B165=1110,"1100",IF(B165=1210,"1200",IF(B165=1510,"1500",IF(B165=1710,"1700","X")))))</f>
        <v>1100</v>
      </c>
      <c r="F165" s="1" t="s">
        <v>447</v>
      </c>
      <c r="G165" s="1" t="s">
        <v>302</v>
      </c>
      <c r="H165" s="1">
        <f>ROUND(P165/(1-((R165+S165))/100)*Q165, 3)</f>
        <v>125.53</v>
      </c>
      <c r="I165" s="1">
        <v>0.45</v>
      </c>
      <c r="J165" s="1">
        <v>4</v>
      </c>
      <c r="K165" s="1">
        <v>1</v>
      </c>
      <c r="L165" s="1" t="s">
        <v>292</v>
      </c>
      <c r="M165" s="1">
        <v>1</v>
      </c>
      <c r="N165" s="1">
        <v>0.75286799999999998</v>
      </c>
      <c r="O165" s="1" t="s">
        <v>296</v>
      </c>
      <c r="P165" s="1">
        <v>105.131</v>
      </c>
      <c r="Q165" s="1">
        <v>1</v>
      </c>
      <c r="R165" s="1">
        <v>7</v>
      </c>
      <c r="S165" s="1">
        <v>9.25</v>
      </c>
      <c r="T165" s="1">
        <v>0</v>
      </c>
      <c r="V165" s="1" t="s">
        <v>11223</v>
      </c>
      <c r="W165" s="1">
        <v>100</v>
      </c>
      <c r="X165" s="1" t="s">
        <v>368</v>
      </c>
      <c r="Y165" s="1" t="s">
        <v>299</v>
      </c>
      <c r="Z165" s="1">
        <v>1</v>
      </c>
      <c r="AA165" s="1">
        <f>ROUND(H165*I165*Z165, 3)</f>
        <v>56.488999999999997</v>
      </c>
      <c r="AB165" s="1">
        <f>ROUND(VLOOKUP(X165,'Base de dados'!A:B, 2, 0)*AA165, 2)</f>
        <v>5.65</v>
      </c>
      <c r="AC165" s="1">
        <f>ROUND((AA165*(Destino!AG165/100))*(W165/100),2)</f>
        <v>3.95</v>
      </c>
      <c r="AD165" s="1">
        <f>ROUND(AA165*(Destino!AH165/100),2)</f>
        <v>5.23</v>
      </c>
      <c r="AE165" s="1">
        <f>ROUND((((AA165+AB165)*1.5039)*(Destino!AI165/100))-AC165,2)</f>
        <v>11.94</v>
      </c>
      <c r="AF165" s="1">
        <f>ROUND((AA165+AB165+AE165)*(J165/100),2)</f>
        <v>2.96</v>
      </c>
      <c r="AG165" s="1">
        <f>ROUND(AA165*T165,2)</f>
        <v>0</v>
      </c>
      <c r="AH165" s="1">
        <f>ROUND(AA165-AD165+AE165+AF165+AG165, 3)</f>
        <v>66.159000000000006</v>
      </c>
      <c r="AI165" s="1">
        <f>AH165*M165*K165</f>
        <v>66.159000000000006</v>
      </c>
      <c r="BA165" s="1" t="s">
        <v>11560</v>
      </c>
      <c r="BB165" s="1">
        <f>AI165</f>
        <v>66.159000000000006</v>
      </c>
      <c r="BD165" s="1">
        <f>N165</f>
        <v>0.75286799999999998</v>
      </c>
    </row>
    <row r="166" spans="1:56" x14ac:dyDescent="0.25">
      <c r="A166" s="1">
        <v>600001069</v>
      </c>
      <c r="B166" s="1">
        <v>1400</v>
      </c>
      <c r="C166" s="1">
        <v>2200001473</v>
      </c>
      <c r="D166" s="1" t="s">
        <v>303</v>
      </c>
      <c r="E166" s="1">
        <f>IF(AND(B166&lt;&gt;1110,B166&lt;&gt;1210,B166&lt;&gt;1510,B166&lt;&gt;1710),B166,IF(B166=1110,"1100",IF(B166=1210,"1200",IF(B166=1510,"1500",IF(B166=1710,"1700","X")))))</f>
        <v>1400</v>
      </c>
      <c r="F166" s="1" t="s">
        <v>11198</v>
      </c>
      <c r="G166" s="1" t="s">
        <v>302</v>
      </c>
      <c r="H166" s="1">
        <f>ROUND(P166/(1-((R166+S166))/100)*Q166, 3)</f>
        <v>144.51</v>
      </c>
      <c r="I166" s="1">
        <v>0.45</v>
      </c>
      <c r="J166" s="1">
        <v>1.5</v>
      </c>
      <c r="K166" s="1">
        <v>1</v>
      </c>
      <c r="L166" s="1" t="s">
        <v>292</v>
      </c>
      <c r="M166" s="1">
        <v>1</v>
      </c>
      <c r="N166" s="1">
        <v>1</v>
      </c>
      <c r="O166" s="1" t="s">
        <v>296</v>
      </c>
      <c r="P166" s="1">
        <v>105.131</v>
      </c>
      <c r="Q166" s="1">
        <v>1</v>
      </c>
      <c r="R166" s="1">
        <v>18</v>
      </c>
      <c r="S166" s="1">
        <v>9.25</v>
      </c>
      <c r="T166" s="1">
        <v>0</v>
      </c>
      <c r="V166" s="1" t="s">
        <v>11223</v>
      </c>
      <c r="W166" s="1">
        <v>100</v>
      </c>
      <c r="X166" s="1" t="s">
        <v>368</v>
      </c>
      <c r="Y166" s="1" t="s">
        <v>299</v>
      </c>
      <c r="Z166" s="1">
        <v>1</v>
      </c>
      <c r="AA166" s="1">
        <f>ROUND(H166*I166*Z166, 3)</f>
        <v>65.03</v>
      </c>
      <c r="AB166" s="1">
        <f>ROUND(VLOOKUP(X166,'Base de dados'!A:B, 2, 0)*AA166, 2)</f>
        <v>6.5</v>
      </c>
      <c r="AC166" s="1">
        <f>ROUND((AA166*(Destino!AG166/100))*(W166/100),2)</f>
        <v>11.71</v>
      </c>
      <c r="AD166" s="1">
        <f>ROUND(AA166*(Destino!AH166/100),2)</f>
        <v>6.02</v>
      </c>
      <c r="AF166" s="1">
        <f>ROUND((AA166+ AB166)*(J166/100),2)</f>
        <v>1.07</v>
      </c>
      <c r="AG166" s="1">
        <f>ROUND(AA166*T166,2)</f>
        <v>0</v>
      </c>
      <c r="AH166" s="1">
        <f>ROUND(AA166-(AC166+AD166)+AF166+AG166, 3)</f>
        <v>48.37</v>
      </c>
      <c r="AI166" s="1">
        <f>AH166*M166*K166</f>
        <v>48.37</v>
      </c>
      <c r="BA166" s="1" t="s">
        <v>11561</v>
      </c>
      <c r="BB166" s="1">
        <f>AI166</f>
        <v>48.37</v>
      </c>
      <c r="BD166" s="1">
        <f>N166</f>
        <v>1</v>
      </c>
    </row>
    <row r="167" spans="1:56" x14ac:dyDescent="0.25">
      <c r="A167" s="1">
        <v>600001070</v>
      </c>
      <c r="B167" s="1">
        <v>1000</v>
      </c>
      <c r="C167" s="1">
        <v>2200001473</v>
      </c>
      <c r="D167" s="1" t="s">
        <v>303</v>
      </c>
      <c r="E167" s="1">
        <f>IF(AND(B167&lt;&gt;1110,B167&lt;&gt;1210,B167&lt;&gt;1510,B167&lt;&gt;1710),B167,IF(B167=1110,"1100",IF(B167=1210,"1200",IF(B167=1510,"1500",IF(B167=1710,"1700","X")))))</f>
        <v>1000</v>
      </c>
      <c r="F167" s="1" t="s">
        <v>11198</v>
      </c>
      <c r="G167" s="1" t="s">
        <v>302</v>
      </c>
      <c r="H167" s="1">
        <f>ROUND(P167/(1-((R167+S167))/100)*Q167, 3)</f>
        <v>148.477</v>
      </c>
      <c r="I167" s="1">
        <v>0.45</v>
      </c>
      <c r="J167" s="1">
        <v>1.5</v>
      </c>
      <c r="K167" s="1">
        <v>1</v>
      </c>
      <c r="L167" s="1" t="s">
        <v>292</v>
      </c>
      <c r="M167" s="1">
        <v>1</v>
      </c>
      <c r="N167" s="1">
        <v>1</v>
      </c>
      <c r="O167" s="1" t="s">
        <v>296</v>
      </c>
      <c r="P167" s="1">
        <v>116.926</v>
      </c>
      <c r="Q167" s="1">
        <v>1</v>
      </c>
      <c r="R167" s="1">
        <v>12</v>
      </c>
      <c r="S167" s="1">
        <v>9.25</v>
      </c>
      <c r="T167" s="1">
        <v>0</v>
      </c>
      <c r="V167" s="1" t="s">
        <v>11223</v>
      </c>
      <c r="W167" s="1">
        <v>100</v>
      </c>
      <c r="X167" s="1" t="s">
        <v>298</v>
      </c>
      <c r="Y167" s="1" t="s">
        <v>299</v>
      </c>
      <c r="Z167" s="1">
        <v>1</v>
      </c>
      <c r="AA167" s="1">
        <f>ROUND(H167*I167*Z167, 3)</f>
        <v>66.814999999999998</v>
      </c>
      <c r="AB167" s="1">
        <f>ROUND(VLOOKUP(X167,'Base de dados'!A:B, 2, 0)*AA167, 2)</f>
        <v>6.68</v>
      </c>
      <c r="AC167" s="1">
        <f>ROUND((AA167*(Destino!AG167/100))*(W167/100),2)</f>
        <v>8.02</v>
      </c>
      <c r="AD167" s="1">
        <f>ROUND(AA167*(Destino!AH167/100),2)</f>
        <v>6.18</v>
      </c>
      <c r="AF167" s="1">
        <f>ROUND((AA167+ AB167)*(J167/100),2)</f>
        <v>1.1000000000000001</v>
      </c>
      <c r="AG167" s="1">
        <f>ROUND(AA167*T167,2)</f>
        <v>0</v>
      </c>
      <c r="AH167" s="1">
        <f>ROUND(AA167-(AC167+AD167)+AF167+AG167, 3)</f>
        <v>53.715000000000003</v>
      </c>
      <c r="AI167" s="1">
        <f>AH167*M167*K167</f>
        <v>53.715000000000003</v>
      </c>
      <c r="BA167" s="1" t="s">
        <v>11562</v>
      </c>
      <c r="BB167" s="1">
        <f>AI167</f>
        <v>53.715000000000003</v>
      </c>
      <c r="BD167" s="1">
        <f>N167</f>
        <v>1</v>
      </c>
    </row>
    <row r="168" spans="1:56" x14ac:dyDescent="0.25">
      <c r="A168" s="1">
        <v>600001070</v>
      </c>
      <c r="B168" s="1">
        <v>1100</v>
      </c>
      <c r="C168" s="1">
        <v>2200001473</v>
      </c>
      <c r="D168" s="1" t="s">
        <v>303</v>
      </c>
      <c r="E168" s="1">
        <f>IF(AND(B168&lt;&gt;1110,B168&lt;&gt;1210,B168&lt;&gt;1510,B168&lt;&gt;1710),B168,IF(B168=1110,"1100",IF(B168=1210,"1200",IF(B168=1510,"1500",IF(B168=1710,"1700","X")))))</f>
        <v>1100</v>
      </c>
      <c r="F168" s="1" t="s">
        <v>11198</v>
      </c>
      <c r="G168" s="1" t="s">
        <v>302</v>
      </c>
      <c r="H168" s="1">
        <f>ROUND(P168/(1-((R168+S168))/100)*Q168, 3)</f>
        <v>139.61099999999999</v>
      </c>
      <c r="I168" s="1">
        <v>0.45</v>
      </c>
      <c r="J168" s="1">
        <v>2</v>
      </c>
      <c r="K168" s="1">
        <v>1</v>
      </c>
      <c r="L168" s="1" t="s">
        <v>292</v>
      </c>
      <c r="M168" s="1">
        <v>1</v>
      </c>
      <c r="N168" s="1">
        <v>1</v>
      </c>
      <c r="O168" s="1" t="s">
        <v>296</v>
      </c>
      <c r="P168" s="1">
        <v>116.92400000000001</v>
      </c>
      <c r="Q168" s="1">
        <v>1</v>
      </c>
      <c r="R168" s="1">
        <v>7</v>
      </c>
      <c r="S168" s="1">
        <v>9.25</v>
      </c>
      <c r="T168" s="1">
        <v>0</v>
      </c>
      <c r="V168" s="1" t="s">
        <v>11223</v>
      </c>
      <c r="W168" s="1">
        <v>100</v>
      </c>
      <c r="X168" s="1" t="s">
        <v>298</v>
      </c>
      <c r="Y168" s="1" t="s">
        <v>299</v>
      </c>
      <c r="Z168" s="1">
        <v>1</v>
      </c>
      <c r="AA168" s="1">
        <f>ROUND(H168*I168*Z168, 3)</f>
        <v>62.825000000000003</v>
      </c>
      <c r="AB168" s="1">
        <f>ROUND(VLOOKUP(X168,'Base de dados'!A:B, 2, 0)*AA168, 2)</f>
        <v>6.28</v>
      </c>
      <c r="AC168" s="1">
        <f>ROUND((AA168*(Destino!AG168/100))*(W168/100),2)</f>
        <v>4.4000000000000004</v>
      </c>
      <c r="AD168" s="1">
        <f>ROUND(AA168*(Destino!AH168/100),2)</f>
        <v>5.81</v>
      </c>
      <c r="AF168" s="1">
        <f>ROUND((AA168+ AB168)*(J168/100),2)</f>
        <v>1.38</v>
      </c>
      <c r="AG168" s="1">
        <f>ROUND(AA168*T168,2)</f>
        <v>0</v>
      </c>
      <c r="AH168" s="1">
        <f>ROUND(AA168-(AC168+AD168)+AF168+AG168, 3)</f>
        <v>53.994999999999997</v>
      </c>
      <c r="AI168" s="1">
        <f>AH168*M168*K168</f>
        <v>53.994999999999997</v>
      </c>
      <c r="BA168" s="1" t="s">
        <v>11563</v>
      </c>
      <c r="BB168" s="1">
        <f>AI168</f>
        <v>53.994999999999997</v>
      </c>
      <c r="BD168" s="1">
        <f>N168</f>
        <v>1</v>
      </c>
    </row>
    <row r="169" spans="1:56" x14ac:dyDescent="0.25">
      <c r="A169" s="1">
        <v>600001070</v>
      </c>
      <c r="B169" s="1">
        <v>1110</v>
      </c>
      <c r="C169" s="1">
        <v>2200001473</v>
      </c>
      <c r="D169" s="1" t="s">
        <v>303</v>
      </c>
      <c r="E169" s="1" t="str">
        <f>IF(AND(B169&lt;&gt;1110,B169&lt;&gt;1210,B169&lt;&gt;1510,B169&lt;&gt;1710),B169,IF(B169=1110,"1100",IF(B169=1210,"1200",IF(B169=1510,"1500",IF(B169=1710,"1700","X")))))</f>
        <v>1100</v>
      </c>
      <c r="F169" s="1" t="s">
        <v>447</v>
      </c>
      <c r="G169" s="1" t="s">
        <v>302</v>
      </c>
      <c r="H169" s="1">
        <f>ROUND(P169/(1-((R169+S169))/100)*Q169, 3)</f>
        <v>139.61099999999999</v>
      </c>
      <c r="I169" s="1">
        <v>0.45</v>
      </c>
      <c r="J169" s="1">
        <v>4</v>
      </c>
      <c r="K169" s="1">
        <v>1</v>
      </c>
      <c r="L169" s="1" t="s">
        <v>292</v>
      </c>
      <c r="M169" s="1">
        <v>1</v>
      </c>
      <c r="N169" s="1">
        <v>0.75249699999999997</v>
      </c>
      <c r="O169" s="1" t="s">
        <v>296</v>
      </c>
      <c r="P169" s="1">
        <v>116.92400000000001</v>
      </c>
      <c r="Q169" s="1">
        <v>1</v>
      </c>
      <c r="R169" s="1">
        <v>7</v>
      </c>
      <c r="S169" s="1">
        <v>9.25</v>
      </c>
      <c r="T169" s="1">
        <v>0</v>
      </c>
      <c r="V169" s="1" t="s">
        <v>11223</v>
      </c>
      <c r="W169" s="1">
        <v>100</v>
      </c>
      <c r="X169" s="1" t="s">
        <v>298</v>
      </c>
      <c r="Y169" s="1" t="s">
        <v>299</v>
      </c>
      <c r="Z169" s="1">
        <v>1</v>
      </c>
      <c r="AA169" s="1">
        <f>ROUND(H169*I169*Z169, 3)</f>
        <v>62.825000000000003</v>
      </c>
      <c r="AB169" s="1">
        <f>ROUND(VLOOKUP(X169,'Base de dados'!A:B, 2, 0)*AA169, 2)</f>
        <v>6.28</v>
      </c>
      <c r="AC169" s="1">
        <f>ROUND((AA169*(Destino!AG169/100))*(W169/100),2)</f>
        <v>4.4000000000000004</v>
      </c>
      <c r="AD169" s="1">
        <f>ROUND(AA169*(Destino!AH169/100),2)</f>
        <v>5.81</v>
      </c>
      <c r="AE169" s="1">
        <f>ROUND((((AA169+AB169)*1.5039)*(Destino!AI169/100))-AC169,2)</f>
        <v>13.27</v>
      </c>
      <c r="AF169" s="1">
        <f>ROUND((AA169+AB169+AE169)*(J169/100),2)</f>
        <v>3.3</v>
      </c>
      <c r="AG169" s="1">
        <f>ROUND(AA169*T169,2)</f>
        <v>0</v>
      </c>
      <c r="AH169" s="1">
        <f>ROUND(AA169-AD169+AE169+AF169+AG169, 3)</f>
        <v>73.584999999999994</v>
      </c>
      <c r="AI169" s="1">
        <f>AH169*M169*K169</f>
        <v>73.584999999999994</v>
      </c>
      <c r="BA169" s="1" t="s">
        <v>11564</v>
      </c>
      <c r="BB169" s="1">
        <f>AI169</f>
        <v>73.584999999999994</v>
      </c>
      <c r="BD169" s="1">
        <f>N169</f>
        <v>0.75249699999999997</v>
      </c>
    </row>
    <row r="170" spans="1:56" x14ac:dyDescent="0.25">
      <c r="A170" s="1">
        <v>600001070</v>
      </c>
      <c r="B170" s="1">
        <v>1400</v>
      </c>
      <c r="C170" s="1">
        <v>2200001473</v>
      </c>
      <c r="D170" s="1" t="s">
        <v>303</v>
      </c>
      <c r="E170" s="1">
        <f>IF(AND(B170&lt;&gt;1110,B170&lt;&gt;1210,B170&lt;&gt;1510,B170&lt;&gt;1710),B170,IF(B170=1110,"1100",IF(B170=1210,"1200",IF(B170=1510,"1500",IF(B170=1710,"1700","X")))))</f>
        <v>1400</v>
      </c>
      <c r="F170" s="1" t="s">
        <v>11198</v>
      </c>
      <c r="G170" s="1" t="s">
        <v>302</v>
      </c>
      <c r="H170" s="1">
        <f>ROUND(P170/(1-((R170+S170))/100)*Q170, 3)</f>
        <v>160.72</v>
      </c>
      <c r="I170" s="1">
        <v>0.45</v>
      </c>
      <c r="J170" s="1">
        <v>1.5</v>
      </c>
      <c r="K170" s="1">
        <v>1</v>
      </c>
      <c r="L170" s="1" t="s">
        <v>292</v>
      </c>
      <c r="M170" s="1">
        <v>1</v>
      </c>
      <c r="N170" s="1">
        <v>1</v>
      </c>
      <c r="O170" s="1" t="s">
        <v>296</v>
      </c>
      <c r="P170" s="1">
        <v>116.92400000000001</v>
      </c>
      <c r="Q170" s="1">
        <v>1</v>
      </c>
      <c r="R170" s="1">
        <v>18</v>
      </c>
      <c r="S170" s="1">
        <v>9.25</v>
      </c>
      <c r="T170" s="1">
        <v>0</v>
      </c>
      <c r="V170" s="1" t="s">
        <v>11223</v>
      </c>
      <c r="W170" s="1">
        <v>100</v>
      </c>
      <c r="X170" s="1" t="s">
        <v>298</v>
      </c>
      <c r="Y170" s="1" t="s">
        <v>299</v>
      </c>
      <c r="Z170" s="1">
        <v>1</v>
      </c>
      <c r="AA170" s="1">
        <f>ROUND(H170*I170*Z170, 3)</f>
        <v>72.323999999999998</v>
      </c>
      <c r="AB170" s="1">
        <f>ROUND(VLOOKUP(X170,'Base de dados'!A:B, 2, 0)*AA170, 2)</f>
        <v>7.23</v>
      </c>
      <c r="AC170" s="1">
        <f>ROUND((AA170*(Destino!AG170/100))*(W170/100),2)</f>
        <v>13.02</v>
      </c>
      <c r="AD170" s="1">
        <f>ROUND(AA170*(Destino!AH170/100),2)</f>
        <v>6.69</v>
      </c>
      <c r="AF170" s="1">
        <f>ROUND((AA170+ AB170)*(J170/100),2)</f>
        <v>1.19</v>
      </c>
      <c r="AG170" s="1">
        <f>ROUND(AA170*T170,2)</f>
        <v>0</v>
      </c>
      <c r="AH170" s="1">
        <f>ROUND(AA170-(AC170+AD170)+AF170+AG170, 3)</f>
        <v>53.804000000000002</v>
      </c>
      <c r="AI170" s="1">
        <f>AH170*M170*K170</f>
        <v>53.804000000000002</v>
      </c>
      <c r="BA170" s="1" t="s">
        <v>11383</v>
      </c>
      <c r="BB170" s="1">
        <f>AI170</f>
        <v>53.804000000000002</v>
      </c>
      <c r="BD170" s="1">
        <f>N170</f>
        <v>1</v>
      </c>
    </row>
    <row r="171" spans="1:56" x14ac:dyDescent="0.25">
      <c r="A171" s="1">
        <v>600001070</v>
      </c>
      <c r="B171" s="1">
        <v>1700</v>
      </c>
      <c r="C171" s="1">
        <v>2200001421</v>
      </c>
      <c r="D171" s="1" t="s">
        <v>303</v>
      </c>
      <c r="E171" s="1">
        <f>IF(AND(B171&lt;&gt;1110,B171&lt;&gt;1210,B171&lt;&gt;1510,B171&lt;&gt;1710),B171,IF(B171=1110,"1100",IF(B171=1210,"1200",IF(B171=1510,"1500",IF(B171=1710,"1700","X")))))</f>
        <v>1700</v>
      </c>
      <c r="F171" s="1" t="s">
        <v>11238</v>
      </c>
      <c r="G171" s="1" t="s">
        <v>302</v>
      </c>
      <c r="H171" s="1">
        <f>ROUND(P171/(1-((R171+S171))/100)*Q171, 3)</f>
        <v>64.244</v>
      </c>
      <c r="I171" s="1">
        <v>0.25</v>
      </c>
      <c r="J171" s="1">
        <v>3</v>
      </c>
      <c r="K171" s="1">
        <v>1</v>
      </c>
      <c r="L171" s="1" t="s">
        <v>292</v>
      </c>
      <c r="M171" s="1">
        <v>4</v>
      </c>
      <c r="N171" s="1">
        <v>1</v>
      </c>
      <c r="O171" s="1" t="s">
        <v>296</v>
      </c>
      <c r="P171" s="1">
        <f>IFERROR(VLOOKUP(BC171, BA:BA:BB:BB, 2, 0),)</f>
        <v>53.804000000000002</v>
      </c>
      <c r="Q171" s="1">
        <f>IFERROR(VLOOKUP(BC171, BA:BA:BD:BD, 4, 0),1)</f>
        <v>1</v>
      </c>
      <c r="R171" s="1">
        <v>7</v>
      </c>
      <c r="S171" s="1">
        <v>9.25</v>
      </c>
      <c r="T171" s="1">
        <v>0</v>
      </c>
      <c r="V171" s="1" t="s">
        <v>11223</v>
      </c>
      <c r="W171" s="1">
        <v>100</v>
      </c>
      <c r="X171" s="1" t="s">
        <v>298</v>
      </c>
      <c r="Y171" s="1" t="s">
        <v>299</v>
      </c>
      <c r="Z171" s="1">
        <v>1</v>
      </c>
      <c r="AA171" s="1">
        <f>ROUND(H171*I171*Z171, 3)</f>
        <v>16.061</v>
      </c>
      <c r="AB171" s="1">
        <f>ROUND(VLOOKUP(X171,'Base de dados'!A:B, 2, 0)*AA171, 2)</f>
        <v>1.61</v>
      </c>
      <c r="AC171" s="1">
        <f>ROUND((AA171*(Destino!AG171/100))*(W171/100),2)</f>
        <v>1.1200000000000001</v>
      </c>
      <c r="AD171" s="1">
        <f>ROUND(AA171*(Destino!AH171/100),2)</f>
        <v>0</v>
      </c>
      <c r="AE171" s="1">
        <f>ROUND((((AA171+AB171)*1.48)*(Destino!AI171/100))-AC171,2)</f>
        <v>3.33</v>
      </c>
      <c r="AF171" s="1">
        <f>ROUND((AA171+AB171+AE171)*(J171/100),2)</f>
        <v>0.63</v>
      </c>
      <c r="AG171" s="1">
        <f>ROUND(AA171*T171,2)</f>
        <v>0</v>
      </c>
      <c r="AH171" s="1">
        <f>ROUND(AA171+AB171-AD171+AE171+AF171+AG171, 3)</f>
        <v>21.631</v>
      </c>
      <c r="AI171" s="1">
        <f>AH171*M171*K171</f>
        <v>86.524000000000001</v>
      </c>
      <c r="BA171" s="1" t="s">
        <v>11280</v>
      </c>
      <c r="BB171" s="1">
        <f>AI171</f>
        <v>86.524000000000001</v>
      </c>
      <c r="BC171" s="1" t="s">
        <v>11383</v>
      </c>
      <c r="BD171" s="1">
        <f>N171</f>
        <v>1</v>
      </c>
    </row>
    <row r="172" spans="1:56" x14ac:dyDescent="0.25">
      <c r="A172" s="1">
        <v>600001071</v>
      </c>
      <c r="B172" s="1">
        <v>1000</v>
      </c>
      <c r="C172" s="1">
        <v>2200001473</v>
      </c>
      <c r="D172" s="1" t="s">
        <v>303</v>
      </c>
      <c r="E172" s="1">
        <f>IF(AND(B172&lt;&gt;1110,B172&lt;&gt;1210,B172&lt;&gt;1510,B172&lt;&gt;1710),B172,IF(B172=1110,"1100",IF(B172=1210,"1200",IF(B172=1510,"1500",IF(B172=1710,"1700","X")))))</f>
        <v>1000</v>
      </c>
      <c r="F172" s="1" t="s">
        <v>11198</v>
      </c>
      <c r="G172" s="1" t="s">
        <v>302</v>
      </c>
      <c r="H172" s="1">
        <f>ROUND(P172/(1-((R172+S172))/100)*Q172, 3)</f>
        <v>155.46799999999999</v>
      </c>
      <c r="I172" s="1">
        <v>0.45</v>
      </c>
      <c r="J172" s="1">
        <v>1.5</v>
      </c>
      <c r="K172" s="1">
        <v>1</v>
      </c>
      <c r="L172" s="1" t="s">
        <v>292</v>
      </c>
      <c r="M172" s="1">
        <v>1</v>
      </c>
      <c r="N172" s="1">
        <v>1</v>
      </c>
      <c r="O172" s="1" t="s">
        <v>296</v>
      </c>
      <c r="P172" s="1">
        <v>122.431</v>
      </c>
      <c r="Q172" s="1">
        <v>1</v>
      </c>
      <c r="R172" s="1">
        <v>12</v>
      </c>
      <c r="S172" s="1">
        <v>9.25</v>
      </c>
      <c r="T172" s="1">
        <v>0</v>
      </c>
      <c r="V172" s="1" t="s">
        <v>11223</v>
      </c>
      <c r="W172" s="1">
        <v>100</v>
      </c>
      <c r="X172" s="1" t="s">
        <v>298</v>
      </c>
      <c r="Y172" s="1" t="s">
        <v>299</v>
      </c>
      <c r="Z172" s="1">
        <v>1</v>
      </c>
      <c r="AA172" s="1">
        <f>ROUND(H172*I172*Z172, 3)</f>
        <v>69.960999999999999</v>
      </c>
      <c r="AB172" s="1">
        <f>ROUND(VLOOKUP(X172,'Base de dados'!A:B, 2, 0)*AA172, 2)</f>
        <v>7</v>
      </c>
      <c r="AC172" s="1">
        <f>ROUND((AA172*(Destino!AG172/100))*(W172/100),2)</f>
        <v>8.4</v>
      </c>
      <c r="AD172" s="1">
        <f>ROUND(AA172*(Destino!AH172/100),2)</f>
        <v>6.47</v>
      </c>
      <c r="AF172" s="1">
        <f>ROUND((AA172+ AB172)*(J172/100),2)</f>
        <v>1.1499999999999999</v>
      </c>
      <c r="AG172" s="1">
        <f>ROUND(AA172*T172,2)</f>
        <v>0</v>
      </c>
      <c r="AH172" s="1">
        <f>ROUND(AA172-(AC172+AD172)+AF172+AG172, 3)</f>
        <v>56.241</v>
      </c>
      <c r="AI172" s="1">
        <f>AH172*M172*K172</f>
        <v>56.241</v>
      </c>
      <c r="BA172" s="1" t="s">
        <v>11565</v>
      </c>
      <c r="BB172" s="1">
        <f>AI172</f>
        <v>56.241</v>
      </c>
      <c r="BD172" s="1">
        <f>N172</f>
        <v>1</v>
      </c>
    </row>
    <row r="173" spans="1:56" x14ac:dyDescent="0.25">
      <c r="A173" s="1">
        <v>600001071</v>
      </c>
      <c r="B173" s="1">
        <v>1100</v>
      </c>
      <c r="C173" s="1">
        <v>2200001473</v>
      </c>
      <c r="D173" s="1" t="s">
        <v>303</v>
      </c>
      <c r="E173" s="1">
        <f>IF(AND(B173&lt;&gt;1110,B173&lt;&gt;1210,B173&lt;&gt;1510,B173&lt;&gt;1710),B173,IF(B173=1110,"1100",IF(B173=1210,"1200",IF(B173=1510,"1500",IF(B173=1710,"1700","X")))))</f>
        <v>1100</v>
      </c>
      <c r="F173" s="1" t="s">
        <v>11198</v>
      </c>
      <c r="G173" s="1" t="s">
        <v>302</v>
      </c>
      <c r="H173" s="1">
        <f>ROUND(P173/(1-((R173+S173))/100)*Q173, 3)</f>
        <v>146.18600000000001</v>
      </c>
      <c r="I173" s="1">
        <v>0.45</v>
      </c>
      <c r="J173" s="1">
        <v>2</v>
      </c>
      <c r="K173" s="1">
        <v>1</v>
      </c>
      <c r="L173" s="1" t="s">
        <v>292</v>
      </c>
      <c r="M173" s="1">
        <v>1</v>
      </c>
      <c r="N173" s="1">
        <v>1</v>
      </c>
      <c r="O173" s="1" t="s">
        <v>296</v>
      </c>
      <c r="P173" s="1">
        <v>122.431</v>
      </c>
      <c r="Q173" s="1">
        <v>1</v>
      </c>
      <c r="R173" s="1">
        <v>7</v>
      </c>
      <c r="S173" s="1">
        <v>9.25</v>
      </c>
      <c r="T173" s="1">
        <v>0</v>
      </c>
      <c r="V173" s="1" t="s">
        <v>11223</v>
      </c>
      <c r="W173" s="1">
        <v>100</v>
      </c>
      <c r="X173" s="1" t="s">
        <v>298</v>
      </c>
      <c r="Y173" s="1" t="s">
        <v>299</v>
      </c>
      <c r="Z173" s="1">
        <v>1</v>
      </c>
      <c r="AA173" s="1">
        <f>ROUND(H173*I173*Z173, 3)</f>
        <v>65.784000000000006</v>
      </c>
      <c r="AB173" s="1">
        <f>ROUND(VLOOKUP(X173,'Base de dados'!A:B, 2, 0)*AA173, 2)</f>
        <v>6.58</v>
      </c>
      <c r="AC173" s="1">
        <f>ROUND((AA173*(Destino!AG173/100))*(W173/100),2)</f>
        <v>4.5999999999999996</v>
      </c>
      <c r="AD173" s="1">
        <f>ROUND(AA173*(Destino!AH173/100),2)</f>
        <v>6.09</v>
      </c>
      <c r="AF173" s="1">
        <f>ROUND((AA173+ AB173)*(J173/100),2)</f>
        <v>1.45</v>
      </c>
      <c r="AG173" s="1">
        <f>ROUND(AA173*T173,2)</f>
        <v>0</v>
      </c>
      <c r="AH173" s="1">
        <f>ROUND(AA173-(AC173+AD173)+AF173+AG173, 3)</f>
        <v>56.543999999999997</v>
      </c>
      <c r="AI173" s="1">
        <f>AH173*M173*K173</f>
        <v>56.543999999999997</v>
      </c>
      <c r="BA173" s="1" t="s">
        <v>11566</v>
      </c>
      <c r="BB173" s="1">
        <f>AI173</f>
        <v>56.543999999999997</v>
      </c>
      <c r="BD173" s="1">
        <f>N173</f>
        <v>1</v>
      </c>
    </row>
    <row r="174" spans="1:56" x14ac:dyDescent="0.25">
      <c r="A174" s="1">
        <v>600001071</v>
      </c>
      <c r="B174" s="1">
        <v>1110</v>
      </c>
      <c r="C174" s="1">
        <v>2200001473</v>
      </c>
      <c r="D174" s="1" t="s">
        <v>303</v>
      </c>
      <c r="E174" s="1" t="str">
        <f>IF(AND(B174&lt;&gt;1110,B174&lt;&gt;1210,B174&lt;&gt;1510,B174&lt;&gt;1710),B174,IF(B174=1110,"1100",IF(B174=1210,"1200",IF(B174=1510,"1500",IF(B174=1710,"1700","X")))))</f>
        <v>1100</v>
      </c>
      <c r="F174" s="1" t="s">
        <v>447</v>
      </c>
      <c r="G174" s="1" t="s">
        <v>302</v>
      </c>
      <c r="H174" s="1">
        <f>ROUND(P174/(1-((R174+S174))/100)*Q174, 3)</f>
        <v>146.18600000000001</v>
      </c>
      <c r="I174" s="1">
        <v>0.45</v>
      </c>
      <c r="J174" s="1">
        <v>4</v>
      </c>
      <c r="K174" s="1">
        <v>1</v>
      </c>
      <c r="L174" s="1" t="s">
        <v>292</v>
      </c>
      <c r="M174" s="1">
        <v>1</v>
      </c>
      <c r="N174" s="1">
        <v>0.75270700000000001</v>
      </c>
      <c r="O174" s="1" t="s">
        <v>296</v>
      </c>
      <c r="P174" s="1">
        <v>122.431</v>
      </c>
      <c r="Q174" s="1">
        <v>1</v>
      </c>
      <c r="R174" s="1">
        <v>7</v>
      </c>
      <c r="S174" s="1">
        <v>9.25</v>
      </c>
      <c r="T174" s="1">
        <v>0</v>
      </c>
      <c r="V174" s="1" t="s">
        <v>11223</v>
      </c>
      <c r="W174" s="1">
        <v>100</v>
      </c>
      <c r="X174" s="1" t="s">
        <v>298</v>
      </c>
      <c r="Y174" s="1" t="s">
        <v>299</v>
      </c>
      <c r="Z174" s="1">
        <v>1</v>
      </c>
      <c r="AA174" s="1">
        <f>ROUND(H174*I174*Z174, 3)</f>
        <v>65.784000000000006</v>
      </c>
      <c r="AB174" s="1">
        <f>ROUND(VLOOKUP(X174,'Base de dados'!A:B, 2, 0)*AA174, 2)</f>
        <v>6.58</v>
      </c>
      <c r="AC174" s="1">
        <f>ROUND((AA174*(Destino!AG174/100))*(W174/100),2)</f>
        <v>4.5999999999999996</v>
      </c>
      <c r="AD174" s="1">
        <f>ROUND(AA174*(Destino!AH174/100),2)</f>
        <v>6.09</v>
      </c>
      <c r="AE174" s="1">
        <f>ROUND((((AA174+AB174)*1.5039)*(Destino!AI174/100))-AC174,2)</f>
        <v>13.9</v>
      </c>
      <c r="AF174" s="1">
        <f>ROUND((AA174+AB174+AE174)*(J174/100),2)</f>
        <v>3.45</v>
      </c>
      <c r="AG174" s="1">
        <f>ROUND(AA174*T174,2)</f>
        <v>0</v>
      </c>
      <c r="AH174" s="1">
        <f>ROUND(AA174-AD174+AE174+AF174+AG174, 3)</f>
        <v>77.043999999999997</v>
      </c>
      <c r="AI174" s="1">
        <f>AH174*M174*K174</f>
        <v>77.043999999999997</v>
      </c>
      <c r="BA174" s="1" t="s">
        <v>11567</v>
      </c>
      <c r="BB174" s="1">
        <f>AI174</f>
        <v>77.043999999999997</v>
      </c>
      <c r="BD174" s="1">
        <f>N174</f>
        <v>0.75270700000000001</v>
      </c>
    </row>
    <row r="175" spans="1:56" x14ac:dyDescent="0.25">
      <c r="A175" s="1">
        <v>600001071</v>
      </c>
      <c r="B175" s="1">
        <v>1400</v>
      </c>
      <c r="C175" s="1">
        <v>2200001473</v>
      </c>
      <c r="D175" s="1" t="s">
        <v>303</v>
      </c>
      <c r="E175" s="1">
        <f>IF(AND(B175&lt;&gt;1110,B175&lt;&gt;1210,B175&lt;&gt;1510,B175&lt;&gt;1710),B175,IF(B175=1110,"1100",IF(B175=1210,"1200",IF(B175=1510,"1500",IF(B175=1710,"1700","X")))))</f>
        <v>1400</v>
      </c>
      <c r="F175" s="1" t="s">
        <v>11198</v>
      </c>
      <c r="G175" s="1" t="s">
        <v>302</v>
      </c>
      <c r="H175" s="1">
        <f>ROUND(P175/(1-((R175+S175))/100)*Q175, 3)</f>
        <v>168.29</v>
      </c>
      <c r="I175" s="1">
        <v>0.45</v>
      </c>
      <c r="J175" s="1">
        <v>1.5</v>
      </c>
      <c r="K175" s="1">
        <v>1</v>
      </c>
      <c r="L175" s="1" t="s">
        <v>292</v>
      </c>
      <c r="M175" s="1">
        <v>1</v>
      </c>
      <c r="N175" s="1">
        <v>1</v>
      </c>
      <c r="O175" s="1" t="s">
        <v>296</v>
      </c>
      <c r="P175" s="1">
        <v>122.431</v>
      </c>
      <c r="Q175" s="1">
        <v>1</v>
      </c>
      <c r="R175" s="1">
        <v>18</v>
      </c>
      <c r="S175" s="1">
        <v>9.25</v>
      </c>
      <c r="T175" s="1">
        <v>0</v>
      </c>
      <c r="V175" s="1" t="s">
        <v>11223</v>
      </c>
      <c r="W175" s="1">
        <v>100</v>
      </c>
      <c r="X175" s="1" t="s">
        <v>298</v>
      </c>
      <c r="Y175" s="1" t="s">
        <v>299</v>
      </c>
      <c r="Z175" s="1">
        <v>1</v>
      </c>
      <c r="AA175" s="1">
        <f>ROUND(H175*I175*Z175, 3)</f>
        <v>75.730999999999995</v>
      </c>
      <c r="AB175" s="1">
        <f>ROUND(VLOOKUP(X175,'Base de dados'!A:B, 2, 0)*AA175, 2)</f>
        <v>7.57</v>
      </c>
      <c r="AC175" s="1">
        <f>ROUND((AA175*(Destino!AG175/100))*(W175/100),2)</f>
        <v>13.63</v>
      </c>
      <c r="AD175" s="1">
        <f>ROUND(AA175*(Destino!AH175/100),2)</f>
        <v>7.01</v>
      </c>
      <c r="AF175" s="1">
        <f>ROUND((AA175+ AB175)*(J175/100),2)</f>
        <v>1.25</v>
      </c>
      <c r="AG175" s="1">
        <f>ROUND(AA175*T175,2)</f>
        <v>0</v>
      </c>
      <c r="AH175" s="1">
        <f>ROUND(AA175-(AC175+AD175)+AF175+AG175, 3)</f>
        <v>56.341000000000001</v>
      </c>
      <c r="AI175" s="1">
        <f>AH175*M175*K175</f>
        <v>56.341000000000001</v>
      </c>
      <c r="BA175" s="1" t="s">
        <v>11384</v>
      </c>
      <c r="BB175" s="1">
        <f>AI175</f>
        <v>56.341000000000001</v>
      </c>
      <c r="BD175" s="1">
        <f>N175</f>
        <v>1</v>
      </c>
    </row>
    <row r="176" spans="1:56" x14ac:dyDescent="0.25">
      <c r="A176" s="1">
        <v>600001071</v>
      </c>
      <c r="B176" s="1">
        <v>1700</v>
      </c>
      <c r="C176" s="1">
        <v>2200001421</v>
      </c>
      <c r="D176" s="1" t="s">
        <v>303</v>
      </c>
      <c r="E176" s="1">
        <f>IF(AND(B176&lt;&gt;1110,B176&lt;&gt;1210,B176&lt;&gt;1510,B176&lt;&gt;1710),B176,IF(B176=1110,"1100",IF(B176=1210,"1200",IF(B176=1510,"1500",IF(B176=1710,"1700","X")))))</f>
        <v>1700</v>
      </c>
      <c r="F176" s="1" t="s">
        <v>11238</v>
      </c>
      <c r="G176" s="1" t="s">
        <v>302</v>
      </c>
      <c r="H176" s="1">
        <f>ROUND(P176/(1-((R176+S176))/100)*Q176, 3)</f>
        <v>67.272999999999996</v>
      </c>
      <c r="I176" s="1">
        <v>0.25</v>
      </c>
      <c r="J176" s="1">
        <v>3</v>
      </c>
      <c r="K176" s="1">
        <v>1</v>
      </c>
      <c r="L176" s="1" t="s">
        <v>292</v>
      </c>
      <c r="M176" s="1">
        <v>4</v>
      </c>
      <c r="N176" s="1">
        <v>1</v>
      </c>
      <c r="O176" s="1" t="s">
        <v>296</v>
      </c>
      <c r="P176" s="1">
        <f>IFERROR(VLOOKUP(BC176, BA:BA:BB:BB, 2, 0),)</f>
        <v>56.341000000000001</v>
      </c>
      <c r="Q176" s="1">
        <f>IFERROR(VLOOKUP(BC176, BA:BA:BD:BD, 4, 0),1)</f>
        <v>1</v>
      </c>
      <c r="R176" s="1">
        <v>7</v>
      </c>
      <c r="S176" s="1">
        <v>9.25</v>
      </c>
      <c r="T176" s="1">
        <v>0</v>
      </c>
      <c r="V176" s="1" t="s">
        <v>11223</v>
      </c>
      <c r="W176" s="1">
        <v>100</v>
      </c>
      <c r="X176" s="1" t="s">
        <v>298</v>
      </c>
      <c r="Y176" s="1" t="s">
        <v>299</v>
      </c>
      <c r="Z176" s="1">
        <v>1</v>
      </c>
      <c r="AA176" s="1">
        <f>ROUND(H176*I176*Z176, 3)</f>
        <v>16.818000000000001</v>
      </c>
      <c r="AB176" s="1">
        <f>ROUND(VLOOKUP(X176,'Base de dados'!A:B, 2, 0)*AA176, 2)</f>
        <v>1.68</v>
      </c>
      <c r="AC176" s="1">
        <f>ROUND((AA176*(Destino!AG176/100))*(W176/100),2)</f>
        <v>1.18</v>
      </c>
      <c r="AD176" s="1">
        <f>ROUND(AA176*(Destino!AH176/100),2)</f>
        <v>0</v>
      </c>
      <c r="AE176" s="1">
        <f>ROUND((((AA176+AB176)*1.48)*(Destino!AI176/100))-AC176,2)</f>
        <v>3.47</v>
      </c>
      <c r="AF176" s="1">
        <f>ROUND((AA176+AB176+AE176)*(J176/100),2)</f>
        <v>0.66</v>
      </c>
      <c r="AG176" s="1">
        <f>ROUND(AA176*T176,2)</f>
        <v>0</v>
      </c>
      <c r="AH176" s="1">
        <f>ROUND(AA176+AB176-AD176+AE176+AF176+AG176, 3)</f>
        <v>22.628</v>
      </c>
      <c r="AI176" s="1">
        <f>AH176*M176*K176</f>
        <v>90.512</v>
      </c>
      <c r="BA176" s="1" t="s">
        <v>11281</v>
      </c>
      <c r="BB176" s="1">
        <f>AI176</f>
        <v>90.512</v>
      </c>
      <c r="BC176" s="1" t="s">
        <v>11384</v>
      </c>
      <c r="BD176" s="1">
        <f>N176</f>
        <v>1</v>
      </c>
    </row>
    <row r="177" spans="1:56" x14ac:dyDescent="0.25">
      <c r="A177" s="1">
        <v>600001072</v>
      </c>
      <c r="B177" s="1">
        <v>1000</v>
      </c>
      <c r="C177" s="1">
        <v>2200001473</v>
      </c>
      <c r="D177" s="1" t="s">
        <v>303</v>
      </c>
      <c r="E177" s="1">
        <f>IF(AND(B177&lt;&gt;1110,B177&lt;&gt;1210,B177&lt;&gt;1510,B177&lt;&gt;1710),B177,IF(B177=1110,"1100",IF(B177=1210,"1200",IF(B177=1510,"1500",IF(B177=1710,"1700","X")))))</f>
        <v>1000</v>
      </c>
      <c r="F177" s="1" t="s">
        <v>11198</v>
      </c>
      <c r="G177" s="1" t="s">
        <v>302</v>
      </c>
      <c r="H177" s="1">
        <f>ROUND(P177/(1-((R177+S177))/100)*Q177, 3)</f>
        <v>89.742999999999995</v>
      </c>
      <c r="I177" s="1">
        <v>0.45</v>
      </c>
      <c r="J177" s="1">
        <v>1.5</v>
      </c>
      <c r="K177" s="1">
        <v>1</v>
      </c>
      <c r="L177" s="1" t="s">
        <v>292</v>
      </c>
      <c r="M177" s="1">
        <v>1</v>
      </c>
      <c r="N177" s="1">
        <v>1</v>
      </c>
      <c r="O177" s="1" t="s">
        <v>296</v>
      </c>
      <c r="P177" s="1">
        <v>70.673000000000002</v>
      </c>
      <c r="Q177" s="1">
        <v>1</v>
      </c>
      <c r="R177" s="1">
        <v>12</v>
      </c>
      <c r="S177" s="1">
        <v>9.25</v>
      </c>
      <c r="T177" s="1">
        <v>0</v>
      </c>
      <c r="V177" s="1" t="s">
        <v>11223</v>
      </c>
      <c r="W177" s="1">
        <v>100</v>
      </c>
      <c r="X177" s="1" t="s">
        <v>368</v>
      </c>
      <c r="Y177" s="1" t="s">
        <v>299</v>
      </c>
      <c r="Z177" s="1">
        <v>1</v>
      </c>
      <c r="AA177" s="1">
        <f>ROUND(H177*I177*Z177, 3)</f>
        <v>40.384</v>
      </c>
      <c r="AB177" s="1">
        <f>ROUND(VLOOKUP(X177,'Base de dados'!A:B, 2, 0)*AA177, 2)</f>
        <v>4.04</v>
      </c>
      <c r="AC177" s="1">
        <f>ROUND((AA177*(Destino!AG177/100))*(W177/100),2)</f>
        <v>4.8499999999999996</v>
      </c>
      <c r="AD177" s="1">
        <f>ROUND(AA177*(Destino!AH177/100),2)</f>
        <v>3.74</v>
      </c>
      <c r="AF177" s="1">
        <f>ROUND((AA177+ AB177)*(J177/100),2)</f>
        <v>0.67</v>
      </c>
      <c r="AG177" s="1">
        <f>ROUND(AA177*T177,2)</f>
        <v>0</v>
      </c>
      <c r="AH177" s="1">
        <f>ROUND(AA177-(AC177+AD177)+AF177+AG177, 3)</f>
        <v>32.463999999999999</v>
      </c>
      <c r="AI177" s="1">
        <f>AH177*M177*K177</f>
        <v>32.463999999999999</v>
      </c>
      <c r="BA177" s="1" t="s">
        <v>11568</v>
      </c>
      <c r="BB177" s="1">
        <f>AI177</f>
        <v>32.463999999999999</v>
      </c>
      <c r="BD177" s="1">
        <f>N177</f>
        <v>1</v>
      </c>
    </row>
    <row r="178" spans="1:56" x14ac:dyDescent="0.25">
      <c r="A178" s="1">
        <v>600001072</v>
      </c>
      <c r="B178" s="1">
        <v>1100</v>
      </c>
      <c r="C178" s="1">
        <v>2200001473</v>
      </c>
      <c r="D178" s="1" t="s">
        <v>303</v>
      </c>
      <c r="E178" s="1">
        <f>IF(AND(B178&lt;&gt;1110,B178&lt;&gt;1210,B178&lt;&gt;1510,B178&lt;&gt;1710),B178,IF(B178=1110,"1100",IF(B178=1210,"1200",IF(B178=1510,"1500",IF(B178=1710,"1700","X")))))</f>
        <v>1100</v>
      </c>
      <c r="F178" s="1" t="s">
        <v>11198</v>
      </c>
      <c r="G178" s="1" t="s">
        <v>302</v>
      </c>
      <c r="H178" s="1">
        <f>ROUND(P178/(1-((R178+S178))/100)*Q178, 3)</f>
        <v>84.39</v>
      </c>
      <c r="I178" s="1">
        <v>0.45</v>
      </c>
      <c r="J178" s="1">
        <v>2</v>
      </c>
      <c r="K178" s="1">
        <v>1</v>
      </c>
      <c r="L178" s="1" t="s">
        <v>292</v>
      </c>
      <c r="M178" s="1">
        <v>1</v>
      </c>
      <c r="N178" s="1">
        <v>1</v>
      </c>
      <c r="O178" s="1" t="s">
        <v>296</v>
      </c>
      <c r="P178" s="1">
        <v>70.677000000000007</v>
      </c>
      <c r="Q178" s="1">
        <v>1</v>
      </c>
      <c r="R178" s="1">
        <v>7</v>
      </c>
      <c r="S178" s="1">
        <v>9.25</v>
      </c>
      <c r="T178" s="1">
        <v>0</v>
      </c>
      <c r="V178" s="1" t="s">
        <v>11223</v>
      </c>
      <c r="W178" s="1">
        <v>100</v>
      </c>
      <c r="X178" s="1" t="s">
        <v>368</v>
      </c>
      <c r="Y178" s="1" t="s">
        <v>299</v>
      </c>
      <c r="Z178" s="1">
        <v>1</v>
      </c>
      <c r="AA178" s="1">
        <f>ROUND(H178*I178*Z178, 3)</f>
        <v>37.975999999999999</v>
      </c>
      <c r="AB178" s="1">
        <f>ROUND(VLOOKUP(X178,'Base de dados'!A:B, 2, 0)*AA178, 2)</f>
        <v>3.8</v>
      </c>
      <c r="AC178" s="1">
        <f>ROUND((AA178*(Destino!AG178/100))*(W178/100),2)</f>
        <v>2.66</v>
      </c>
      <c r="AD178" s="1">
        <f>ROUND(AA178*(Destino!AH178/100),2)</f>
        <v>3.51</v>
      </c>
      <c r="AF178" s="1">
        <f>ROUND((AA178+ AB178)*(J178/100),2)</f>
        <v>0.84</v>
      </c>
      <c r="AG178" s="1">
        <f>ROUND(AA178*T178,2)</f>
        <v>0</v>
      </c>
      <c r="AH178" s="1">
        <f>ROUND(AA178-(AC178+AD178)+AF178+AG178, 3)</f>
        <v>32.646000000000001</v>
      </c>
      <c r="AI178" s="1">
        <f>AH178*M178*K178</f>
        <v>32.646000000000001</v>
      </c>
      <c r="BA178" s="1" t="s">
        <v>11569</v>
      </c>
      <c r="BB178" s="1">
        <f>AI178</f>
        <v>32.646000000000001</v>
      </c>
      <c r="BD178" s="1">
        <f>N178</f>
        <v>1</v>
      </c>
    </row>
    <row r="179" spans="1:56" x14ac:dyDescent="0.25">
      <c r="A179" s="1">
        <v>600001072</v>
      </c>
      <c r="B179" s="1">
        <v>1110</v>
      </c>
      <c r="C179" s="1">
        <v>2200001473</v>
      </c>
      <c r="D179" s="1" t="s">
        <v>303</v>
      </c>
      <c r="E179" s="1" t="str">
        <f>IF(AND(B179&lt;&gt;1110,B179&lt;&gt;1210,B179&lt;&gt;1510,B179&lt;&gt;1710),B179,IF(B179=1110,"1100",IF(B179=1210,"1200",IF(B179=1510,"1500",IF(B179=1710,"1700","X")))))</f>
        <v>1100</v>
      </c>
      <c r="F179" s="1" t="s">
        <v>447</v>
      </c>
      <c r="G179" s="1" t="s">
        <v>302</v>
      </c>
      <c r="H179" s="1">
        <f>ROUND(P179/(1-((R179+S179))/100)*Q179, 3)</f>
        <v>84.39</v>
      </c>
      <c r="I179" s="1">
        <v>0.45</v>
      </c>
      <c r="J179" s="1">
        <v>4</v>
      </c>
      <c r="K179" s="1">
        <v>1</v>
      </c>
      <c r="L179" s="1" t="s">
        <v>292</v>
      </c>
      <c r="M179" s="1">
        <v>1</v>
      </c>
      <c r="N179" s="1">
        <v>0.75261999999999996</v>
      </c>
      <c r="O179" s="1" t="s">
        <v>296</v>
      </c>
      <c r="P179" s="1">
        <v>70.677000000000007</v>
      </c>
      <c r="Q179" s="1">
        <v>1</v>
      </c>
      <c r="R179" s="1">
        <v>7</v>
      </c>
      <c r="S179" s="1">
        <v>9.25</v>
      </c>
      <c r="T179" s="1">
        <v>0</v>
      </c>
      <c r="V179" s="1" t="s">
        <v>11223</v>
      </c>
      <c r="W179" s="1">
        <v>100</v>
      </c>
      <c r="X179" s="1" t="s">
        <v>368</v>
      </c>
      <c r="Y179" s="1" t="s">
        <v>299</v>
      </c>
      <c r="Z179" s="1">
        <v>1</v>
      </c>
      <c r="AA179" s="1">
        <f>ROUND(H179*I179*Z179, 3)</f>
        <v>37.975999999999999</v>
      </c>
      <c r="AB179" s="1">
        <f>ROUND(VLOOKUP(X179,'Base de dados'!A:B, 2, 0)*AA179, 2)</f>
        <v>3.8</v>
      </c>
      <c r="AC179" s="1">
        <f>ROUND((AA179*(Destino!AG179/100))*(W179/100),2)</f>
        <v>2.66</v>
      </c>
      <c r="AD179" s="1">
        <f>ROUND(AA179*(Destino!AH179/100),2)</f>
        <v>3.51</v>
      </c>
      <c r="AE179" s="1">
        <f>ROUND((((AA179+AB179)*1.5039)*(Destino!AI179/100))-AC179,2)</f>
        <v>8.02</v>
      </c>
      <c r="AF179" s="1">
        <f>ROUND((AA179+AB179+AE179)*(J179/100),2)</f>
        <v>1.99</v>
      </c>
      <c r="AG179" s="1">
        <f>ROUND(AA179*T179,2)</f>
        <v>0</v>
      </c>
      <c r="AH179" s="1">
        <f>ROUND(AA179-AD179+AE179+AF179+AG179, 3)</f>
        <v>44.475999999999999</v>
      </c>
      <c r="AI179" s="1">
        <f>AH179*M179*K179</f>
        <v>44.475999999999999</v>
      </c>
      <c r="BA179" s="1" t="s">
        <v>11570</v>
      </c>
      <c r="BB179" s="1">
        <f>AI179</f>
        <v>44.475999999999999</v>
      </c>
      <c r="BD179" s="1">
        <f>N179</f>
        <v>0.75261999999999996</v>
      </c>
    </row>
    <row r="180" spans="1:56" x14ac:dyDescent="0.25">
      <c r="A180" s="1">
        <v>600001072</v>
      </c>
      <c r="B180" s="1">
        <v>1400</v>
      </c>
      <c r="C180" s="1">
        <v>2200001473</v>
      </c>
      <c r="D180" s="1" t="s">
        <v>303</v>
      </c>
      <c r="E180" s="1">
        <f>IF(AND(B180&lt;&gt;1110,B180&lt;&gt;1210,B180&lt;&gt;1510,B180&lt;&gt;1710),B180,IF(B180=1110,"1100",IF(B180=1210,"1200",IF(B180=1510,"1500",IF(B180=1710,"1700","X")))))</f>
        <v>1400</v>
      </c>
      <c r="F180" s="1" t="s">
        <v>11198</v>
      </c>
      <c r="G180" s="1" t="s">
        <v>302</v>
      </c>
      <c r="H180" s="1">
        <f>ROUND(P180/(1-((R180+S180))/100)*Q180, 3)</f>
        <v>97.150999999999996</v>
      </c>
      <c r="I180" s="1">
        <v>0.45</v>
      </c>
      <c r="J180" s="1">
        <v>1.5</v>
      </c>
      <c r="K180" s="1">
        <v>1</v>
      </c>
      <c r="L180" s="1" t="s">
        <v>292</v>
      </c>
      <c r="M180" s="1">
        <v>1</v>
      </c>
      <c r="N180" s="1">
        <v>1</v>
      </c>
      <c r="O180" s="1" t="s">
        <v>296</v>
      </c>
      <c r="P180" s="1">
        <v>70.677000000000007</v>
      </c>
      <c r="Q180" s="1">
        <v>1</v>
      </c>
      <c r="R180" s="1">
        <v>18</v>
      </c>
      <c r="S180" s="1">
        <v>9.25</v>
      </c>
      <c r="T180" s="1">
        <v>0</v>
      </c>
      <c r="V180" s="1" t="s">
        <v>11223</v>
      </c>
      <c r="W180" s="1">
        <v>100</v>
      </c>
      <c r="X180" s="1" t="s">
        <v>368</v>
      </c>
      <c r="Y180" s="1" t="s">
        <v>299</v>
      </c>
      <c r="Z180" s="1">
        <v>1</v>
      </c>
      <c r="AA180" s="1">
        <f>ROUND(H180*I180*Z180, 3)</f>
        <v>43.718000000000004</v>
      </c>
      <c r="AB180" s="1">
        <f>ROUND(VLOOKUP(X180,'Base de dados'!A:B, 2, 0)*AA180, 2)</f>
        <v>4.37</v>
      </c>
      <c r="AC180" s="1">
        <f>ROUND((AA180*(Destino!AG180/100))*(W180/100),2)</f>
        <v>7.87</v>
      </c>
      <c r="AD180" s="1">
        <f>ROUND(AA180*(Destino!AH180/100),2)</f>
        <v>4.04</v>
      </c>
      <c r="AF180" s="1">
        <f>ROUND((AA180+ AB180)*(J180/100),2)</f>
        <v>0.72</v>
      </c>
      <c r="AG180" s="1">
        <f>ROUND(AA180*T180,2)</f>
        <v>0</v>
      </c>
      <c r="AH180" s="1">
        <f>ROUND(AA180-(AC180+AD180)+AF180+AG180, 3)</f>
        <v>32.527999999999999</v>
      </c>
      <c r="AI180" s="1">
        <f>AH180*M180*K180</f>
        <v>32.527999999999999</v>
      </c>
      <c r="BA180" s="1" t="s">
        <v>11385</v>
      </c>
      <c r="BB180" s="1">
        <f>AI180</f>
        <v>32.527999999999999</v>
      </c>
      <c r="BD180" s="1">
        <f>N180</f>
        <v>1</v>
      </c>
    </row>
    <row r="181" spans="1:56" x14ac:dyDescent="0.25">
      <c r="A181" s="1">
        <v>600001072</v>
      </c>
      <c r="B181" s="1">
        <v>1700</v>
      </c>
      <c r="C181" s="1">
        <v>2200001421</v>
      </c>
      <c r="D181" s="1" t="s">
        <v>303</v>
      </c>
      <c r="E181" s="1">
        <f>IF(AND(B181&lt;&gt;1110,B181&lt;&gt;1210,B181&lt;&gt;1510,B181&lt;&gt;1710),B181,IF(B181=1110,"1100",IF(B181=1210,"1200",IF(B181=1510,"1500",IF(B181=1710,"1700","X")))))</f>
        <v>1700</v>
      </c>
      <c r="F181" s="1" t="s">
        <v>11238</v>
      </c>
      <c r="G181" s="1" t="s">
        <v>302</v>
      </c>
      <c r="H181" s="1">
        <f>ROUND(P181/(1-((R181+S181))/100)*Q181, 3)</f>
        <v>38.838999999999999</v>
      </c>
      <c r="I181" s="1">
        <v>0.25</v>
      </c>
      <c r="J181" s="1">
        <v>3</v>
      </c>
      <c r="K181" s="1">
        <v>1</v>
      </c>
      <c r="L181" s="1" t="s">
        <v>292</v>
      </c>
      <c r="M181" s="1">
        <v>4</v>
      </c>
      <c r="N181" s="1">
        <v>1</v>
      </c>
      <c r="O181" s="1" t="s">
        <v>296</v>
      </c>
      <c r="P181" s="1">
        <f>IFERROR(VLOOKUP(BC181, BA:BA:BB:BB, 2, 0),)</f>
        <v>32.527999999999999</v>
      </c>
      <c r="Q181" s="1">
        <f>IFERROR(VLOOKUP(BC181, BA:BA:BD:BD, 4, 0),1)</f>
        <v>1</v>
      </c>
      <c r="R181" s="1">
        <v>7</v>
      </c>
      <c r="S181" s="1">
        <v>9.25</v>
      </c>
      <c r="T181" s="1">
        <v>0</v>
      </c>
      <c r="V181" s="1" t="s">
        <v>11223</v>
      </c>
      <c r="W181" s="1">
        <v>100</v>
      </c>
      <c r="X181" s="1" t="s">
        <v>368</v>
      </c>
      <c r="Y181" s="1" t="s">
        <v>299</v>
      </c>
      <c r="Z181" s="1">
        <v>1</v>
      </c>
      <c r="AA181" s="1">
        <f>ROUND(H181*I181*Z181, 3)</f>
        <v>9.7100000000000009</v>
      </c>
      <c r="AB181" s="1">
        <f>ROUND(VLOOKUP(X181,'Base de dados'!A:B, 2, 0)*AA181, 2)</f>
        <v>0.97</v>
      </c>
      <c r="AC181" s="1">
        <f>ROUND((AA181*(Destino!AG181/100))*(W181/100),2)</f>
        <v>0.68</v>
      </c>
      <c r="AD181" s="1">
        <f>ROUND(AA181*(Destino!AH181/100),2)</f>
        <v>0</v>
      </c>
      <c r="AE181" s="1">
        <f>ROUND((((AA181+AB181)*1.48)*(Destino!AI181/100))-AC181,2)</f>
        <v>2.0099999999999998</v>
      </c>
      <c r="AF181" s="1">
        <f>ROUND((AA181+AB181+AE181)*(J181/100),2)</f>
        <v>0.38</v>
      </c>
      <c r="AG181" s="1">
        <f>ROUND(AA181*T181,2)</f>
        <v>0</v>
      </c>
      <c r="AH181" s="1">
        <f>ROUND(AA181+AB181-AD181+AE181+AF181+AG181, 3)</f>
        <v>13.07</v>
      </c>
      <c r="AI181" s="1">
        <f>AH181*M181*K181</f>
        <v>52.28</v>
      </c>
      <c r="BA181" s="1" t="s">
        <v>11282</v>
      </c>
      <c r="BB181" s="1">
        <f>AI181</f>
        <v>52.28</v>
      </c>
      <c r="BC181" s="1" t="s">
        <v>11385</v>
      </c>
      <c r="BD181" s="1">
        <f>N181</f>
        <v>1</v>
      </c>
    </row>
    <row r="182" spans="1:56" x14ac:dyDescent="0.25">
      <c r="A182" s="1">
        <v>600001073</v>
      </c>
      <c r="B182" s="1">
        <v>1000</v>
      </c>
      <c r="C182" s="1">
        <v>2200001473</v>
      </c>
      <c r="D182" s="1" t="s">
        <v>303</v>
      </c>
      <c r="E182" s="1">
        <f>IF(AND(B182&lt;&gt;1110,B182&lt;&gt;1210,B182&lt;&gt;1510,B182&lt;&gt;1710),B182,IF(B182=1110,"1100",IF(B182=1210,"1200",IF(B182=1510,"1500",IF(B182=1710,"1700","X")))))</f>
        <v>1000</v>
      </c>
      <c r="F182" s="1" t="s">
        <v>11198</v>
      </c>
      <c r="G182" s="1" t="s">
        <v>302</v>
      </c>
      <c r="H182" s="1">
        <f>ROUND(P182/(1-((R182+S182))/100)*Q182, 3)</f>
        <v>102.509</v>
      </c>
      <c r="I182" s="1">
        <v>0.45</v>
      </c>
      <c r="J182" s="1">
        <v>1.5</v>
      </c>
      <c r="K182" s="1">
        <v>1</v>
      </c>
      <c r="L182" s="1" t="s">
        <v>292</v>
      </c>
      <c r="M182" s="1">
        <v>1</v>
      </c>
      <c r="N182" s="1">
        <v>1</v>
      </c>
      <c r="O182" s="1" t="s">
        <v>296</v>
      </c>
      <c r="P182" s="1">
        <v>80.725999999999999</v>
      </c>
      <c r="Q182" s="1">
        <v>1</v>
      </c>
      <c r="R182" s="1">
        <v>12</v>
      </c>
      <c r="S182" s="1">
        <v>9.25</v>
      </c>
      <c r="T182" s="1">
        <v>0</v>
      </c>
      <c r="V182" s="1" t="s">
        <v>11223</v>
      </c>
      <c r="W182" s="1">
        <v>100</v>
      </c>
      <c r="X182" s="1" t="s">
        <v>368</v>
      </c>
      <c r="Y182" s="1" t="s">
        <v>299</v>
      </c>
      <c r="Z182" s="1">
        <v>1</v>
      </c>
      <c r="AA182" s="1">
        <f>ROUND(H182*I182*Z182, 3)</f>
        <v>46.128999999999998</v>
      </c>
      <c r="AB182" s="1">
        <f>ROUND(VLOOKUP(X182,'Base de dados'!A:B, 2, 0)*AA182, 2)</f>
        <v>4.6100000000000003</v>
      </c>
      <c r="AC182" s="1">
        <f>ROUND((AA182*(Destino!AG182/100))*(W182/100),2)</f>
        <v>5.54</v>
      </c>
      <c r="AD182" s="1">
        <f>ROUND(AA182*(Destino!AH182/100),2)</f>
        <v>4.2699999999999996</v>
      </c>
      <c r="AF182" s="1">
        <f>ROUND((AA182+ AB182)*(J182/100),2)</f>
        <v>0.76</v>
      </c>
      <c r="AG182" s="1">
        <f>ROUND(AA182*T182,2)</f>
        <v>0</v>
      </c>
      <c r="AH182" s="1">
        <f>ROUND(AA182-(AC182+AD182)+AF182+AG182, 3)</f>
        <v>37.079000000000001</v>
      </c>
      <c r="AI182" s="1">
        <f>AH182*M182*K182</f>
        <v>37.079000000000001</v>
      </c>
      <c r="BA182" s="1" t="s">
        <v>11571</v>
      </c>
      <c r="BB182" s="1">
        <f>AI182</f>
        <v>37.079000000000001</v>
      </c>
      <c r="BD182" s="1">
        <f>N182</f>
        <v>1</v>
      </c>
    </row>
    <row r="183" spans="1:56" x14ac:dyDescent="0.25">
      <c r="A183" s="1">
        <v>600001073</v>
      </c>
      <c r="B183" s="1">
        <v>1100</v>
      </c>
      <c r="C183" s="1">
        <v>2200001473</v>
      </c>
      <c r="D183" s="1" t="s">
        <v>303</v>
      </c>
      <c r="E183" s="1">
        <f>IF(AND(B183&lt;&gt;1110,B183&lt;&gt;1210,B183&lt;&gt;1510,B183&lt;&gt;1710),B183,IF(B183=1110,"1100",IF(B183=1210,"1200",IF(B183=1510,"1500",IF(B183=1710,"1700","X")))))</f>
        <v>1100</v>
      </c>
      <c r="F183" s="1" t="s">
        <v>11198</v>
      </c>
      <c r="G183" s="1" t="s">
        <v>302</v>
      </c>
      <c r="H183" s="1">
        <f>ROUND(P183/(1-((R183+S183))/100)*Q183, 3)</f>
        <v>96.385999999999996</v>
      </c>
      <c r="I183" s="1">
        <v>0.45</v>
      </c>
      <c r="J183" s="1">
        <v>2</v>
      </c>
      <c r="K183" s="1">
        <v>1</v>
      </c>
      <c r="L183" s="1" t="s">
        <v>292</v>
      </c>
      <c r="M183" s="1">
        <v>1</v>
      </c>
      <c r="N183" s="1">
        <v>1</v>
      </c>
      <c r="O183" s="1" t="s">
        <v>296</v>
      </c>
      <c r="P183" s="1">
        <v>80.722999999999999</v>
      </c>
      <c r="Q183" s="1">
        <v>1</v>
      </c>
      <c r="R183" s="1">
        <v>7</v>
      </c>
      <c r="S183" s="1">
        <v>9.25</v>
      </c>
      <c r="T183" s="1">
        <v>0</v>
      </c>
      <c r="V183" s="1" t="s">
        <v>11223</v>
      </c>
      <c r="W183" s="1">
        <v>100</v>
      </c>
      <c r="X183" s="1" t="s">
        <v>368</v>
      </c>
      <c r="Y183" s="1" t="s">
        <v>299</v>
      </c>
      <c r="Z183" s="1">
        <v>1</v>
      </c>
      <c r="AA183" s="1">
        <f>ROUND(H183*I183*Z183, 3)</f>
        <v>43.374000000000002</v>
      </c>
      <c r="AB183" s="1">
        <f>ROUND(VLOOKUP(X183,'Base de dados'!A:B, 2, 0)*AA183, 2)</f>
        <v>4.34</v>
      </c>
      <c r="AC183" s="1">
        <f>ROUND((AA183*(Destino!AG183/100))*(W183/100),2)</f>
        <v>3.04</v>
      </c>
      <c r="AD183" s="1">
        <f>ROUND(AA183*(Destino!AH183/100),2)</f>
        <v>4.01</v>
      </c>
      <c r="AF183" s="1">
        <f>ROUND((AA183+ AB183)*(J183/100),2)</f>
        <v>0.95</v>
      </c>
      <c r="AG183" s="1">
        <f>ROUND(AA183*T183,2)</f>
        <v>0</v>
      </c>
      <c r="AH183" s="1">
        <f>ROUND(AA183-(AC183+AD183)+AF183+AG183, 3)</f>
        <v>37.274000000000001</v>
      </c>
      <c r="AI183" s="1">
        <f>AH183*M183*K183</f>
        <v>37.274000000000001</v>
      </c>
      <c r="BA183" s="1" t="s">
        <v>11572</v>
      </c>
      <c r="BB183" s="1">
        <f>AI183</f>
        <v>37.274000000000001</v>
      </c>
      <c r="BD183" s="1">
        <f>N183</f>
        <v>1</v>
      </c>
    </row>
    <row r="184" spans="1:56" x14ac:dyDescent="0.25">
      <c r="A184" s="1">
        <v>600001073</v>
      </c>
      <c r="B184" s="1">
        <v>1110</v>
      </c>
      <c r="C184" s="1">
        <v>2200001473</v>
      </c>
      <c r="D184" s="1" t="s">
        <v>303</v>
      </c>
      <c r="E184" s="1" t="str">
        <f>IF(AND(B184&lt;&gt;1110,B184&lt;&gt;1210,B184&lt;&gt;1510,B184&lt;&gt;1710),B184,IF(B184=1110,"1100",IF(B184=1210,"1200",IF(B184=1510,"1500",IF(B184=1710,"1700","X")))))</f>
        <v>1100</v>
      </c>
      <c r="F184" s="1" t="s">
        <v>447</v>
      </c>
      <c r="G184" s="1" t="s">
        <v>302</v>
      </c>
      <c r="H184" s="1">
        <f>ROUND(P184/(1-((R184+S184))/100)*Q184, 3)</f>
        <v>96.385999999999996</v>
      </c>
      <c r="I184" s="1">
        <v>0.45</v>
      </c>
      <c r="J184" s="1">
        <v>4</v>
      </c>
      <c r="K184" s="1">
        <v>1</v>
      </c>
      <c r="L184" s="1" t="s">
        <v>292</v>
      </c>
      <c r="M184" s="1">
        <v>1</v>
      </c>
      <c r="N184" s="1">
        <v>0.75267799999999996</v>
      </c>
      <c r="O184" s="1" t="s">
        <v>296</v>
      </c>
      <c r="P184" s="1">
        <v>80.722999999999999</v>
      </c>
      <c r="Q184" s="1">
        <v>1</v>
      </c>
      <c r="R184" s="1">
        <v>7</v>
      </c>
      <c r="S184" s="1">
        <v>9.25</v>
      </c>
      <c r="T184" s="1">
        <v>0</v>
      </c>
      <c r="V184" s="1" t="s">
        <v>11223</v>
      </c>
      <c r="W184" s="1">
        <v>100</v>
      </c>
      <c r="X184" s="1" t="s">
        <v>368</v>
      </c>
      <c r="Y184" s="1" t="s">
        <v>299</v>
      </c>
      <c r="Z184" s="1">
        <v>1</v>
      </c>
      <c r="AA184" s="1">
        <f>ROUND(H184*I184*Z184, 3)</f>
        <v>43.374000000000002</v>
      </c>
      <c r="AB184" s="1">
        <f>ROUND(VLOOKUP(X184,'Base de dados'!A:B, 2, 0)*AA184, 2)</f>
        <v>4.34</v>
      </c>
      <c r="AC184" s="1">
        <f>ROUND((AA184*(Destino!AG184/100))*(W184/100),2)</f>
        <v>3.04</v>
      </c>
      <c r="AD184" s="1">
        <f>ROUND(AA184*(Destino!AH184/100),2)</f>
        <v>4.01</v>
      </c>
      <c r="AE184" s="1">
        <f>ROUND((((AA184+AB184)*1.5039)*(Destino!AI184/100))-AC184,2)</f>
        <v>9.16</v>
      </c>
      <c r="AF184" s="1">
        <f>ROUND((AA184+AB184+AE184)*(J184/100),2)</f>
        <v>2.27</v>
      </c>
      <c r="AG184" s="1">
        <f>ROUND(AA184*T184,2)</f>
        <v>0</v>
      </c>
      <c r="AH184" s="1">
        <f>ROUND(AA184-AD184+AE184+AF184+AG184, 3)</f>
        <v>50.793999999999997</v>
      </c>
      <c r="AI184" s="1">
        <f>AH184*M184*K184</f>
        <v>50.793999999999997</v>
      </c>
      <c r="BA184" s="1" t="s">
        <v>11573</v>
      </c>
      <c r="BB184" s="1">
        <f>AI184</f>
        <v>50.793999999999997</v>
      </c>
      <c r="BD184" s="1">
        <f>N184</f>
        <v>0.75267799999999996</v>
      </c>
    </row>
    <row r="185" spans="1:56" x14ac:dyDescent="0.25">
      <c r="A185" s="1">
        <v>600001073</v>
      </c>
      <c r="B185" s="1">
        <v>1400</v>
      </c>
      <c r="C185" s="1">
        <v>2200001473</v>
      </c>
      <c r="D185" s="1" t="s">
        <v>303</v>
      </c>
      <c r="E185" s="1">
        <f>IF(AND(B185&lt;&gt;1110,B185&lt;&gt;1210,B185&lt;&gt;1510,B185&lt;&gt;1710),B185,IF(B185=1110,"1100",IF(B185=1210,"1200",IF(B185=1510,"1500",IF(B185=1710,"1700","X")))))</f>
        <v>1400</v>
      </c>
      <c r="F185" s="1" t="s">
        <v>11198</v>
      </c>
      <c r="G185" s="1" t="s">
        <v>302</v>
      </c>
      <c r="H185" s="1">
        <f>ROUND(P185/(1-((R185+S185))/100)*Q185, 3)</f>
        <v>110.959</v>
      </c>
      <c r="I185" s="1">
        <v>0.45</v>
      </c>
      <c r="J185" s="1">
        <v>1.5</v>
      </c>
      <c r="K185" s="1">
        <v>1</v>
      </c>
      <c r="L185" s="1" t="s">
        <v>292</v>
      </c>
      <c r="M185" s="1">
        <v>1</v>
      </c>
      <c r="N185" s="1">
        <v>1</v>
      </c>
      <c r="O185" s="1" t="s">
        <v>296</v>
      </c>
      <c r="P185" s="1">
        <v>80.722999999999999</v>
      </c>
      <c r="Q185" s="1">
        <v>1</v>
      </c>
      <c r="R185" s="1">
        <v>18</v>
      </c>
      <c r="S185" s="1">
        <v>9.25</v>
      </c>
      <c r="T185" s="1">
        <v>0</v>
      </c>
      <c r="V185" s="1" t="s">
        <v>11223</v>
      </c>
      <c r="W185" s="1">
        <v>100</v>
      </c>
      <c r="X185" s="1" t="s">
        <v>368</v>
      </c>
      <c r="Y185" s="1" t="s">
        <v>299</v>
      </c>
      <c r="Z185" s="1">
        <v>1</v>
      </c>
      <c r="AA185" s="1">
        <f>ROUND(H185*I185*Z185, 3)</f>
        <v>49.932000000000002</v>
      </c>
      <c r="AB185" s="1">
        <f>ROUND(VLOOKUP(X185,'Base de dados'!A:B, 2, 0)*AA185, 2)</f>
        <v>4.99</v>
      </c>
      <c r="AC185" s="1">
        <f>ROUND((AA185*(Destino!AG185/100))*(W185/100),2)</f>
        <v>8.99</v>
      </c>
      <c r="AD185" s="1">
        <f>ROUND(AA185*(Destino!AH185/100),2)</f>
        <v>4.62</v>
      </c>
      <c r="AF185" s="1">
        <f>ROUND((AA185+ AB185)*(J185/100),2)</f>
        <v>0.82</v>
      </c>
      <c r="AG185" s="1">
        <f>ROUND(AA185*T185,2)</f>
        <v>0</v>
      </c>
      <c r="AH185" s="1">
        <f>ROUND(AA185-(AC185+AD185)+AF185+AG185, 3)</f>
        <v>37.142000000000003</v>
      </c>
      <c r="AI185" s="1">
        <f>AH185*M185*K185</f>
        <v>37.142000000000003</v>
      </c>
      <c r="BA185" s="1" t="s">
        <v>11386</v>
      </c>
      <c r="BB185" s="1">
        <f>AI185</f>
        <v>37.142000000000003</v>
      </c>
      <c r="BD185" s="1">
        <f>N185</f>
        <v>1</v>
      </c>
    </row>
    <row r="186" spans="1:56" x14ac:dyDescent="0.25">
      <c r="A186" s="1">
        <v>600001073</v>
      </c>
      <c r="B186" s="1">
        <v>1700</v>
      </c>
      <c r="C186" s="1">
        <v>2200001421</v>
      </c>
      <c r="D186" s="1" t="s">
        <v>303</v>
      </c>
      <c r="E186" s="1">
        <f>IF(AND(B186&lt;&gt;1110,B186&lt;&gt;1210,B186&lt;&gt;1510,B186&lt;&gt;1710),B186,IF(B186=1110,"1100",IF(B186=1210,"1200",IF(B186=1510,"1500",IF(B186=1710,"1700","X")))))</f>
        <v>1700</v>
      </c>
      <c r="F186" s="1" t="s">
        <v>11238</v>
      </c>
      <c r="G186" s="1" t="s">
        <v>302</v>
      </c>
      <c r="H186" s="1">
        <f>ROUND(P186/(1-((R186+S186))/100)*Q186, 3)</f>
        <v>44.348999999999997</v>
      </c>
      <c r="I186" s="1">
        <v>0.25</v>
      </c>
      <c r="J186" s="1">
        <v>3</v>
      </c>
      <c r="K186" s="1">
        <v>1</v>
      </c>
      <c r="L186" s="1" t="s">
        <v>292</v>
      </c>
      <c r="M186" s="1">
        <v>4</v>
      </c>
      <c r="N186" s="1">
        <v>1</v>
      </c>
      <c r="O186" s="1" t="s">
        <v>296</v>
      </c>
      <c r="P186" s="1">
        <f>IFERROR(VLOOKUP(BC186, BA:BA:BB:BB, 2, 0),)</f>
        <v>37.142000000000003</v>
      </c>
      <c r="Q186" s="1">
        <f>IFERROR(VLOOKUP(BC186, BA:BA:BD:BD, 4, 0),1)</f>
        <v>1</v>
      </c>
      <c r="R186" s="1">
        <v>7</v>
      </c>
      <c r="S186" s="1">
        <v>9.25</v>
      </c>
      <c r="T186" s="1">
        <v>0</v>
      </c>
      <c r="V186" s="1" t="s">
        <v>11223</v>
      </c>
      <c r="W186" s="1">
        <v>100</v>
      </c>
      <c r="X186" s="1" t="s">
        <v>368</v>
      </c>
      <c r="Y186" s="1" t="s">
        <v>299</v>
      </c>
      <c r="Z186" s="1">
        <v>1</v>
      </c>
      <c r="AA186" s="1">
        <f>ROUND(H186*I186*Z186, 3)</f>
        <v>11.087</v>
      </c>
      <c r="AB186" s="1">
        <f>ROUND(VLOOKUP(X186,'Base de dados'!A:B, 2, 0)*AA186, 2)</f>
        <v>1.1100000000000001</v>
      </c>
      <c r="AC186" s="1">
        <f>ROUND((AA186*(Destino!AG186/100))*(W186/100),2)</f>
        <v>0.78</v>
      </c>
      <c r="AD186" s="1">
        <f>ROUND(AA186*(Destino!AH186/100),2)</f>
        <v>0</v>
      </c>
      <c r="AE186" s="1">
        <f>ROUND((((AA186+AB186)*1.48)*(Destino!AI186/100))-AC186,2)</f>
        <v>2.29</v>
      </c>
      <c r="AF186" s="1">
        <f>ROUND((AA186+AB186+AE186)*(J186/100),2)</f>
        <v>0.43</v>
      </c>
      <c r="AG186" s="1">
        <f>ROUND(AA186*T186,2)</f>
        <v>0</v>
      </c>
      <c r="AH186" s="1">
        <f>ROUND(AA186+AB186-AD186+AE186+AF186+AG186, 3)</f>
        <v>14.917</v>
      </c>
      <c r="AI186" s="1">
        <f>AH186*M186*K186</f>
        <v>59.667999999999999</v>
      </c>
      <c r="BA186" s="1" t="s">
        <v>11283</v>
      </c>
      <c r="BB186" s="1">
        <f>AI186</f>
        <v>59.667999999999999</v>
      </c>
      <c r="BC186" s="1" t="s">
        <v>11386</v>
      </c>
      <c r="BD186" s="1">
        <f>N186</f>
        <v>1</v>
      </c>
    </row>
    <row r="187" spans="1:56" x14ac:dyDescent="0.25">
      <c r="A187" s="1">
        <v>600001084</v>
      </c>
      <c r="B187" s="1">
        <v>1000</v>
      </c>
      <c r="C187" s="1">
        <v>2200001473</v>
      </c>
      <c r="D187" s="1" t="s">
        <v>303</v>
      </c>
      <c r="E187" s="1">
        <f>IF(AND(B187&lt;&gt;1110,B187&lt;&gt;1210,B187&lt;&gt;1510,B187&lt;&gt;1710),B187,IF(B187=1110,"1100",IF(B187=1210,"1200",IF(B187=1510,"1500",IF(B187=1710,"1700","X")))))</f>
        <v>1000</v>
      </c>
      <c r="F187" s="1" t="s">
        <v>11198</v>
      </c>
      <c r="G187" s="1" t="s">
        <v>302</v>
      </c>
      <c r="H187" s="1">
        <f>ROUND(P187/(1-((R187+S187))/100)*Q187, 3)</f>
        <v>350.91699999999997</v>
      </c>
      <c r="I187" s="1">
        <v>0.45</v>
      </c>
      <c r="J187" s="1">
        <v>1.5</v>
      </c>
      <c r="K187" s="1">
        <v>1</v>
      </c>
      <c r="L187" s="1" t="s">
        <v>292</v>
      </c>
      <c r="M187" s="1">
        <v>1</v>
      </c>
      <c r="N187" s="1">
        <v>1</v>
      </c>
      <c r="O187" s="1" t="s">
        <v>296</v>
      </c>
      <c r="P187" s="1">
        <v>276.34699999999998</v>
      </c>
      <c r="Q187" s="1">
        <v>1</v>
      </c>
      <c r="R187" s="1">
        <v>12</v>
      </c>
      <c r="S187" s="1">
        <v>9.25</v>
      </c>
      <c r="T187" s="1">
        <v>0</v>
      </c>
      <c r="V187" s="1" t="s">
        <v>11223</v>
      </c>
      <c r="W187" s="1">
        <v>100</v>
      </c>
      <c r="X187" s="1" t="s">
        <v>298</v>
      </c>
      <c r="Y187" s="1" t="s">
        <v>299</v>
      </c>
      <c r="Z187" s="1">
        <v>1</v>
      </c>
      <c r="AA187" s="1">
        <f>ROUND(H187*I187*Z187, 3)</f>
        <v>157.91300000000001</v>
      </c>
      <c r="AB187" s="1">
        <f>ROUND(VLOOKUP(X187,'Base de dados'!A:B, 2, 0)*AA187, 2)</f>
        <v>15.79</v>
      </c>
      <c r="AC187" s="1">
        <f>ROUND((AA187*(Destino!AG187/100))*(W187/100),2)</f>
        <v>18.95</v>
      </c>
      <c r="AD187" s="1">
        <f>ROUND(AA187*(Destino!AH187/100),2)</f>
        <v>14.61</v>
      </c>
      <c r="AF187" s="1">
        <f>ROUND((AA187+ AB187)*(J187/100),2)</f>
        <v>2.61</v>
      </c>
      <c r="AG187" s="1">
        <f>ROUND(AA187*T187,2)</f>
        <v>0</v>
      </c>
      <c r="AH187" s="1">
        <f>ROUND(AA187-(AC187+AD187)+AF187+AG187, 3)</f>
        <v>126.96299999999999</v>
      </c>
      <c r="AI187" s="1">
        <f>AH187*M187*K187</f>
        <v>126.96299999999999</v>
      </c>
      <c r="BA187" s="1" t="s">
        <v>11574</v>
      </c>
      <c r="BB187" s="1">
        <f>AI187</f>
        <v>126.96299999999999</v>
      </c>
      <c r="BD187" s="1">
        <f>N187</f>
        <v>1</v>
      </c>
    </row>
    <row r="188" spans="1:56" x14ac:dyDescent="0.25">
      <c r="A188" s="1">
        <v>600001084</v>
      </c>
      <c r="B188" s="1">
        <v>1100</v>
      </c>
      <c r="C188" s="1">
        <v>2200001473</v>
      </c>
      <c r="D188" s="1" t="s">
        <v>303</v>
      </c>
      <c r="E188" s="1">
        <f>IF(AND(B188&lt;&gt;1110,B188&lt;&gt;1210,B188&lt;&gt;1510,B188&lt;&gt;1710),B188,IF(B188=1110,"1100",IF(B188=1210,"1200",IF(B188=1510,"1500",IF(B188=1710,"1700","X")))))</f>
        <v>1100</v>
      </c>
      <c r="F188" s="1" t="s">
        <v>11198</v>
      </c>
      <c r="G188" s="1" t="s">
        <v>302</v>
      </c>
      <c r="H188" s="1">
        <f>ROUND(P188/(1-((R188+S188))/100)*Q188, 3)</f>
        <v>329.96800000000002</v>
      </c>
      <c r="I188" s="1">
        <v>0.45</v>
      </c>
      <c r="J188" s="1">
        <v>2</v>
      </c>
      <c r="K188" s="1">
        <v>1</v>
      </c>
      <c r="L188" s="1" t="s">
        <v>292</v>
      </c>
      <c r="M188" s="1">
        <v>1</v>
      </c>
      <c r="N188" s="1">
        <v>1</v>
      </c>
      <c r="O188" s="1" t="s">
        <v>296</v>
      </c>
      <c r="P188" s="1">
        <v>276.34800000000001</v>
      </c>
      <c r="Q188" s="1">
        <v>1</v>
      </c>
      <c r="R188" s="1">
        <v>7</v>
      </c>
      <c r="S188" s="1">
        <v>9.25</v>
      </c>
      <c r="T188" s="1">
        <v>0</v>
      </c>
      <c r="V188" s="1" t="s">
        <v>11223</v>
      </c>
      <c r="W188" s="1">
        <v>100</v>
      </c>
      <c r="X188" s="1" t="s">
        <v>298</v>
      </c>
      <c r="Y188" s="1" t="s">
        <v>299</v>
      </c>
      <c r="Z188" s="1">
        <v>1</v>
      </c>
      <c r="AA188" s="1">
        <f>ROUND(H188*I188*Z188, 3)</f>
        <v>148.48599999999999</v>
      </c>
      <c r="AB188" s="1">
        <f>ROUND(VLOOKUP(X188,'Base de dados'!A:B, 2, 0)*AA188, 2)</f>
        <v>14.85</v>
      </c>
      <c r="AC188" s="1">
        <f>ROUND((AA188*(Destino!AG188/100))*(W188/100),2)</f>
        <v>10.39</v>
      </c>
      <c r="AD188" s="1">
        <f>ROUND(AA188*(Destino!AH188/100),2)</f>
        <v>13.73</v>
      </c>
      <c r="AF188" s="1">
        <f>ROUND((AA188+ AB188)*(J188/100),2)</f>
        <v>3.27</v>
      </c>
      <c r="AG188" s="1">
        <f>ROUND(AA188*T188,2)</f>
        <v>0</v>
      </c>
      <c r="AH188" s="1">
        <f>ROUND(AA188-(AC188+AD188)+AF188+AG188, 3)</f>
        <v>127.636</v>
      </c>
      <c r="AI188" s="1">
        <f>AH188*M188*K188</f>
        <v>127.636</v>
      </c>
      <c r="BA188" s="1" t="s">
        <v>11575</v>
      </c>
      <c r="BB188" s="1">
        <f>AI188</f>
        <v>127.636</v>
      </c>
      <c r="BD188" s="1">
        <f>N188</f>
        <v>1</v>
      </c>
    </row>
    <row r="189" spans="1:56" x14ac:dyDescent="0.25">
      <c r="A189" s="1">
        <v>600001084</v>
      </c>
      <c r="B189" s="1">
        <v>1110</v>
      </c>
      <c r="C189" s="1">
        <v>2200001473</v>
      </c>
      <c r="D189" s="1" t="s">
        <v>303</v>
      </c>
      <c r="E189" s="1" t="str">
        <f>IF(AND(B189&lt;&gt;1110,B189&lt;&gt;1210,B189&lt;&gt;1510,B189&lt;&gt;1710),B189,IF(B189=1110,"1100",IF(B189=1210,"1200",IF(B189=1510,"1500",IF(B189=1710,"1700","X")))))</f>
        <v>1100</v>
      </c>
      <c r="F189" s="1" t="s">
        <v>447</v>
      </c>
      <c r="G189" s="1" t="s">
        <v>302</v>
      </c>
      <c r="H189" s="1">
        <f>ROUND(P189/(1-((R189+S189))/100)*Q189, 3)</f>
        <v>329.96800000000002</v>
      </c>
      <c r="I189" s="1">
        <v>0.45</v>
      </c>
      <c r="J189" s="1">
        <v>4</v>
      </c>
      <c r="K189" s="1">
        <v>1</v>
      </c>
      <c r="L189" s="1" t="s">
        <v>292</v>
      </c>
      <c r="M189" s="1">
        <v>1</v>
      </c>
      <c r="N189" s="1">
        <v>0.75262499999999999</v>
      </c>
      <c r="O189" s="1" t="s">
        <v>296</v>
      </c>
      <c r="P189" s="1">
        <v>276.34800000000001</v>
      </c>
      <c r="Q189" s="1">
        <v>1</v>
      </c>
      <c r="R189" s="1">
        <v>7</v>
      </c>
      <c r="S189" s="1">
        <v>9.25</v>
      </c>
      <c r="T189" s="1">
        <v>0</v>
      </c>
      <c r="V189" s="1" t="s">
        <v>11223</v>
      </c>
      <c r="W189" s="1">
        <v>100</v>
      </c>
      <c r="X189" s="1" t="s">
        <v>298</v>
      </c>
      <c r="Y189" s="1" t="s">
        <v>299</v>
      </c>
      <c r="Z189" s="1">
        <v>1</v>
      </c>
      <c r="AA189" s="1">
        <f>ROUND(H189*I189*Z189, 3)</f>
        <v>148.48599999999999</v>
      </c>
      <c r="AB189" s="1">
        <f>ROUND(VLOOKUP(X189,'Base de dados'!A:B, 2, 0)*AA189, 2)</f>
        <v>14.85</v>
      </c>
      <c r="AC189" s="1">
        <f>ROUND((AA189*(Destino!AG189/100))*(W189/100),2)</f>
        <v>10.39</v>
      </c>
      <c r="AD189" s="1">
        <f>ROUND(AA189*(Destino!AH189/100),2)</f>
        <v>13.73</v>
      </c>
      <c r="AE189" s="1">
        <f>ROUND((((AA189+AB189)*1.5039)*(Destino!AI189/100))-AC189,2)</f>
        <v>31.37</v>
      </c>
      <c r="AF189" s="1">
        <f>ROUND((AA189+AB189+AE189)*(J189/100),2)</f>
        <v>7.79</v>
      </c>
      <c r="AG189" s="1">
        <f>ROUND(AA189*T189,2)</f>
        <v>0</v>
      </c>
      <c r="AH189" s="1">
        <f>ROUND(AA189-AD189+AE189+AF189+AG189, 3)</f>
        <v>173.916</v>
      </c>
      <c r="AI189" s="1">
        <f>AH189*M189*K189</f>
        <v>173.916</v>
      </c>
      <c r="BA189" s="1" t="s">
        <v>11576</v>
      </c>
      <c r="BB189" s="1">
        <f>AI189</f>
        <v>173.916</v>
      </c>
      <c r="BD189" s="1">
        <f>N189</f>
        <v>0.75262499999999999</v>
      </c>
    </row>
    <row r="190" spans="1:56" x14ac:dyDescent="0.25">
      <c r="A190" s="1">
        <v>600001084</v>
      </c>
      <c r="B190" s="1">
        <v>1400</v>
      </c>
      <c r="C190" s="1">
        <v>2200001473</v>
      </c>
      <c r="D190" s="1" t="s">
        <v>303</v>
      </c>
      <c r="E190" s="1">
        <f>IF(AND(B190&lt;&gt;1110,B190&lt;&gt;1210,B190&lt;&gt;1510,B190&lt;&gt;1710),B190,IF(B190=1110,"1100",IF(B190=1210,"1200",IF(B190=1510,"1500",IF(B190=1710,"1700","X")))))</f>
        <v>1400</v>
      </c>
      <c r="F190" s="1" t="s">
        <v>11198</v>
      </c>
      <c r="G190" s="1" t="s">
        <v>302</v>
      </c>
      <c r="H190" s="1">
        <f>ROUND(P190/(1-((R190+S190))/100)*Q190, 3)</f>
        <v>379.86</v>
      </c>
      <c r="I190" s="1">
        <v>0.45</v>
      </c>
      <c r="J190" s="1">
        <v>1.5</v>
      </c>
      <c r="K190" s="1">
        <v>1</v>
      </c>
      <c r="L190" s="1" t="s">
        <v>292</v>
      </c>
      <c r="M190" s="1">
        <v>1</v>
      </c>
      <c r="N190" s="1">
        <v>1</v>
      </c>
      <c r="O190" s="1" t="s">
        <v>296</v>
      </c>
      <c r="P190" s="1">
        <v>276.34800000000001</v>
      </c>
      <c r="Q190" s="1">
        <v>1</v>
      </c>
      <c r="R190" s="1">
        <v>18</v>
      </c>
      <c r="S190" s="1">
        <v>9.25</v>
      </c>
      <c r="T190" s="1">
        <v>0</v>
      </c>
      <c r="V190" s="1" t="s">
        <v>11223</v>
      </c>
      <c r="W190" s="1">
        <v>100</v>
      </c>
      <c r="X190" s="1" t="s">
        <v>298</v>
      </c>
      <c r="Y190" s="1" t="s">
        <v>299</v>
      </c>
      <c r="Z190" s="1">
        <v>1</v>
      </c>
      <c r="AA190" s="1">
        <f>ROUND(H190*I190*Z190, 3)</f>
        <v>170.93700000000001</v>
      </c>
      <c r="AB190" s="1">
        <f>ROUND(VLOOKUP(X190,'Base de dados'!A:B, 2, 0)*AA190, 2)</f>
        <v>17.09</v>
      </c>
      <c r="AC190" s="1">
        <f>ROUND((AA190*(Destino!AG190/100))*(W190/100),2)</f>
        <v>30.77</v>
      </c>
      <c r="AD190" s="1">
        <f>ROUND(AA190*(Destino!AH190/100),2)</f>
        <v>15.81</v>
      </c>
      <c r="AF190" s="1">
        <f>ROUND((AA190+ AB190)*(J190/100),2)</f>
        <v>2.82</v>
      </c>
      <c r="AG190" s="1">
        <f>ROUND(AA190*T190,2)</f>
        <v>0</v>
      </c>
      <c r="AH190" s="1">
        <f>ROUND(AA190-(AC190+AD190)+AF190+AG190, 3)</f>
        <v>127.17700000000001</v>
      </c>
      <c r="AI190" s="1">
        <f>AH190*M190*K190</f>
        <v>127.17700000000001</v>
      </c>
      <c r="BA190" s="1" t="s">
        <v>11387</v>
      </c>
      <c r="BB190" s="1">
        <f>AI190</f>
        <v>127.17700000000001</v>
      </c>
      <c r="BD190" s="1">
        <f>N190</f>
        <v>1</v>
      </c>
    </row>
    <row r="191" spans="1:56" x14ac:dyDescent="0.25">
      <c r="A191" s="1">
        <v>600001084</v>
      </c>
      <c r="B191" s="1">
        <v>1700</v>
      </c>
      <c r="C191" s="1">
        <v>2200001421</v>
      </c>
      <c r="D191" s="1" t="s">
        <v>303</v>
      </c>
      <c r="E191" s="1">
        <f>IF(AND(B191&lt;&gt;1110,B191&lt;&gt;1210,B191&lt;&gt;1510,B191&lt;&gt;1710),B191,IF(B191=1110,"1100",IF(B191=1210,"1200",IF(B191=1510,"1500",IF(B191=1710,"1700","X")))))</f>
        <v>1700</v>
      </c>
      <c r="F191" s="1" t="s">
        <v>11238</v>
      </c>
      <c r="G191" s="1" t="s">
        <v>302</v>
      </c>
      <c r="H191" s="1">
        <f>ROUND(P191/(1-((R191+S191))/100)*Q191, 3)</f>
        <v>151.85300000000001</v>
      </c>
      <c r="I191" s="1">
        <v>0.25</v>
      </c>
      <c r="J191" s="1">
        <v>3</v>
      </c>
      <c r="K191" s="1">
        <v>1</v>
      </c>
      <c r="L191" s="1" t="s">
        <v>292</v>
      </c>
      <c r="M191" s="1">
        <v>4</v>
      </c>
      <c r="N191" s="1">
        <v>1</v>
      </c>
      <c r="O191" s="1" t="s">
        <v>296</v>
      </c>
      <c r="P191" s="1">
        <f>IFERROR(VLOOKUP(BC191, BA:BA:BB:BB, 2, 0),)</f>
        <v>127.17700000000001</v>
      </c>
      <c r="Q191" s="1">
        <f>IFERROR(VLOOKUP(BC191, BA:BA:BD:BD, 4, 0),1)</f>
        <v>1</v>
      </c>
      <c r="R191" s="1">
        <v>7</v>
      </c>
      <c r="S191" s="1">
        <v>9.25</v>
      </c>
      <c r="T191" s="1">
        <v>0</v>
      </c>
      <c r="V191" s="1" t="s">
        <v>11223</v>
      </c>
      <c r="W191" s="1">
        <v>100</v>
      </c>
      <c r="X191" s="1" t="s">
        <v>298</v>
      </c>
      <c r="Y191" s="1" t="s">
        <v>299</v>
      </c>
      <c r="Z191" s="1">
        <v>1</v>
      </c>
      <c r="AA191" s="1">
        <f>ROUND(H191*I191*Z191, 3)</f>
        <v>37.963000000000001</v>
      </c>
      <c r="AB191" s="1">
        <f>ROUND(VLOOKUP(X191,'Base de dados'!A:B, 2, 0)*AA191, 2)</f>
        <v>3.8</v>
      </c>
      <c r="AC191" s="1">
        <f>ROUND((AA191*(Destino!AG191/100))*(W191/100),2)</f>
        <v>2.66</v>
      </c>
      <c r="AD191" s="1">
        <f>ROUND(AA191*(Destino!AH191/100),2)</f>
        <v>0</v>
      </c>
      <c r="AE191" s="1">
        <f>ROUND((((AA191+AB191)*1.48)*(Destino!AI191/100))-AC191,2)</f>
        <v>7.85</v>
      </c>
      <c r="AF191" s="1">
        <f>ROUND((AA191+AB191+AE191)*(J191/100),2)</f>
        <v>1.49</v>
      </c>
      <c r="AG191" s="1">
        <f>ROUND(AA191*T191,2)</f>
        <v>0</v>
      </c>
      <c r="AH191" s="1">
        <f>ROUND(AA191+AB191-AD191+AE191+AF191+AG191, 3)</f>
        <v>51.103000000000002</v>
      </c>
      <c r="AI191" s="1">
        <f>AH191*M191*K191</f>
        <v>204.41200000000001</v>
      </c>
      <c r="BA191" s="1" t="s">
        <v>11284</v>
      </c>
      <c r="BB191" s="1">
        <f>AI191</f>
        <v>204.41200000000001</v>
      </c>
      <c r="BC191" s="1" t="s">
        <v>11387</v>
      </c>
      <c r="BD191" s="1">
        <f>N191</f>
        <v>1</v>
      </c>
    </row>
    <row r="192" spans="1:56" x14ac:dyDescent="0.25">
      <c r="A192" s="1">
        <v>600001089</v>
      </c>
      <c r="B192" s="1">
        <v>1000</v>
      </c>
      <c r="C192" s="1">
        <v>2200001473</v>
      </c>
      <c r="D192" s="1" t="s">
        <v>303</v>
      </c>
      <c r="E192" s="1">
        <f>IF(AND(B192&lt;&gt;1110,B192&lt;&gt;1210,B192&lt;&gt;1510,B192&lt;&gt;1710),B192,IF(B192=1110,"1100",IF(B192=1210,"1200",IF(B192=1510,"1500",IF(B192=1710,"1700","X")))))</f>
        <v>1000</v>
      </c>
      <c r="F192" s="1" t="s">
        <v>11205</v>
      </c>
      <c r="G192" s="1" t="s">
        <v>302</v>
      </c>
      <c r="H192" s="1">
        <v>2.99</v>
      </c>
      <c r="I192" s="1">
        <v>1</v>
      </c>
      <c r="J192" s="1">
        <v>1.5</v>
      </c>
      <c r="K192" s="1">
        <v>1</v>
      </c>
      <c r="L192" s="1" t="s">
        <v>292</v>
      </c>
      <c r="M192" s="1">
        <v>1</v>
      </c>
      <c r="N192" s="1">
        <v>1</v>
      </c>
      <c r="O192" s="1" t="s">
        <v>296</v>
      </c>
      <c r="P192" s="1">
        <v>0</v>
      </c>
      <c r="Q192" s="1">
        <v>1</v>
      </c>
      <c r="R192" s="1">
        <v>0</v>
      </c>
      <c r="S192" s="1">
        <v>0</v>
      </c>
      <c r="T192" s="1">
        <v>0</v>
      </c>
      <c r="V192" s="1" t="s">
        <v>11223</v>
      </c>
      <c r="W192" s="1">
        <v>100</v>
      </c>
      <c r="X192" s="1" t="s">
        <v>298</v>
      </c>
      <c r="Y192" s="1" t="s">
        <v>322</v>
      </c>
      <c r="Z192" s="1">
        <v>1</v>
      </c>
      <c r="AA192" s="1">
        <f>ROUND(H192*I192*Z192, 3)</f>
        <v>2.99</v>
      </c>
      <c r="AB192" s="1">
        <f>ROUND(VLOOKUP(X192,'Base de dados'!A:B, 2, 0)*AA192, 2)</f>
        <v>0.3</v>
      </c>
      <c r="AC192" s="1">
        <f>ROUND((AA192*(Destino!AG192/100))*(W192/100),2)</f>
        <v>0</v>
      </c>
      <c r="AD192" s="1">
        <f>ROUND(AA192*(Destino!AH192/100),2)</f>
        <v>0</v>
      </c>
      <c r="AF192" s="1">
        <f>ROUND((AA192+ AB192)*(J192/100),2)</f>
        <v>0.05</v>
      </c>
      <c r="AG192" s="1">
        <f>ROUND(AA192*T192,2)</f>
        <v>0</v>
      </c>
      <c r="AH192" s="1">
        <f>ROUND(AA192+AF192+AG192, 3)</f>
        <v>3.04</v>
      </c>
      <c r="AI192" s="1">
        <f>AH192*M192*K192</f>
        <v>3.04</v>
      </c>
      <c r="BA192" s="1" t="s">
        <v>11577</v>
      </c>
      <c r="BB192" s="1">
        <f>AI192</f>
        <v>3.04</v>
      </c>
      <c r="BD192" s="1">
        <f>N192</f>
        <v>1</v>
      </c>
    </row>
    <row r="193" spans="1:56" x14ac:dyDescent="0.25">
      <c r="A193" s="1">
        <v>600001090</v>
      </c>
      <c r="B193" s="1">
        <v>1000</v>
      </c>
      <c r="C193" s="1">
        <v>2200001473</v>
      </c>
      <c r="D193" s="1" t="s">
        <v>303</v>
      </c>
      <c r="E193" s="1">
        <f>IF(AND(B193&lt;&gt;1110,B193&lt;&gt;1210,B193&lt;&gt;1510,B193&lt;&gt;1710),B193,IF(B193=1110,"1100",IF(B193=1210,"1200",IF(B193=1510,"1500",IF(B193=1710,"1700","X")))))</f>
        <v>1000</v>
      </c>
      <c r="F193" s="1" t="s">
        <v>11205</v>
      </c>
      <c r="G193" s="1" t="s">
        <v>302</v>
      </c>
      <c r="H193" s="1">
        <v>5.13</v>
      </c>
      <c r="I193" s="1">
        <v>1</v>
      </c>
      <c r="J193" s="1">
        <v>1.5</v>
      </c>
      <c r="K193" s="1">
        <v>1</v>
      </c>
      <c r="L193" s="1" t="s">
        <v>292</v>
      </c>
      <c r="M193" s="1">
        <v>1</v>
      </c>
      <c r="N193" s="1">
        <v>1</v>
      </c>
      <c r="O193" s="1" t="s">
        <v>296</v>
      </c>
      <c r="P193" s="1">
        <v>0</v>
      </c>
      <c r="Q193" s="1">
        <v>1</v>
      </c>
      <c r="R193" s="1">
        <v>0</v>
      </c>
      <c r="S193" s="1">
        <v>0</v>
      </c>
      <c r="T193" s="1">
        <v>0</v>
      </c>
      <c r="V193" s="1" t="s">
        <v>11223</v>
      </c>
      <c r="W193" s="1">
        <v>100</v>
      </c>
      <c r="X193" s="1" t="s">
        <v>298</v>
      </c>
      <c r="Y193" s="1" t="s">
        <v>322</v>
      </c>
      <c r="Z193" s="1">
        <v>1</v>
      </c>
      <c r="AA193" s="1">
        <f>ROUND(H193*I193*Z193, 3)</f>
        <v>5.13</v>
      </c>
      <c r="AB193" s="1">
        <f>ROUND(VLOOKUP(X193,'Base de dados'!A:B, 2, 0)*AA193, 2)</f>
        <v>0.51</v>
      </c>
      <c r="AC193" s="1">
        <f>ROUND((AA193*(Destino!AG193/100))*(W193/100),2)</f>
        <v>0</v>
      </c>
      <c r="AD193" s="1">
        <f>ROUND(AA193*(Destino!AH193/100),2)</f>
        <v>0</v>
      </c>
      <c r="AF193" s="1">
        <f>ROUND((AA193+ AB193)*(J193/100),2)</f>
        <v>0.08</v>
      </c>
      <c r="AG193" s="1">
        <f>ROUND(AA193*T193,2)</f>
        <v>0</v>
      </c>
      <c r="AH193" s="1">
        <f>ROUND(AA193+AF193+AG193, 3)</f>
        <v>5.21</v>
      </c>
      <c r="AI193" s="1">
        <f>AH193*M193*K193</f>
        <v>5.21</v>
      </c>
      <c r="BA193" s="1" t="s">
        <v>11578</v>
      </c>
      <c r="BB193" s="1">
        <f>AI193</f>
        <v>5.21</v>
      </c>
      <c r="BD193" s="1">
        <f>N193</f>
        <v>1</v>
      </c>
    </row>
    <row r="194" spans="1:56" x14ac:dyDescent="0.25">
      <c r="A194" s="1">
        <v>600001092</v>
      </c>
      <c r="B194" s="1">
        <v>1000</v>
      </c>
      <c r="C194" s="1">
        <v>2200001473</v>
      </c>
      <c r="D194" s="1" t="s">
        <v>303</v>
      </c>
      <c r="E194" s="1">
        <f>IF(AND(B194&lt;&gt;1110,B194&lt;&gt;1210,B194&lt;&gt;1510,B194&lt;&gt;1710),B194,IF(B194=1110,"1100",IF(B194=1210,"1200",IF(B194=1510,"1500",IF(B194=1710,"1700","X")))))</f>
        <v>1000</v>
      </c>
      <c r="F194" s="1" t="s">
        <v>11198</v>
      </c>
      <c r="G194" s="1" t="s">
        <v>302</v>
      </c>
      <c r="H194" s="1">
        <f>ROUND(P194/(1-((R194+S194))/100)*Q194, 3)</f>
        <v>41.137999999999998</v>
      </c>
      <c r="I194" s="1">
        <v>0.45</v>
      </c>
      <c r="J194" s="1">
        <v>1.5</v>
      </c>
      <c r="K194" s="1">
        <v>1</v>
      </c>
      <c r="L194" s="1" t="s">
        <v>292</v>
      </c>
      <c r="M194" s="1">
        <v>1</v>
      </c>
      <c r="N194" s="1">
        <v>1</v>
      </c>
      <c r="O194" s="1" t="s">
        <v>296</v>
      </c>
      <c r="P194" s="1">
        <v>32.396000000000001</v>
      </c>
      <c r="Q194" s="1">
        <v>1</v>
      </c>
      <c r="R194" s="1">
        <v>12</v>
      </c>
      <c r="S194" s="1">
        <v>9.25</v>
      </c>
      <c r="T194" s="1">
        <v>0</v>
      </c>
      <c r="V194" s="1" t="s">
        <v>11223</v>
      </c>
      <c r="W194" s="1">
        <v>100</v>
      </c>
      <c r="X194" s="1" t="s">
        <v>368</v>
      </c>
      <c r="Y194" s="1" t="s">
        <v>322</v>
      </c>
      <c r="Z194" s="1">
        <v>1</v>
      </c>
      <c r="AA194" s="1">
        <f>ROUND(H194*I194*Z194, 3)</f>
        <v>18.512</v>
      </c>
      <c r="AB194" s="1">
        <f>ROUND(VLOOKUP(X194,'Base de dados'!A:B, 2, 0)*AA194, 2)</f>
        <v>1.85</v>
      </c>
      <c r="AC194" s="1">
        <f>ROUND((AA194*(Destino!AG194/100))*(W194/100),2)</f>
        <v>2.2200000000000002</v>
      </c>
      <c r="AD194" s="1">
        <f>ROUND(AA194*(Destino!AH194/100),2)</f>
        <v>1.71</v>
      </c>
      <c r="AF194" s="1">
        <f>ROUND((AA194+ AB194)*(J194/100),2)</f>
        <v>0.31</v>
      </c>
      <c r="AG194" s="1">
        <f>ROUND(AA194*T194,2)</f>
        <v>0</v>
      </c>
      <c r="AH194" s="1">
        <f>ROUND(AA194-(AC194+AD194)+AF194+AG194, 3)</f>
        <v>14.891999999999999</v>
      </c>
      <c r="AI194" s="1">
        <f>AH194*M194*K194</f>
        <v>14.891999999999999</v>
      </c>
      <c r="BA194" s="1" t="s">
        <v>11579</v>
      </c>
      <c r="BB194" s="1">
        <f>AI194</f>
        <v>14.891999999999999</v>
      </c>
      <c r="BD194" s="1">
        <f>N194</f>
        <v>1</v>
      </c>
    </row>
    <row r="195" spans="1:56" x14ac:dyDescent="0.25">
      <c r="A195" s="1">
        <v>600001092</v>
      </c>
      <c r="B195" s="1">
        <v>1100</v>
      </c>
      <c r="C195" s="1">
        <v>2200001473</v>
      </c>
      <c r="D195" s="1" t="s">
        <v>303</v>
      </c>
      <c r="E195" s="1">
        <f>IF(AND(B195&lt;&gt;1110,B195&lt;&gt;1210,B195&lt;&gt;1510,B195&lt;&gt;1710),B195,IF(B195=1110,"1100",IF(B195=1210,"1200",IF(B195=1510,"1500",IF(B195=1710,"1700","X")))))</f>
        <v>1100</v>
      </c>
      <c r="F195" s="1" t="s">
        <v>11198</v>
      </c>
      <c r="G195" s="1" t="s">
        <v>302</v>
      </c>
      <c r="H195" s="1">
        <f>ROUND(P195/(1-((R195+S195))/100)*Q195, 3)</f>
        <v>38.682000000000002</v>
      </c>
      <c r="I195" s="1">
        <v>0.45</v>
      </c>
      <c r="J195" s="1">
        <v>2</v>
      </c>
      <c r="K195" s="1">
        <v>1</v>
      </c>
      <c r="L195" s="1" t="s">
        <v>292</v>
      </c>
      <c r="M195" s="1">
        <v>1</v>
      </c>
      <c r="N195" s="1">
        <v>1</v>
      </c>
      <c r="O195" s="1" t="s">
        <v>296</v>
      </c>
      <c r="P195" s="1">
        <v>32.396000000000001</v>
      </c>
      <c r="Q195" s="1">
        <v>1</v>
      </c>
      <c r="R195" s="1">
        <v>7</v>
      </c>
      <c r="S195" s="1">
        <v>9.25</v>
      </c>
      <c r="T195" s="1">
        <v>0</v>
      </c>
      <c r="V195" s="1" t="s">
        <v>11223</v>
      </c>
      <c r="W195" s="1">
        <v>100</v>
      </c>
      <c r="X195" s="1" t="s">
        <v>368</v>
      </c>
      <c r="Y195" s="1" t="s">
        <v>322</v>
      </c>
      <c r="Z195" s="1">
        <v>1</v>
      </c>
      <c r="AA195" s="1">
        <f>ROUND(H195*I195*Z195, 3)</f>
        <v>17.407</v>
      </c>
      <c r="AB195" s="1">
        <f>ROUND(VLOOKUP(X195,'Base de dados'!A:B, 2, 0)*AA195, 2)</f>
        <v>1.74</v>
      </c>
      <c r="AC195" s="1">
        <f>ROUND((AA195*(Destino!AG195/100))*(W195/100),2)</f>
        <v>1.22</v>
      </c>
      <c r="AD195" s="1">
        <f>ROUND(AA195*(Destino!AH195/100),2)</f>
        <v>1.61</v>
      </c>
      <c r="AF195" s="1">
        <f>ROUND((AA195+ AB195)*(J195/100),2)</f>
        <v>0.38</v>
      </c>
      <c r="AG195" s="1">
        <f>ROUND(AA195*T195,2)</f>
        <v>0</v>
      </c>
      <c r="AH195" s="1">
        <f>ROUND(AA195-(AC195+AD195)+AF195+AG195, 3)</f>
        <v>14.957000000000001</v>
      </c>
      <c r="AI195" s="1">
        <f>AH195*M195*K195</f>
        <v>14.957000000000001</v>
      </c>
      <c r="BA195" s="1" t="s">
        <v>11580</v>
      </c>
      <c r="BB195" s="1">
        <f>AI195</f>
        <v>14.957000000000001</v>
      </c>
      <c r="BD195" s="1">
        <f>N195</f>
        <v>1</v>
      </c>
    </row>
    <row r="196" spans="1:56" x14ac:dyDescent="0.25">
      <c r="A196" s="1">
        <v>600001092</v>
      </c>
      <c r="B196" s="1">
        <v>1110</v>
      </c>
      <c r="C196" s="1">
        <v>2200001473</v>
      </c>
      <c r="D196" s="1" t="s">
        <v>303</v>
      </c>
      <c r="E196" s="1" t="str">
        <f>IF(AND(B196&lt;&gt;1110,B196&lt;&gt;1210,B196&lt;&gt;1510,B196&lt;&gt;1710),B196,IF(B196=1110,"1100",IF(B196=1210,"1200",IF(B196=1510,"1500",IF(B196=1710,"1700","X")))))</f>
        <v>1100</v>
      </c>
      <c r="F196" s="1" t="s">
        <v>447</v>
      </c>
      <c r="G196" s="1" t="s">
        <v>302</v>
      </c>
      <c r="H196" s="1">
        <f>ROUND(P196/(1-((R196+S196))/100)*Q196, 3)</f>
        <v>38.682000000000002</v>
      </c>
      <c r="I196" s="1">
        <v>0.45</v>
      </c>
      <c r="J196" s="1">
        <v>4</v>
      </c>
      <c r="K196" s="1">
        <v>1</v>
      </c>
      <c r="L196" s="1" t="s">
        <v>292</v>
      </c>
      <c r="M196" s="1">
        <v>1</v>
      </c>
      <c r="N196" s="1">
        <v>0.75278400000000001</v>
      </c>
      <c r="O196" s="1" t="s">
        <v>296</v>
      </c>
      <c r="P196" s="1">
        <v>32.396000000000001</v>
      </c>
      <c r="Q196" s="1">
        <v>1</v>
      </c>
      <c r="R196" s="1">
        <v>7</v>
      </c>
      <c r="S196" s="1">
        <v>9.25</v>
      </c>
      <c r="T196" s="1">
        <v>0</v>
      </c>
      <c r="V196" s="1" t="s">
        <v>11223</v>
      </c>
      <c r="W196" s="1">
        <v>100</v>
      </c>
      <c r="X196" s="1" t="s">
        <v>368</v>
      </c>
      <c r="Y196" s="1" t="s">
        <v>322</v>
      </c>
      <c r="Z196" s="1">
        <v>1</v>
      </c>
      <c r="AA196" s="1">
        <f>ROUND(H196*I196*Z196, 3)</f>
        <v>17.407</v>
      </c>
      <c r="AB196" s="1">
        <f>ROUND(VLOOKUP(X196,'Base de dados'!A:B, 2, 0)*AA196, 2)</f>
        <v>1.74</v>
      </c>
      <c r="AC196" s="1">
        <f>ROUND((AA196*(Destino!AG196/100))*(W196/100),2)</f>
        <v>1.22</v>
      </c>
      <c r="AD196" s="1">
        <f>ROUND(AA196*(Destino!AH196/100),2)</f>
        <v>1.61</v>
      </c>
      <c r="AE196" s="1">
        <f>ROUND((((AA196+AB196)*1.5039)*(Destino!AI196/100))-AC196,2)</f>
        <v>3.68</v>
      </c>
      <c r="AF196" s="1">
        <f>ROUND((AA196+AB196+AE196)*(J196/100),2)</f>
        <v>0.91</v>
      </c>
      <c r="AG196" s="1">
        <f>ROUND(AA196*T196,2)</f>
        <v>0</v>
      </c>
      <c r="AH196" s="1">
        <f>ROUND(AA196-AD196+AE196+AF196+AG196, 3)</f>
        <v>20.387</v>
      </c>
      <c r="AI196" s="1">
        <f>AH196*M196*K196</f>
        <v>20.387</v>
      </c>
      <c r="BA196" s="1" t="s">
        <v>11581</v>
      </c>
      <c r="BB196" s="1">
        <f>AI196</f>
        <v>20.387</v>
      </c>
      <c r="BD196" s="1">
        <f>N196</f>
        <v>0.75278400000000001</v>
      </c>
    </row>
    <row r="197" spans="1:56" x14ac:dyDescent="0.25">
      <c r="A197" s="1">
        <v>600001092</v>
      </c>
      <c r="B197" s="1">
        <v>1400</v>
      </c>
      <c r="C197" s="1">
        <v>2200001473</v>
      </c>
      <c r="D197" s="1" t="s">
        <v>303</v>
      </c>
      <c r="E197" s="1">
        <f>IF(AND(B197&lt;&gt;1110,B197&lt;&gt;1210,B197&lt;&gt;1510,B197&lt;&gt;1710),B197,IF(B197=1110,"1100",IF(B197=1210,"1200",IF(B197=1510,"1500",IF(B197=1710,"1700","X")))))</f>
        <v>1400</v>
      </c>
      <c r="F197" s="1" t="s">
        <v>11198</v>
      </c>
      <c r="G197" s="1" t="s">
        <v>302</v>
      </c>
      <c r="H197" s="1">
        <f>ROUND(P197/(1-((R197+S197))/100)*Q197, 3)</f>
        <v>44.530999999999999</v>
      </c>
      <c r="I197" s="1">
        <v>0.45</v>
      </c>
      <c r="J197" s="1">
        <v>1.5</v>
      </c>
      <c r="K197" s="1">
        <v>1</v>
      </c>
      <c r="L197" s="1" t="s">
        <v>292</v>
      </c>
      <c r="M197" s="1">
        <v>1</v>
      </c>
      <c r="N197" s="1">
        <v>1</v>
      </c>
      <c r="O197" s="1" t="s">
        <v>296</v>
      </c>
      <c r="P197" s="1">
        <v>32.396000000000001</v>
      </c>
      <c r="Q197" s="1">
        <v>1</v>
      </c>
      <c r="R197" s="1">
        <v>18</v>
      </c>
      <c r="S197" s="1">
        <v>9.25</v>
      </c>
      <c r="T197" s="1">
        <v>0</v>
      </c>
      <c r="V197" s="1" t="s">
        <v>11223</v>
      </c>
      <c r="W197" s="1">
        <v>100</v>
      </c>
      <c r="X197" s="1" t="s">
        <v>368</v>
      </c>
      <c r="Y197" s="1" t="s">
        <v>322</v>
      </c>
      <c r="Z197" s="1">
        <v>1</v>
      </c>
      <c r="AA197" s="1">
        <f>ROUND(H197*I197*Z197, 3)</f>
        <v>20.039000000000001</v>
      </c>
      <c r="AB197" s="1">
        <f>ROUND(VLOOKUP(X197,'Base de dados'!A:B, 2, 0)*AA197, 2)</f>
        <v>2</v>
      </c>
      <c r="AC197" s="1">
        <f>ROUND((AA197*(Destino!AG197/100))*(W197/100),2)</f>
        <v>3.61</v>
      </c>
      <c r="AD197" s="1">
        <f>ROUND(AA197*(Destino!AH197/100),2)</f>
        <v>1.85</v>
      </c>
      <c r="AF197" s="1">
        <f>ROUND((AA197+ AB197)*(J197/100),2)</f>
        <v>0.33</v>
      </c>
      <c r="AG197" s="1">
        <f>ROUND(AA197*T197,2)</f>
        <v>0</v>
      </c>
      <c r="AH197" s="1">
        <f>ROUND(AA197-(AC197+AD197)+AF197+AG197, 3)</f>
        <v>14.909000000000001</v>
      </c>
      <c r="AI197" s="1">
        <f>AH197*M197*K197</f>
        <v>14.909000000000001</v>
      </c>
      <c r="BA197" s="1" t="s">
        <v>11388</v>
      </c>
      <c r="BB197" s="1">
        <f>AI197</f>
        <v>14.909000000000001</v>
      </c>
      <c r="BD197" s="1">
        <f>N197</f>
        <v>1</v>
      </c>
    </row>
    <row r="198" spans="1:56" x14ac:dyDescent="0.25">
      <c r="A198" s="1">
        <v>600001092</v>
      </c>
      <c r="B198" s="1">
        <v>1700</v>
      </c>
      <c r="C198" s="1">
        <v>2200001421</v>
      </c>
      <c r="D198" s="1" t="s">
        <v>303</v>
      </c>
      <c r="E198" s="1">
        <f>IF(AND(B198&lt;&gt;1110,B198&lt;&gt;1210,B198&lt;&gt;1510,B198&lt;&gt;1710),B198,IF(B198=1110,"1100",IF(B198=1210,"1200",IF(B198=1510,"1500",IF(B198=1710,"1700","X")))))</f>
        <v>1700</v>
      </c>
      <c r="F198" s="1" t="s">
        <v>11238</v>
      </c>
      <c r="G198" s="1" t="s">
        <v>302</v>
      </c>
      <c r="H198" s="1">
        <f>ROUND(P198/(1-((R198+S198))/100)*Q198, 3)</f>
        <v>17.802</v>
      </c>
      <c r="I198" s="1">
        <v>0.25</v>
      </c>
      <c r="J198" s="1">
        <v>3</v>
      </c>
      <c r="K198" s="1">
        <v>1</v>
      </c>
      <c r="L198" s="1" t="s">
        <v>292</v>
      </c>
      <c r="M198" s="1">
        <v>4</v>
      </c>
      <c r="N198" s="1">
        <v>1</v>
      </c>
      <c r="O198" s="1" t="s">
        <v>296</v>
      </c>
      <c r="P198" s="1">
        <f>IFERROR(VLOOKUP(BC198, BA:BA:BB:BB, 2, 0),)</f>
        <v>14.909000000000001</v>
      </c>
      <c r="Q198" s="1">
        <f>IFERROR(VLOOKUP(BC198, BA:BA:BD:BD, 4, 0),1)</f>
        <v>1</v>
      </c>
      <c r="R198" s="1">
        <v>7</v>
      </c>
      <c r="S198" s="1">
        <v>9.25</v>
      </c>
      <c r="T198" s="1">
        <v>0</v>
      </c>
      <c r="V198" s="1" t="s">
        <v>11223</v>
      </c>
      <c r="W198" s="1">
        <v>100</v>
      </c>
      <c r="X198" s="1" t="s">
        <v>368</v>
      </c>
      <c r="Y198" s="1" t="s">
        <v>322</v>
      </c>
      <c r="Z198" s="1">
        <v>1</v>
      </c>
      <c r="AA198" s="1">
        <f>ROUND(H198*I198*Z198, 3)</f>
        <v>4.4509999999999996</v>
      </c>
      <c r="AB198" s="1">
        <f>ROUND(VLOOKUP(X198,'Base de dados'!A:B, 2, 0)*AA198, 2)</f>
        <v>0.45</v>
      </c>
      <c r="AC198" s="1">
        <f>ROUND((AA198*(Destino!AG198/100))*(W198/100),2)</f>
        <v>0.31</v>
      </c>
      <c r="AD198" s="1">
        <f>ROUND(AA198*(Destino!AH198/100),2)</f>
        <v>0</v>
      </c>
      <c r="AE198" s="1">
        <f>ROUND((((AA198+AB198)*1.48)*(Destino!AI198/100))-AC198,2)</f>
        <v>0.92</v>
      </c>
      <c r="AF198" s="1">
        <f>ROUND((AA198+AB198+AE198)*(J198/100),2)</f>
        <v>0.17</v>
      </c>
      <c r="AG198" s="1">
        <f>ROUND(AA198*T198,2)</f>
        <v>0</v>
      </c>
      <c r="AH198" s="1">
        <f>ROUND(AA198+AB198-AD198+AE198+AF198+AG198, 3)</f>
        <v>5.9909999999999997</v>
      </c>
      <c r="AI198" s="1">
        <f>AH198*M198*K198</f>
        <v>23.963999999999999</v>
      </c>
      <c r="BA198" s="1" t="s">
        <v>11285</v>
      </c>
      <c r="BB198" s="1">
        <f>AI198</f>
        <v>23.963999999999999</v>
      </c>
      <c r="BC198" s="1" t="s">
        <v>11388</v>
      </c>
      <c r="BD198" s="1">
        <f>N198</f>
        <v>1</v>
      </c>
    </row>
    <row r="199" spans="1:56" x14ac:dyDescent="0.25">
      <c r="A199" s="1">
        <v>600001121</v>
      </c>
      <c r="B199" s="1">
        <v>1000</v>
      </c>
      <c r="C199" s="1">
        <v>2200001473</v>
      </c>
      <c r="D199" s="1" t="s">
        <v>303</v>
      </c>
      <c r="E199" s="1">
        <f>IF(AND(B199&lt;&gt;1110,B199&lt;&gt;1210,B199&lt;&gt;1510,B199&lt;&gt;1710),B199,IF(B199=1110,"1100",IF(B199=1210,"1200",IF(B199=1510,"1500",IF(B199=1710,"1700","X")))))</f>
        <v>1000</v>
      </c>
      <c r="F199" s="1" t="s">
        <v>11198</v>
      </c>
      <c r="G199" s="1" t="s">
        <v>302</v>
      </c>
      <c r="H199" s="1">
        <f>ROUND(P199/(1-((R199+S199))/100)*Q199, 3)</f>
        <v>27.15</v>
      </c>
      <c r="I199" s="1">
        <v>0.45</v>
      </c>
      <c r="J199" s="1">
        <v>1.5</v>
      </c>
      <c r="K199" s="1">
        <v>1</v>
      </c>
      <c r="L199" s="1" t="s">
        <v>292</v>
      </c>
      <c r="M199" s="1">
        <v>1</v>
      </c>
      <c r="N199" s="1">
        <v>1</v>
      </c>
      <c r="O199" s="1" t="s">
        <v>296</v>
      </c>
      <c r="P199" s="1">
        <v>21.381</v>
      </c>
      <c r="Q199" s="1">
        <v>1</v>
      </c>
      <c r="R199" s="1">
        <v>12</v>
      </c>
      <c r="S199" s="1">
        <v>9.25</v>
      </c>
      <c r="T199" s="1">
        <v>0</v>
      </c>
      <c r="V199" s="1" t="s">
        <v>11223</v>
      </c>
      <c r="W199" s="1">
        <v>100</v>
      </c>
      <c r="X199" s="1" t="s">
        <v>319</v>
      </c>
      <c r="Y199" s="1" t="s">
        <v>299</v>
      </c>
      <c r="Z199" s="1">
        <v>1</v>
      </c>
      <c r="AA199" s="1">
        <f>ROUND(H199*I199*Z199, 3)</f>
        <v>12.218</v>
      </c>
      <c r="AB199" s="1">
        <f>ROUND(VLOOKUP(X199,'Base de dados'!A:B, 2, 0)*AA199, 2)</f>
        <v>1.22</v>
      </c>
      <c r="AC199" s="1">
        <f>ROUND((AA199*(Destino!AG199/100))*(W199/100),2)</f>
        <v>1.47</v>
      </c>
      <c r="AD199" s="1">
        <f>ROUND(AA199*(Destino!AH199/100),2)</f>
        <v>1.1299999999999999</v>
      </c>
      <c r="AF199" s="1">
        <f>ROUND((AA199+ AB199)*(J199/100),2)</f>
        <v>0.2</v>
      </c>
      <c r="AG199" s="1">
        <f>ROUND(AA199*T199,2)</f>
        <v>0</v>
      </c>
      <c r="AH199" s="1">
        <f>ROUND(AA199-(AC199+AD199)+AF199+AG199, 3)</f>
        <v>9.8179999999999996</v>
      </c>
      <c r="AI199" s="1">
        <f>AH199*M199*K199</f>
        <v>9.8179999999999996</v>
      </c>
      <c r="BA199" s="1" t="s">
        <v>11582</v>
      </c>
      <c r="BB199" s="1">
        <f>AI199</f>
        <v>9.8179999999999996</v>
      </c>
      <c r="BD199" s="1">
        <f>N199</f>
        <v>1</v>
      </c>
    </row>
    <row r="200" spans="1:56" x14ac:dyDescent="0.25">
      <c r="A200" s="1">
        <v>600001121</v>
      </c>
      <c r="B200" s="1">
        <v>1100</v>
      </c>
      <c r="C200" s="1">
        <v>2200001473</v>
      </c>
      <c r="D200" s="1" t="s">
        <v>303</v>
      </c>
      <c r="E200" s="1">
        <f>IF(AND(B200&lt;&gt;1110,B200&lt;&gt;1210,B200&lt;&gt;1510,B200&lt;&gt;1710),B200,IF(B200=1110,"1100",IF(B200=1210,"1200",IF(B200=1510,"1500",IF(B200=1710,"1700","X")))))</f>
        <v>1100</v>
      </c>
      <c r="F200" s="1" t="s">
        <v>11198</v>
      </c>
      <c r="G200" s="1" t="s">
        <v>302</v>
      </c>
      <c r="H200" s="1">
        <f>ROUND(P200/(1-((R200+S200))/100)*Q200, 3)</f>
        <v>25.53</v>
      </c>
      <c r="I200" s="1">
        <v>0.45</v>
      </c>
      <c r="J200" s="1">
        <v>2</v>
      </c>
      <c r="K200" s="1">
        <v>1</v>
      </c>
      <c r="L200" s="1" t="s">
        <v>292</v>
      </c>
      <c r="M200" s="1">
        <v>1</v>
      </c>
      <c r="N200" s="1">
        <v>1</v>
      </c>
      <c r="O200" s="1" t="s">
        <v>296</v>
      </c>
      <c r="P200" s="1">
        <v>21.381</v>
      </c>
      <c r="Q200" s="1">
        <v>1</v>
      </c>
      <c r="R200" s="1">
        <v>7</v>
      </c>
      <c r="S200" s="1">
        <v>9.25</v>
      </c>
      <c r="T200" s="1">
        <v>0</v>
      </c>
      <c r="V200" s="1" t="s">
        <v>11223</v>
      </c>
      <c r="W200" s="1">
        <v>100</v>
      </c>
      <c r="X200" s="1" t="s">
        <v>319</v>
      </c>
      <c r="Y200" s="1" t="s">
        <v>299</v>
      </c>
      <c r="Z200" s="1">
        <v>1</v>
      </c>
      <c r="AA200" s="1">
        <f>ROUND(H200*I200*Z200, 3)</f>
        <v>11.489000000000001</v>
      </c>
      <c r="AB200" s="1">
        <f>ROUND(VLOOKUP(X200,'Base de dados'!A:B, 2, 0)*AA200, 2)</f>
        <v>1.1499999999999999</v>
      </c>
      <c r="AC200" s="1">
        <f>ROUND((AA200*(Destino!AG200/100))*(W200/100),2)</f>
        <v>0.8</v>
      </c>
      <c r="AD200" s="1">
        <f>ROUND(AA200*(Destino!AH200/100),2)</f>
        <v>1.06</v>
      </c>
      <c r="AF200" s="1">
        <f>ROUND((AA200+ AB200)*(J200/100),2)</f>
        <v>0.25</v>
      </c>
      <c r="AG200" s="1">
        <f>ROUND(AA200*T200,2)</f>
        <v>0</v>
      </c>
      <c r="AH200" s="1">
        <f>ROUND(AA200-(AC200+AD200)+AF200+AG200, 3)</f>
        <v>9.8789999999999996</v>
      </c>
      <c r="AI200" s="1">
        <f>AH200*M200*K200</f>
        <v>9.8789999999999996</v>
      </c>
      <c r="BA200" s="1" t="s">
        <v>11583</v>
      </c>
      <c r="BB200" s="1">
        <f>AI200</f>
        <v>9.8789999999999996</v>
      </c>
      <c r="BD200" s="1">
        <f>N200</f>
        <v>1</v>
      </c>
    </row>
    <row r="201" spans="1:56" x14ac:dyDescent="0.25">
      <c r="A201" s="1">
        <v>600001121</v>
      </c>
      <c r="B201" s="1">
        <v>1110</v>
      </c>
      <c r="C201" s="1">
        <v>2200001473</v>
      </c>
      <c r="D201" s="1" t="s">
        <v>303</v>
      </c>
      <c r="E201" s="1" t="str">
        <f>IF(AND(B201&lt;&gt;1110,B201&lt;&gt;1210,B201&lt;&gt;1510,B201&lt;&gt;1710),B201,IF(B201=1110,"1100",IF(B201=1210,"1200",IF(B201=1510,"1500",IF(B201=1710,"1700","X")))))</f>
        <v>1100</v>
      </c>
      <c r="F201" s="1" t="s">
        <v>447</v>
      </c>
      <c r="G201" s="1" t="s">
        <v>302</v>
      </c>
      <c r="H201" s="1">
        <f>ROUND(P201/(1-((R201+S201))/100)*Q201, 3)</f>
        <v>25.53</v>
      </c>
      <c r="I201" s="1">
        <v>0.45</v>
      </c>
      <c r="J201" s="1">
        <v>4</v>
      </c>
      <c r="K201" s="1">
        <v>1</v>
      </c>
      <c r="L201" s="1" t="s">
        <v>292</v>
      </c>
      <c r="M201" s="1">
        <v>1</v>
      </c>
      <c r="N201" s="1">
        <v>0.75332500000000002</v>
      </c>
      <c r="O201" s="1" t="s">
        <v>296</v>
      </c>
      <c r="P201" s="1">
        <v>21.381</v>
      </c>
      <c r="Q201" s="1">
        <v>1</v>
      </c>
      <c r="R201" s="1">
        <v>7</v>
      </c>
      <c r="S201" s="1">
        <v>9.25</v>
      </c>
      <c r="T201" s="1">
        <v>0</v>
      </c>
      <c r="V201" s="1" t="s">
        <v>11223</v>
      </c>
      <c r="W201" s="1">
        <v>100</v>
      </c>
      <c r="X201" s="1" t="s">
        <v>319</v>
      </c>
      <c r="Y201" s="1" t="s">
        <v>299</v>
      </c>
      <c r="Z201" s="1">
        <v>1</v>
      </c>
      <c r="AA201" s="1">
        <f>ROUND(H201*I201*Z201, 3)</f>
        <v>11.489000000000001</v>
      </c>
      <c r="AB201" s="1">
        <f>ROUND(VLOOKUP(X201,'Base de dados'!A:B, 2, 0)*AA201, 2)</f>
        <v>1.1499999999999999</v>
      </c>
      <c r="AC201" s="1">
        <f>ROUND((AA201*(Destino!AG201/100))*(W201/100),2)</f>
        <v>0.8</v>
      </c>
      <c r="AD201" s="1">
        <f>ROUND(AA201*(Destino!AH201/100),2)</f>
        <v>1.06</v>
      </c>
      <c r="AE201" s="1">
        <f>ROUND((((AA201+AB201)*1.5039)*(Destino!AI201/100))-AC201,2)</f>
        <v>2.4300000000000002</v>
      </c>
      <c r="AF201" s="1">
        <f>ROUND((AA201+AB201+AE201)*(J201/100),2)</f>
        <v>0.6</v>
      </c>
      <c r="AG201" s="1">
        <f>ROUND(AA201*T201,2)</f>
        <v>0</v>
      </c>
      <c r="AH201" s="1">
        <f>ROUND(AA201-AD201+AE201+AF201+AG201, 3)</f>
        <v>13.459</v>
      </c>
      <c r="AI201" s="1">
        <f>AH201*M201*K201</f>
        <v>13.459</v>
      </c>
      <c r="BA201" s="1" t="s">
        <v>11584</v>
      </c>
      <c r="BB201" s="1">
        <f>AI201</f>
        <v>13.459</v>
      </c>
      <c r="BD201" s="1">
        <f>N201</f>
        <v>0.75332500000000002</v>
      </c>
    </row>
    <row r="202" spans="1:56" x14ac:dyDescent="0.25">
      <c r="A202" s="1">
        <v>600001121</v>
      </c>
      <c r="B202" s="1">
        <v>1400</v>
      </c>
      <c r="C202" s="1">
        <v>2200001473</v>
      </c>
      <c r="D202" s="1" t="s">
        <v>303</v>
      </c>
      <c r="E202" s="1">
        <f>IF(AND(B202&lt;&gt;1110,B202&lt;&gt;1210,B202&lt;&gt;1510,B202&lt;&gt;1710),B202,IF(B202=1110,"1100",IF(B202=1210,"1200",IF(B202=1510,"1500",IF(B202=1710,"1700","X")))))</f>
        <v>1400</v>
      </c>
      <c r="F202" s="1" t="s">
        <v>11198</v>
      </c>
      <c r="G202" s="1" t="s">
        <v>302</v>
      </c>
      <c r="H202" s="1">
        <f>ROUND(P202/(1-((R202+S202))/100)*Q202, 3)</f>
        <v>29.39</v>
      </c>
      <c r="I202" s="1">
        <v>0.45</v>
      </c>
      <c r="J202" s="1">
        <v>1.5</v>
      </c>
      <c r="K202" s="1">
        <v>1</v>
      </c>
      <c r="L202" s="1" t="s">
        <v>292</v>
      </c>
      <c r="M202" s="1">
        <v>1</v>
      </c>
      <c r="N202" s="1">
        <v>1</v>
      </c>
      <c r="O202" s="1" t="s">
        <v>296</v>
      </c>
      <c r="P202" s="1">
        <v>21.381</v>
      </c>
      <c r="Q202" s="1">
        <v>1</v>
      </c>
      <c r="R202" s="1">
        <v>18</v>
      </c>
      <c r="S202" s="1">
        <v>9.25</v>
      </c>
      <c r="T202" s="1">
        <v>0</v>
      </c>
      <c r="V202" s="1" t="s">
        <v>11223</v>
      </c>
      <c r="W202" s="1">
        <v>100</v>
      </c>
      <c r="X202" s="1" t="s">
        <v>319</v>
      </c>
      <c r="Y202" s="1" t="s">
        <v>299</v>
      </c>
      <c r="Z202" s="1">
        <v>1</v>
      </c>
      <c r="AA202" s="1">
        <f>ROUND(H202*I202*Z202, 3)</f>
        <v>13.226000000000001</v>
      </c>
      <c r="AB202" s="1">
        <f>ROUND(VLOOKUP(X202,'Base de dados'!A:B, 2, 0)*AA202, 2)</f>
        <v>1.32</v>
      </c>
      <c r="AC202" s="1">
        <f>ROUND((AA202*(Destino!AG202/100))*(W202/100),2)</f>
        <v>2.38</v>
      </c>
      <c r="AD202" s="1">
        <f>ROUND(AA202*(Destino!AH202/100),2)</f>
        <v>1.22</v>
      </c>
      <c r="AF202" s="1">
        <f>ROUND((AA202+ AB202)*(J202/100),2)</f>
        <v>0.22</v>
      </c>
      <c r="AG202" s="1">
        <f>ROUND(AA202*T202,2)</f>
        <v>0</v>
      </c>
      <c r="AH202" s="1">
        <f>ROUND(AA202-(AC202+AD202)+AF202+AG202, 3)</f>
        <v>9.8460000000000001</v>
      </c>
      <c r="AI202" s="1">
        <f>AH202*M202*K202</f>
        <v>9.8460000000000001</v>
      </c>
      <c r="BA202" s="1" t="s">
        <v>11389</v>
      </c>
      <c r="BB202" s="1">
        <f>AI202</f>
        <v>9.8460000000000001</v>
      </c>
      <c r="BD202" s="1">
        <f>N202</f>
        <v>1</v>
      </c>
    </row>
    <row r="203" spans="1:56" x14ac:dyDescent="0.25">
      <c r="A203" s="1">
        <v>600001121</v>
      </c>
      <c r="B203" s="1">
        <v>1700</v>
      </c>
      <c r="C203" s="1">
        <v>2200001421</v>
      </c>
      <c r="D203" s="1" t="s">
        <v>303</v>
      </c>
      <c r="E203" s="1">
        <f>IF(AND(B203&lt;&gt;1110,B203&lt;&gt;1210,B203&lt;&gt;1510,B203&lt;&gt;1710),B203,IF(B203=1110,"1100",IF(B203=1210,"1200",IF(B203=1510,"1500",IF(B203=1710,"1700","X")))))</f>
        <v>1700</v>
      </c>
      <c r="F203" s="1" t="s">
        <v>11238</v>
      </c>
      <c r="G203" s="1" t="s">
        <v>302</v>
      </c>
      <c r="H203" s="1">
        <f>ROUND(P203/(1-((R203+S203))/100)*Q203, 3)</f>
        <v>11.756</v>
      </c>
      <c r="I203" s="1">
        <v>0.25</v>
      </c>
      <c r="J203" s="1">
        <v>3</v>
      </c>
      <c r="K203" s="1">
        <v>1</v>
      </c>
      <c r="L203" s="1" t="s">
        <v>292</v>
      </c>
      <c r="M203" s="1">
        <v>4</v>
      </c>
      <c r="N203" s="1">
        <v>1</v>
      </c>
      <c r="O203" s="1" t="s">
        <v>296</v>
      </c>
      <c r="P203" s="1">
        <f>IFERROR(VLOOKUP(BC203, BA:BA:BB:BB, 2, 0),)</f>
        <v>9.8460000000000001</v>
      </c>
      <c r="Q203" s="1">
        <f>IFERROR(VLOOKUP(BC203, BA:BA:BD:BD, 4, 0),1)</f>
        <v>1</v>
      </c>
      <c r="R203" s="1">
        <v>7</v>
      </c>
      <c r="S203" s="1">
        <v>9.25</v>
      </c>
      <c r="T203" s="1">
        <v>0</v>
      </c>
      <c r="V203" s="1" t="s">
        <v>11223</v>
      </c>
      <c r="W203" s="1">
        <v>100</v>
      </c>
      <c r="X203" s="1" t="s">
        <v>319</v>
      </c>
      <c r="Y203" s="1" t="s">
        <v>299</v>
      </c>
      <c r="Z203" s="1">
        <v>1</v>
      </c>
      <c r="AA203" s="1">
        <f>ROUND(H203*I203*Z203, 3)</f>
        <v>2.9390000000000001</v>
      </c>
      <c r="AB203" s="1">
        <f>ROUND(VLOOKUP(X203,'Base de dados'!A:B, 2, 0)*AA203, 2)</f>
        <v>0.28999999999999998</v>
      </c>
      <c r="AC203" s="1">
        <f>ROUND((AA203*(Destino!AG203/100))*(W203/100),2)</f>
        <v>0.21</v>
      </c>
      <c r="AD203" s="1">
        <f>ROUND(AA203*(Destino!AH203/100),2)</f>
        <v>0</v>
      </c>
      <c r="AE203" s="1">
        <f>ROUND((((AA203+AB203)*1.48)*(Destino!AI203/100))-AC203,2)</f>
        <v>0.6</v>
      </c>
      <c r="AF203" s="1">
        <f>ROUND((AA203+AB203+AE203)*(J203/100),2)</f>
        <v>0.11</v>
      </c>
      <c r="AG203" s="1">
        <f>ROUND(AA203*T203,2)</f>
        <v>0</v>
      </c>
      <c r="AH203" s="1">
        <f>ROUND(AA203+AB203-AD203+AE203+AF203+AG203, 3)</f>
        <v>3.9390000000000001</v>
      </c>
      <c r="AI203" s="1">
        <f>AH203*M203*K203</f>
        <v>15.756</v>
      </c>
      <c r="BA203" s="1" t="s">
        <v>11286</v>
      </c>
      <c r="BB203" s="1">
        <f>AI203</f>
        <v>15.756</v>
      </c>
      <c r="BC203" s="1" t="s">
        <v>11389</v>
      </c>
      <c r="BD203" s="1">
        <f>N203</f>
        <v>1</v>
      </c>
    </row>
    <row r="204" spans="1:56" x14ac:dyDescent="0.25">
      <c r="A204" s="1">
        <v>600001122</v>
      </c>
      <c r="B204" s="1">
        <v>1000</v>
      </c>
      <c r="C204" s="1">
        <v>2200001473</v>
      </c>
      <c r="D204" s="1" t="s">
        <v>303</v>
      </c>
      <c r="E204" s="1">
        <f>IF(AND(B204&lt;&gt;1110,B204&lt;&gt;1210,B204&lt;&gt;1510,B204&lt;&gt;1710),B204,IF(B204=1110,"1100",IF(B204=1210,"1200",IF(B204=1510,"1500",IF(B204=1710,"1700","X")))))</f>
        <v>1000</v>
      </c>
      <c r="F204" s="1" t="s">
        <v>11198</v>
      </c>
      <c r="G204" s="1" t="s">
        <v>302</v>
      </c>
      <c r="H204" s="1">
        <f>ROUND(P204/(1-((R204+S204))/100)*Q204, 3)</f>
        <v>32.116999999999997</v>
      </c>
      <c r="I204" s="1">
        <v>0.45</v>
      </c>
      <c r="J204" s="1">
        <v>1.5</v>
      </c>
      <c r="K204" s="1">
        <v>1</v>
      </c>
      <c r="L204" s="1" t="s">
        <v>292</v>
      </c>
      <c r="M204" s="1">
        <v>1</v>
      </c>
      <c r="N204" s="1">
        <v>1</v>
      </c>
      <c r="O204" s="1" t="s">
        <v>296</v>
      </c>
      <c r="P204" s="1">
        <v>25.292000000000002</v>
      </c>
      <c r="Q204" s="1">
        <v>1</v>
      </c>
      <c r="R204" s="1">
        <v>12</v>
      </c>
      <c r="S204" s="1">
        <v>9.25</v>
      </c>
      <c r="T204" s="1">
        <v>0</v>
      </c>
      <c r="V204" s="1" t="s">
        <v>11223</v>
      </c>
      <c r="W204" s="1">
        <v>100</v>
      </c>
      <c r="X204" s="1" t="s">
        <v>319</v>
      </c>
      <c r="Y204" s="1" t="s">
        <v>299</v>
      </c>
      <c r="Z204" s="1">
        <v>1</v>
      </c>
      <c r="AA204" s="1">
        <f>ROUND(H204*I204*Z204, 3)</f>
        <v>14.452999999999999</v>
      </c>
      <c r="AB204" s="1">
        <f>ROUND(VLOOKUP(X204,'Base de dados'!A:B, 2, 0)*AA204, 2)</f>
        <v>1.45</v>
      </c>
      <c r="AC204" s="1">
        <f>ROUND((AA204*(Destino!AG204/100))*(W204/100),2)</f>
        <v>1.73</v>
      </c>
      <c r="AD204" s="1">
        <f>ROUND(AA204*(Destino!AH204/100),2)</f>
        <v>1.34</v>
      </c>
      <c r="AF204" s="1">
        <f>ROUND((AA204+ AB204)*(J204/100),2)</f>
        <v>0.24</v>
      </c>
      <c r="AG204" s="1">
        <f>ROUND(AA204*T204,2)</f>
        <v>0</v>
      </c>
      <c r="AH204" s="1">
        <f>ROUND(AA204-(AC204+AD204)+AF204+AG204, 3)</f>
        <v>11.622999999999999</v>
      </c>
      <c r="AI204" s="1">
        <f>AH204*M204*K204</f>
        <v>11.622999999999999</v>
      </c>
      <c r="BA204" s="1" t="s">
        <v>11585</v>
      </c>
      <c r="BB204" s="1">
        <f>AI204</f>
        <v>11.622999999999999</v>
      </c>
      <c r="BD204" s="1">
        <f>N204</f>
        <v>1</v>
      </c>
    </row>
    <row r="205" spans="1:56" x14ac:dyDescent="0.25">
      <c r="A205" s="1">
        <v>600001122</v>
      </c>
      <c r="B205" s="1">
        <v>1100</v>
      </c>
      <c r="C205" s="1">
        <v>2200001473</v>
      </c>
      <c r="D205" s="1" t="s">
        <v>303</v>
      </c>
      <c r="E205" s="1">
        <f>IF(AND(B205&lt;&gt;1110,B205&lt;&gt;1210,B205&lt;&gt;1510,B205&lt;&gt;1710),B205,IF(B205=1110,"1100",IF(B205=1210,"1200",IF(B205=1510,"1500",IF(B205=1710,"1700","X")))))</f>
        <v>1100</v>
      </c>
      <c r="F205" s="1" t="s">
        <v>11198</v>
      </c>
      <c r="G205" s="1" t="s">
        <v>302</v>
      </c>
      <c r="H205" s="1">
        <f>ROUND(P205/(1-((R205+S205))/100)*Q205, 3)</f>
        <v>30.202999999999999</v>
      </c>
      <c r="I205" s="1">
        <v>0.45</v>
      </c>
      <c r="J205" s="1">
        <v>2</v>
      </c>
      <c r="K205" s="1">
        <v>1</v>
      </c>
      <c r="L205" s="1" t="s">
        <v>292</v>
      </c>
      <c r="M205" s="1">
        <v>1</v>
      </c>
      <c r="N205" s="1">
        <v>1</v>
      </c>
      <c r="O205" s="1" t="s">
        <v>296</v>
      </c>
      <c r="P205" s="1">
        <v>25.295000000000002</v>
      </c>
      <c r="Q205" s="1">
        <v>1</v>
      </c>
      <c r="R205" s="1">
        <v>7</v>
      </c>
      <c r="S205" s="1">
        <v>9.25</v>
      </c>
      <c r="T205" s="1">
        <v>0</v>
      </c>
      <c r="V205" s="1" t="s">
        <v>11223</v>
      </c>
      <c r="W205" s="1">
        <v>100</v>
      </c>
      <c r="X205" s="1" t="s">
        <v>319</v>
      </c>
      <c r="Y205" s="1" t="s">
        <v>299</v>
      </c>
      <c r="Z205" s="1">
        <v>1</v>
      </c>
      <c r="AA205" s="1">
        <f>ROUND(H205*I205*Z205, 3)</f>
        <v>13.590999999999999</v>
      </c>
      <c r="AB205" s="1">
        <f>ROUND(VLOOKUP(X205,'Base de dados'!A:B, 2, 0)*AA205, 2)</f>
        <v>1.36</v>
      </c>
      <c r="AC205" s="1">
        <f>ROUND((AA205*(Destino!AG205/100))*(W205/100),2)</f>
        <v>0.95</v>
      </c>
      <c r="AD205" s="1">
        <f>ROUND(AA205*(Destino!AH205/100),2)</f>
        <v>1.26</v>
      </c>
      <c r="AF205" s="1">
        <f>ROUND((AA205+ AB205)*(J205/100),2)</f>
        <v>0.3</v>
      </c>
      <c r="AG205" s="1">
        <f>ROUND(AA205*T205,2)</f>
        <v>0</v>
      </c>
      <c r="AH205" s="1">
        <f>ROUND(AA205-(AC205+AD205)+AF205+AG205, 3)</f>
        <v>11.680999999999999</v>
      </c>
      <c r="AI205" s="1">
        <f>AH205*M205*K205</f>
        <v>11.680999999999999</v>
      </c>
      <c r="BA205" s="1" t="s">
        <v>11586</v>
      </c>
      <c r="BB205" s="1">
        <f>AI205</f>
        <v>11.680999999999999</v>
      </c>
      <c r="BD205" s="1">
        <f>N205</f>
        <v>1</v>
      </c>
    </row>
    <row r="206" spans="1:56" x14ac:dyDescent="0.25">
      <c r="A206" s="1">
        <v>600001122</v>
      </c>
      <c r="B206" s="1">
        <v>1110</v>
      </c>
      <c r="C206" s="1">
        <v>2200001473</v>
      </c>
      <c r="D206" s="1" t="s">
        <v>303</v>
      </c>
      <c r="E206" s="1" t="str">
        <f>IF(AND(B206&lt;&gt;1110,B206&lt;&gt;1210,B206&lt;&gt;1510,B206&lt;&gt;1710),B206,IF(B206=1110,"1100",IF(B206=1210,"1200",IF(B206=1510,"1500",IF(B206=1710,"1700","X")))))</f>
        <v>1100</v>
      </c>
      <c r="F206" s="1" t="s">
        <v>447</v>
      </c>
      <c r="G206" s="1" t="s">
        <v>302</v>
      </c>
      <c r="H206" s="1">
        <f>ROUND(P206/(1-((R206+S206))/100)*Q206, 3)</f>
        <v>30.202999999999999</v>
      </c>
      <c r="I206" s="1">
        <v>0.45</v>
      </c>
      <c r="J206" s="1">
        <v>4</v>
      </c>
      <c r="K206" s="1">
        <v>1</v>
      </c>
      <c r="L206" s="1" t="s">
        <v>292</v>
      </c>
      <c r="M206" s="1">
        <v>1</v>
      </c>
      <c r="N206" s="1">
        <v>0.75315600000000005</v>
      </c>
      <c r="O206" s="1" t="s">
        <v>296</v>
      </c>
      <c r="P206" s="1">
        <v>25.295000000000002</v>
      </c>
      <c r="Q206" s="1">
        <v>1</v>
      </c>
      <c r="R206" s="1">
        <v>7</v>
      </c>
      <c r="S206" s="1">
        <v>9.25</v>
      </c>
      <c r="T206" s="1">
        <v>0</v>
      </c>
      <c r="V206" s="1" t="s">
        <v>11223</v>
      </c>
      <c r="W206" s="1">
        <v>100</v>
      </c>
      <c r="X206" s="1" t="s">
        <v>319</v>
      </c>
      <c r="Y206" s="1" t="s">
        <v>299</v>
      </c>
      <c r="Z206" s="1">
        <v>1</v>
      </c>
      <c r="AA206" s="1">
        <f>ROUND(H206*I206*Z206, 3)</f>
        <v>13.590999999999999</v>
      </c>
      <c r="AB206" s="1">
        <f>ROUND(VLOOKUP(X206,'Base de dados'!A:B, 2, 0)*AA206, 2)</f>
        <v>1.36</v>
      </c>
      <c r="AC206" s="1">
        <f>ROUND((AA206*(Destino!AG206/100))*(W206/100),2)</f>
        <v>0.95</v>
      </c>
      <c r="AD206" s="1">
        <f>ROUND(AA206*(Destino!AH206/100),2)</f>
        <v>1.26</v>
      </c>
      <c r="AE206" s="1">
        <f>ROUND((((AA206+AB206)*1.5039)*(Destino!AI206/100))-AC206,2)</f>
        <v>2.87</v>
      </c>
      <c r="AF206" s="1">
        <f>ROUND((AA206+AB206+AE206)*(J206/100),2)</f>
        <v>0.71</v>
      </c>
      <c r="AG206" s="1">
        <f>ROUND(AA206*T206,2)</f>
        <v>0</v>
      </c>
      <c r="AH206" s="1">
        <f>ROUND(AA206-AD206+AE206+AF206+AG206, 3)</f>
        <v>15.911</v>
      </c>
      <c r="AI206" s="1">
        <f>AH206*M206*K206</f>
        <v>15.911</v>
      </c>
      <c r="BA206" s="1" t="s">
        <v>11587</v>
      </c>
      <c r="BB206" s="1">
        <f>AI206</f>
        <v>15.911</v>
      </c>
      <c r="BD206" s="1">
        <f>N206</f>
        <v>0.75315600000000005</v>
      </c>
    </row>
    <row r="207" spans="1:56" x14ac:dyDescent="0.25">
      <c r="A207" s="1">
        <v>600001122</v>
      </c>
      <c r="B207" s="1">
        <v>1400</v>
      </c>
      <c r="C207" s="1">
        <v>2200001473</v>
      </c>
      <c r="D207" s="1" t="s">
        <v>303</v>
      </c>
      <c r="E207" s="1">
        <f>IF(AND(B207&lt;&gt;1110,B207&lt;&gt;1210,B207&lt;&gt;1510,B207&lt;&gt;1710),B207,IF(B207=1110,"1100",IF(B207=1210,"1200",IF(B207=1510,"1500",IF(B207=1710,"1700","X")))))</f>
        <v>1400</v>
      </c>
      <c r="F207" s="1" t="s">
        <v>11198</v>
      </c>
      <c r="G207" s="1" t="s">
        <v>302</v>
      </c>
      <c r="H207" s="1">
        <f>ROUND(P207/(1-((R207+S207))/100)*Q207, 3)</f>
        <v>34.770000000000003</v>
      </c>
      <c r="I207" s="1">
        <v>0.45</v>
      </c>
      <c r="J207" s="1">
        <v>1.5</v>
      </c>
      <c r="K207" s="1">
        <v>1</v>
      </c>
      <c r="L207" s="1" t="s">
        <v>292</v>
      </c>
      <c r="M207" s="1">
        <v>1</v>
      </c>
      <c r="N207" s="1">
        <v>1</v>
      </c>
      <c r="O207" s="1" t="s">
        <v>296</v>
      </c>
      <c r="P207" s="1">
        <v>25.295000000000002</v>
      </c>
      <c r="Q207" s="1">
        <v>1</v>
      </c>
      <c r="R207" s="1">
        <v>18</v>
      </c>
      <c r="S207" s="1">
        <v>9.25</v>
      </c>
      <c r="T207" s="1">
        <v>0</v>
      </c>
      <c r="V207" s="1" t="s">
        <v>11223</v>
      </c>
      <c r="W207" s="1">
        <v>100</v>
      </c>
      <c r="X207" s="1" t="s">
        <v>319</v>
      </c>
      <c r="Y207" s="1" t="s">
        <v>299</v>
      </c>
      <c r="Z207" s="1">
        <v>1</v>
      </c>
      <c r="AA207" s="1">
        <f>ROUND(H207*I207*Z207, 3)</f>
        <v>15.647</v>
      </c>
      <c r="AB207" s="1">
        <f>ROUND(VLOOKUP(X207,'Base de dados'!A:B, 2, 0)*AA207, 2)</f>
        <v>1.56</v>
      </c>
      <c r="AC207" s="1">
        <f>ROUND((AA207*(Destino!AG207/100))*(W207/100),2)</f>
        <v>2.82</v>
      </c>
      <c r="AD207" s="1">
        <f>ROUND(AA207*(Destino!AH207/100),2)</f>
        <v>1.45</v>
      </c>
      <c r="AF207" s="1">
        <f>ROUND((AA207+ AB207)*(J207/100),2)</f>
        <v>0.26</v>
      </c>
      <c r="AG207" s="1">
        <f>ROUND(AA207*T207,2)</f>
        <v>0</v>
      </c>
      <c r="AH207" s="1">
        <f>ROUND(AA207-(AC207+AD207)+AF207+AG207, 3)</f>
        <v>11.637</v>
      </c>
      <c r="AI207" s="1">
        <f>AH207*M207*K207</f>
        <v>11.637</v>
      </c>
      <c r="BA207" s="1" t="s">
        <v>11390</v>
      </c>
      <c r="BB207" s="1">
        <f>AI207</f>
        <v>11.637</v>
      </c>
      <c r="BD207" s="1">
        <f>N207</f>
        <v>1</v>
      </c>
    </row>
    <row r="208" spans="1:56" x14ac:dyDescent="0.25">
      <c r="A208" s="1">
        <v>600001122</v>
      </c>
      <c r="B208" s="1">
        <v>1700</v>
      </c>
      <c r="C208" s="1">
        <v>2200001421</v>
      </c>
      <c r="D208" s="1" t="s">
        <v>303</v>
      </c>
      <c r="E208" s="1">
        <f>IF(AND(B208&lt;&gt;1110,B208&lt;&gt;1210,B208&lt;&gt;1510,B208&lt;&gt;1710),B208,IF(B208=1110,"1100",IF(B208=1210,"1200",IF(B208=1510,"1500",IF(B208=1710,"1700","X")))))</f>
        <v>1700</v>
      </c>
      <c r="F208" s="1" t="s">
        <v>11238</v>
      </c>
      <c r="G208" s="1" t="s">
        <v>302</v>
      </c>
      <c r="H208" s="1">
        <f>ROUND(P208/(1-((R208+S208))/100)*Q208, 3)</f>
        <v>13.895</v>
      </c>
      <c r="I208" s="1">
        <v>0.25</v>
      </c>
      <c r="J208" s="1">
        <v>3</v>
      </c>
      <c r="K208" s="1">
        <v>1</v>
      </c>
      <c r="L208" s="1" t="s">
        <v>292</v>
      </c>
      <c r="M208" s="1">
        <v>4</v>
      </c>
      <c r="N208" s="1">
        <v>1</v>
      </c>
      <c r="O208" s="1" t="s">
        <v>296</v>
      </c>
      <c r="P208" s="1">
        <f>IFERROR(VLOOKUP(BC208, BA:BA:BB:BB, 2, 0),)</f>
        <v>11.637</v>
      </c>
      <c r="Q208" s="1">
        <f>IFERROR(VLOOKUP(BC208, BA:BA:BD:BD, 4, 0),1)</f>
        <v>1</v>
      </c>
      <c r="R208" s="1">
        <v>7</v>
      </c>
      <c r="S208" s="1">
        <v>9.25</v>
      </c>
      <c r="T208" s="1">
        <v>0</v>
      </c>
      <c r="V208" s="1" t="s">
        <v>11223</v>
      </c>
      <c r="W208" s="1">
        <v>100</v>
      </c>
      <c r="X208" s="1" t="s">
        <v>319</v>
      </c>
      <c r="Y208" s="1" t="s">
        <v>299</v>
      </c>
      <c r="Z208" s="1">
        <v>1</v>
      </c>
      <c r="AA208" s="1">
        <f>ROUND(H208*I208*Z208, 3)</f>
        <v>3.4740000000000002</v>
      </c>
      <c r="AB208" s="1">
        <f>ROUND(VLOOKUP(X208,'Base de dados'!A:B, 2, 0)*AA208, 2)</f>
        <v>0.35</v>
      </c>
      <c r="AC208" s="1">
        <f>ROUND((AA208*(Destino!AG208/100))*(W208/100),2)</f>
        <v>0.24</v>
      </c>
      <c r="AD208" s="1">
        <f>ROUND(AA208*(Destino!AH208/100),2)</f>
        <v>0</v>
      </c>
      <c r="AE208" s="1">
        <f>ROUND((((AA208+AB208)*1.48)*(Destino!AI208/100))-AC208,2)</f>
        <v>0.72</v>
      </c>
      <c r="AF208" s="1">
        <f>ROUND((AA208+AB208+AE208)*(J208/100),2)</f>
        <v>0.14000000000000001</v>
      </c>
      <c r="AG208" s="1">
        <f>ROUND(AA208*T208,2)</f>
        <v>0</v>
      </c>
      <c r="AH208" s="1">
        <f>ROUND(AA208+AB208-AD208+AE208+AF208+AG208, 3)</f>
        <v>4.6840000000000002</v>
      </c>
      <c r="AI208" s="1">
        <f>AH208*M208*K208</f>
        <v>18.736000000000001</v>
      </c>
      <c r="BA208" s="1" t="s">
        <v>11287</v>
      </c>
      <c r="BB208" s="1">
        <f>AI208</f>
        <v>18.736000000000001</v>
      </c>
      <c r="BC208" s="1" t="s">
        <v>11390</v>
      </c>
      <c r="BD208" s="1">
        <f>N208</f>
        <v>1</v>
      </c>
    </row>
    <row r="209" spans="1:56" x14ac:dyDescent="0.25">
      <c r="A209" s="1">
        <v>600001132</v>
      </c>
      <c r="B209" s="1">
        <v>1000</v>
      </c>
      <c r="C209" s="1">
        <v>2200001473</v>
      </c>
      <c r="D209" s="1" t="s">
        <v>303</v>
      </c>
      <c r="E209" s="1">
        <f>IF(AND(B209&lt;&gt;1110,B209&lt;&gt;1210,B209&lt;&gt;1510,B209&lt;&gt;1710),B209,IF(B209=1110,"1100",IF(B209=1210,"1200",IF(B209=1510,"1500",IF(B209=1710,"1700","X")))))</f>
        <v>1000</v>
      </c>
      <c r="F209" s="1" t="s">
        <v>11198</v>
      </c>
      <c r="G209" s="1" t="s">
        <v>302</v>
      </c>
      <c r="H209" s="1">
        <f>ROUND(P209/(1-((R209+S209))/100)*Q209, 3)</f>
        <v>34.503</v>
      </c>
      <c r="I209" s="1">
        <v>0.45</v>
      </c>
      <c r="J209" s="1">
        <v>1.5</v>
      </c>
      <c r="K209" s="1">
        <v>1</v>
      </c>
      <c r="L209" s="1" t="s">
        <v>292</v>
      </c>
      <c r="M209" s="1">
        <v>1</v>
      </c>
      <c r="N209" s="1">
        <v>1</v>
      </c>
      <c r="O209" s="1" t="s">
        <v>296</v>
      </c>
      <c r="P209" s="1">
        <v>27.170999999999999</v>
      </c>
      <c r="Q209" s="1">
        <v>1</v>
      </c>
      <c r="R209" s="1">
        <v>12</v>
      </c>
      <c r="S209" s="1">
        <v>9.25</v>
      </c>
      <c r="T209" s="1">
        <v>0</v>
      </c>
      <c r="V209" s="1" t="s">
        <v>11223</v>
      </c>
      <c r="W209" s="1">
        <v>100</v>
      </c>
      <c r="X209" s="1" t="s">
        <v>319</v>
      </c>
      <c r="Y209" s="1" t="s">
        <v>299</v>
      </c>
      <c r="Z209" s="1">
        <v>1</v>
      </c>
      <c r="AA209" s="1">
        <f>ROUND(H209*I209*Z209, 3)</f>
        <v>15.526</v>
      </c>
      <c r="AB209" s="1">
        <f>ROUND(VLOOKUP(X209,'Base de dados'!A:B, 2, 0)*AA209, 2)</f>
        <v>1.55</v>
      </c>
      <c r="AC209" s="1">
        <f>ROUND((AA209*(Destino!AG209/100))*(W209/100),2)</f>
        <v>1.86</v>
      </c>
      <c r="AD209" s="1">
        <f>ROUND(AA209*(Destino!AH209/100),2)</f>
        <v>1.44</v>
      </c>
      <c r="AF209" s="1">
        <f>ROUND((AA209+ AB209)*(J209/100),2)</f>
        <v>0.26</v>
      </c>
      <c r="AG209" s="1">
        <f>ROUND(AA209*T209,2)</f>
        <v>0</v>
      </c>
      <c r="AH209" s="1">
        <f>ROUND(AA209-(AC209+AD209)+AF209+AG209, 3)</f>
        <v>12.486000000000001</v>
      </c>
      <c r="AI209" s="1">
        <f>AH209*M209*K209</f>
        <v>12.486000000000001</v>
      </c>
      <c r="BA209" s="1" t="s">
        <v>11588</v>
      </c>
      <c r="BB209" s="1">
        <f>AI209</f>
        <v>12.486000000000001</v>
      </c>
      <c r="BD209" s="1">
        <f>N209</f>
        <v>1</v>
      </c>
    </row>
    <row r="210" spans="1:56" x14ac:dyDescent="0.25">
      <c r="A210" s="1">
        <v>600001132</v>
      </c>
      <c r="B210" s="1">
        <v>1100</v>
      </c>
      <c r="C210" s="1">
        <v>2200001473</v>
      </c>
      <c r="D210" s="1" t="s">
        <v>303</v>
      </c>
      <c r="E210" s="1">
        <f>IF(AND(B210&lt;&gt;1110,B210&lt;&gt;1210,B210&lt;&gt;1510,B210&lt;&gt;1710),B210,IF(B210=1110,"1100",IF(B210=1210,"1200",IF(B210=1510,"1500",IF(B210=1710,"1700","X")))))</f>
        <v>1100</v>
      </c>
      <c r="F210" s="1" t="s">
        <v>11198</v>
      </c>
      <c r="G210" s="1" t="s">
        <v>302</v>
      </c>
      <c r="H210" s="1">
        <f>ROUND(P210/(1-((R210+S210))/100)*Q210, 3)</f>
        <v>32.444000000000003</v>
      </c>
      <c r="I210" s="1">
        <v>0.45</v>
      </c>
      <c r="J210" s="1">
        <v>2</v>
      </c>
      <c r="K210" s="1">
        <v>1</v>
      </c>
      <c r="L210" s="1" t="s">
        <v>292</v>
      </c>
      <c r="M210" s="1">
        <v>1</v>
      </c>
      <c r="N210" s="1">
        <v>1</v>
      </c>
      <c r="O210" s="1" t="s">
        <v>296</v>
      </c>
      <c r="P210" s="1">
        <v>27.172000000000001</v>
      </c>
      <c r="Q210" s="1">
        <v>1</v>
      </c>
      <c r="R210" s="1">
        <v>7</v>
      </c>
      <c r="S210" s="1">
        <v>9.25</v>
      </c>
      <c r="T210" s="1">
        <v>0</v>
      </c>
      <c r="V210" s="1" t="s">
        <v>11223</v>
      </c>
      <c r="W210" s="1">
        <v>100</v>
      </c>
      <c r="X210" s="1" t="s">
        <v>319</v>
      </c>
      <c r="Y210" s="1" t="s">
        <v>299</v>
      </c>
      <c r="Z210" s="1">
        <v>1</v>
      </c>
      <c r="AA210" s="1">
        <f>ROUND(H210*I210*Z210, 3)</f>
        <v>14.6</v>
      </c>
      <c r="AB210" s="1">
        <f>ROUND(VLOOKUP(X210,'Base de dados'!A:B, 2, 0)*AA210, 2)</f>
        <v>1.46</v>
      </c>
      <c r="AC210" s="1">
        <f>ROUND((AA210*(Destino!AG210/100))*(W210/100),2)</f>
        <v>1.02</v>
      </c>
      <c r="AD210" s="1">
        <f>ROUND(AA210*(Destino!AH210/100),2)</f>
        <v>1.35</v>
      </c>
      <c r="AF210" s="1">
        <f>ROUND((AA210+ AB210)*(J210/100),2)</f>
        <v>0.32</v>
      </c>
      <c r="AG210" s="1">
        <f>ROUND(AA210*T210,2)</f>
        <v>0</v>
      </c>
      <c r="AH210" s="1">
        <f>ROUND(AA210-(AC210+AD210)+AF210+AG210, 3)</f>
        <v>12.55</v>
      </c>
      <c r="AI210" s="1">
        <f>AH210*M210*K210</f>
        <v>12.55</v>
      </c>
      <c r="BA210" s="1" t="s">
        <v>11589</v>
      </c>
      <c r="BB210" s="1">
        <f>AI210</f>
        <v>12.55</v>
      </c>
      <c r="BD210" s="1">
        <f>N210</f>
        <v>1</v>
      </c>
    </row>
    <row r="211" spans="1:56" x14ac:dyDescent="0.25">
      <c r="A211" s="1">
        <v>600001132</v>
      </c>
      <c r="B211" s="1">
        <v>1110</v>
      </c>
      <c r="C211" s="1">
        <v>2200001473</v>
      </c>
      <c r="D211" s="1" t="s">
        <v>303</v>
      </c>
      <c r="E211" s="1" t="str">
        <f>IF(AND(B211&lt;&gt;1110,B211&lt;&gt;1210,B211&lt;&gt;1510,B211&lt;&gt;1710),B211,IF(B211=1110,"1100",IF(B211=1210,"1200",IF(B211=1510,"1500",IF(B211=1710,"1700","X")))))</f>
        <v>1100</v>
      </c>
      <c r="F211" s="1" t="s">
        <v>447</v>
      </c>
      <c r="G211" s="1" t="s">
        <v>302</v>
      </c>
      <c r="H211" s="1">
        <f>ROUND(P211/(1-((R211+S211))/100)*Q211, 3)</f>
        <v>32.444000000000003</v>
      </c>
      <c r="I211" s="1">
        <v>0.45</v>
      </c>
      <c r="J211" s="1">
        <v>4</v>
      </c>
      <c r="K211" s="1">
        <v>1</v>
      </c>
      <c r="L211" s="1" t="s">
        <v>292</v>
      </c>
      <c r="M211" s="1">
        <v>1</v>
      </c>
      <c r="N211" s="1">
        <v>0.75263199999999997</v>
      </c>
      <c r="O211" s="1" t="s">
        <v>296</v>
      </c>
      <c r="P211" s="1">
        <v>27.172000000000001</v>
      </c>
      <c r="Q211" s="1">
        <v>1</v>
      </c>
      <c r="R211" s="1">
        <v>7</v>
      </c>
      <c r="S211" s="1">
        <v>9.25</v>
      </c>
      <c r="T211" s="1">
        <v>0</v>
      </c>
      <c r="V211" s="1" t="s">
        <v>11223</v>
      </c>
      <c r="W211" s="1">
        <v>100</v>
      </c>
      <c r="X211" s="1" t="s">
        <v>319</v>
      </c>
      <c r="Y211" s="1" t="s">
        <v>299</v>
      </c>
      <c r="Z211" s="1">
        <v>1</v>
      </c>
      <c r="AA211" s="1">
        <f>ROUND(H211*I211*Z211, 3)</f>
        <v>14.6</v>
      </c>
      <c r="AB211" s="1">
        <f>ROUND(VLOOKUP(X211,'Base de dados'!A:B, 2, 0)*AA211, 2)</f>
        <v>1.46</v>
      </c>
      <c r="AC211" s="1">
        <f>ROUND((AA211*(Destino!AG211/100))*(W211/100),2)</f>
        <v>1.02</v>
      </c>
      <c r="AD211" s="1">
        <f>ROUND(AA211*(Destino!AH211/100),2)</f>
        <v>1.35</v>
      </c>
      <c r="AE211" s="1">
        <f>ROUND((((AA211+AB211)*1.5039)*(Destino!AI211/100))-AC211,2)</f>
        <v>3.09</v>
      </c>
      <c r="AF211" s="1">
        <f>ROUND((AA211+AB211+AE211)*(J211/100),2)</f>
        <v>0.77</v>
      </c>
      <c r="AG211" s="1">
        <f>ROUND(AA211*T211,2)</f>
        <v>0</v>
      </c>
      <c r="AH211" s="1">
        <f>ROUND(AA211-AD211+AE211+AF211+AG211, 3)</f>
        <v>17.11</v>
      </c>
      <c r="AI211" s="1">
        <f>AH211*M211*K211</f>
        <v>17.11</v>
      </c>
      <c r="BA211" s="1" t="s">
        <v>11590</v>
      </c>
      <c r="BB211" s="1">
        <f>AI211</f>
        <v>17.11</v>
      </c>
      <c r="BD211" s="1">
        <f>N211</f>
        <v>0.75263199999999997</v>
      </c>
    </row>
    <row r="212" spans="1:56" x14ac:dyDescent="0.25">
      <c r="A212" s="1">
        <v>600001132</v>
      </c>
      <c r="B212" s="1">
        <v>1400</v>
      </c>
      <c r="C212" s="1">
        <v>2200001473</v>
      </c>
      <c r="D212" s="1" t="s">
        <v>303</v>
      </c>
      <c r="E212" s="1">
        <f>IF(AND(B212&lt;&gt;1110,B212&lt;&gt;1210,B212&lt;&gt;1510,B212&lt;&gt;1710),B212,IF(B212=1110,"1100",IF(B212=1210,"1200",IF(B212=1510,"1500",IF(B212=1710,"1700","X")))))</f>
        <v>1400</v>
      </c>
      <c r="F212" s="1" t="s">
        <v>11198</v>
      </c>
      <c r="G212" s="1" t="s">
        <v>302</v>
      </c>
      <c r="H212" s="1">
        <f>ROUND(P212/(1-((R212+S212))/100)*Q212, 3)</f>
        <v>37.35</v>
      </c>
      <c r="I212" s="1">
        <v>0.45</v>
      </c>
      <c r="J212" s="1">
        <v>1.5</v>
      </c>
      <c r="K212" s="1">
        <v>1</v>
      </c>
      <c r="L212" s="1" t="s">
        <v>292</v>
      </c>
      <c r="M212" s="1">
        <v>1</v>
      </c>
      <c r="N212" s="1">
        <v>1</v>
      </c>
      <c r="O212" s="1" t="s">
        <v>296</v>
      </c>
      <c r="P212" s="1">
        <v>27.172000000000001</v>
      </c>
      <c r="Q212" s="1">
        <v>1</v>
      </c>
      <c r="R212" s="1">
        <v>18</v>
      </c>
      <c r="S212" s="1">
        <v>9.25</v>
      </c>
      <c r="T212" s="1">
        <v>0</v>
      </c>
      <c r="V212" s="1" t="s">
        <v>11223</v>
      </c>
      <c r="W212" s="1">
        <v>100</v>
      </c>
      <c r="X212" s="1" t="s">
        <v>319</v>
      </c>
      <c r="Y212" s="1" t="s">
        <v>299</v>
      </c>
      <c r="Z212" s="1">
        <v>1</v>
      </c>
      <c r="AA212" s="1">
        <f>ROUND(H212*I212*Z212, 3)</f>
        <v>16.808</v>
      </c>
      <c r="AB212" s="1">
        <f>ROUND(VLOOKUP(X212,'Base de dados'!A:B, 2, 0)*AA212, 2)</f>
        <v>1.68</v>
      </c>
      <c r="AC212" s="1">
        <f>ROUND((AA212*(Destino!AG212/100))*(W212/100),2)</f>
        <v>3.03</v>
      </c>
      <c r="AD212" s="1">
        <f>ROUND(AA212*(Destino!AH212/100),2)</f>
        <v>1.55</v>
      </c>
      <c r="AF212" s="1">
        <f>ROUND((AA212+ AB212)*(J212/100),2)</f>
        <v>0.28000000000000003</v>
      </c>
      <c r="AG212" s="1">
        <f>ROUND(AA212*T212,2)</f>
        <v>0</v>
      </c>
      <c r="AH212" s="1">
        <f>ROUND(AA212-(AC212+AD212)+AF212+AG212, 3)</f>
        <v>12.507999999999999</v>
      </c>
      <c r="AI212" s="1">
        <f>AH212*M212*K212</f>
        <v>12.507999999999999</v>
      </c>
      <c r="BA212" s="1" t="s">
        <v>11391</v>
      </c>
      <c r="BB212" s="1">
        <f>AI212</f>
        <v>12.507999999999999</v>
      </c>
      <c r="BD212" s="1">
        <f>N212</f>
        <v>1</v>
      </c>
    </row>
    <row r="213" spans="1:56" x14ac:dyDescent="0.25">
      <c r="A213" s="1">
        <v>600001132</v>
      </c>
      <c r="B213" s="1">
        <v>1700</v>
      </c>
      <c r="C213" s="1">
        <v>2200001421</v>
      </c>
      <c r="D213" s="1" t="s">
        <v>303</v>
      </c>
      <c r="E213" s="1">
        <f>IF(AND(B213&lt;&gt;1110,B213&lt;&gt;1210,B213&lt;&gt;1510,B213&lt;&gt;1710),B213,IF(B213=1110,"1100",IF(B213=1210,"1200",IF(B213=1510,"1500",IF(B213=1710,"1700","X")))))</f>
        <v>1700</v>
      </c>
      <c r="F213" s="1" t="s">
        <v>11238</v>
      </c>
      <c r="G213" s="1" t="s">
        <v>302</v>
      </c>
      <c r="H213" s="1">
        <f>ROUND(P213/(1-((R213+S213))/100)*Q213, 3)</f>
        <v>14.935</v>
      </c>
      <c r="I213" s="1">
        <v>0.25</v>
      </c>
      <c r="J213" s="1">
        <v>3</v>
      </c>
      <c r="K213" s="1">
        <v>1</v>
      </c>
      <c r="L213" s="1" t="s">
        <v>292</v>
      </c>
      <c r="M213" s="1">
        <v>4</v>
      </c>
      <c r="N213" s="1">
        <v>1</v>
      </c>
      <c r="O213" s="1" t="s">
        <v>296</v>
      </c>
      <c r="P213" s="1">
        <f>IFERROR(VLOOKUP(BC213, BA:BA:BB:BB, 2, 0),)</f>
        <v>12.507999999999999</v>
      </c>
      <c r="Q213" s="1">
        <f>IFERROR(VLOOKUP(BC213, BA:BA:BD:BD, 4, 0),1)</f>
        <v>1</v>
      </c>
      <c r="R213" s="1">
        <v>7</v>
      </c>
      <c r="S213" s="1">
        <v>9.25</v>
      </c>
      <c r="T213" s="1">
        <v>0</v>
      </c>
      <c r="V213" s="1" t="s">
        <v>11223</v>
      </c>
      <c r="W213" s="1">
        <v>100</v>
      </c>
      <c r="X213" s="1" t="s">
        <v>319</v>
      </c>
      <c r="Y213" s="1" t="s">
        <v>299</v>
      </c>
      <c r="Z213" s="1">
        <v>1</v>
      </c>
      <c r="AA213" s="1">
        <f>ROUND(H213*I213*Z213, 3)</f>
        <v>3.734</v>
      </c>
      <c r="AB213" s="1">
        <f>ROUND(VLOOKUP(X213,'Base de dados'!A:B, 2, 0)*AA213, 2)</f>
        <v>0.37</v>
      </c>
      <c r="AC213" s="1">
        <f>ROUND((AA213*(Destino!AG213/100))*(W213/100),2)</f>
        <v>0.26</v>
      </c>
      <c r="AD213" s="1">
        <f>ROUND(AA213*(Destino!AH213/100),2)</f>
        <v>0</v>
      </c>
      <c r="AE213" s="1">
        <f>ROUND((((AA213+AB213)*1.48)*(Destino!AI213/100))-AC213,2)</f>
        <v>0.77</v>
      </c>
      <c r="AF213" s="1">
        <f>ROUND((AA213+AB213+AE213)*(J213/100),2)</f>
        <v>0.15</v>
      </c>
      <c r="AG213" s="1">
        <f>ROUND(AA213*T213,2)</f>
        <v>0</v>
      </c>
      <c r="AH213" s="1">
        <f>ROUND(AA213+AB213-AD213+AE213+AF213+AG213, 3)</f>
        <v>5.024</v>
      </c>
      <c r="AI213" s="1">
        <f>AH213*M213*K213</f>
        <v>20.096</v>
      </c>
      <c r="BA213" s="1" t="s">
        <v>11288</v>
      </c>
      <c r="BB213" s="1">
        <f>AI213</f>
        <v>20.096</v>
      </c>
      <c r="BC213" s="1" t="s">
        <v>11391</v>
      </c>
      <c r="BD213" s="1">
        <f>N213</f>
        <v>1</v>
      </c>
    </row>
    <row r="214" spans="1:56" x14ac:dyDescent="0.25">
      <c r="A214" s="1">
        <v>600001133</v>
      </c>
      <c r="B214" s="1">
        <v>1000</v>
      </c>
      <c r="C214" s="1">
        <v>2200001473</v>
      </c>
      <c r="D214" s="1" t="s">
        <v>303</v>
      </c>
      <c r="E214" s="1">
        <f>IF(AND(B214&lt;&gt;1110,B214&lt;&gt;1210,B214&lt;&gt;1510,B214&lt;&gt;1710),B214,IF(B214=1110,"1100",IF(B214=1210,"1200",IF(B214=1510,"1500",IF(B214=1710,"1700","X")))))</f>
        <v>1000</v>
      </c>
      <c r="F214" s="1" t="s">
        <v>11198</v>
      </c>
      <c r="G214" s="1" t="s">
        <v>302</v>
      </c>
      <c r="H214" s="1">
        <f>ROUND(P214/(1-((R214+S214))/100)*Q214, 3)</f>
        <v>39.624000000000002</v>
      </c>
      <c r="I214" s="1">
        <v>0.45</v>
      </c>
      <c r="J214" s="1">
        <v>1.5</v>
      </c>
      <c r="K214" s="1">
        <v>1</v>
      </c>
      <c r="L214" s="1" t="s">
        <v>292</v>
      </c>
      <c r="M214" s="1">
        <v>1</v>
      </c>
      <c r="N214" s="1">
        <v>1</v>
      </c>
      <c r="O214" s="1" t="s">
        <v>296</v>
      </c>
      <c r="P214" s="1">
        <v>31.204000000000001</v>
      </c>
      <c r="Q214" s="1">
        <v>1</v>
      </c>
      <c r="R214" s="1">
        <v>12</v>
      </c>
      <c r="S214" s="1">
        <v>9.25</v>
      </c>
      <c r="T214" s="1">
        <v>0</v>
      </c>
      <c r="V214" s="1" t="s">
        <v>11223</v>
      </c>
      <c r="W214" s="1">
        <v>100</v>
      </c>
      <c r="X214" s="1" t="s">
        <v>319</v>
      </c>
      <c r="Y214" s="1" t="s">
        <v>299</v>
      </c>
      <c r="Z214" s="1">
        <v>1</v>
      </c>
      <c r="AA214" s="1">
        <f>ROUND(H214*I214*Z214, 3)</f>
        <v>17.831</v>
      </c>
      <c r="AB214" s="1">
        <f>ROUND(VLOOKUP(X214,'Base de dados'!A:B, 2, 0)*AA214, 2)</f>
        <v>1.78</v>
      </c>
      <c r="AC214" s="1">
        <f>ROUND((AA214*(Destino!AG214/100))*(W214/100),2)</f>
        <v>2.14</v>
      </c>
      <c r="AD214" s="1">
        <f>ROUND(AA214*(Destino!AH214/100),2)</f>
        <v>1.65</v>
      </c>
      <c r="AF214" s="1">
        <f>ROUND((AA214+ AB214)*(J214/100),2)</f>
        <v>0.28999999999999998</v>
      </c>
      <c r="AG214" s="1">
        <f>ROUND(AA214*T214,2)</f>
        <v>0</v>
      </c>
      <c r="AH214" s="1">
        <f>ROUND(AA214-(AC214+AD214)+AF214+AG214, 3)</f>
        <v>14.331</v>
      </c>
      <c r="AI214" s="1">
        <f>AH214*M214*K214</f>
        <v>14.331</v>
      </c>
      <c r="BA214" s="1" t="s">
        <v>11591</v>
      </c>
      <c r="BB214" s="1">
        <f>AI214</f>
        <v>14.331</v>
      </c>
      <c r="BD214" s="1">
        <f>N214</f>
        <v>1</v>
      </c>
    </row>
    <row r="215" spans="1:56" x14ac:dyDescent="0.25">
      <c r="A215" s="1">
        <v>600001133</v>
      </c>
      <c r="B215" s="1">
        <v>1100</v>
      </c>
      <c r="C215" s="1">
        <v>2200001473</v>
      </c>
      <c r="D215" s="1" t="s">
        <v>303</v>
      </c>
      <c r="E215" s="1">
        <f>IF(AND(B215&lt;&gt;1110,B215&lt;&gt;1210,B215&lt;&gt;1510,B215&lt;&gt;1710),B215,IF(B215=1110,"1100",IF(B215=1210,"1200",IF(B215=1510,"1500",IF(B215=1710,"1700","X")))))</f>
        <v>1100</v>
      </c>
      <c r="F215" s="1" t="s">
        <v>11198</v>
      </c>
      <c r="G215" s="1" t="s">
        <v>302</v>
      </c>
      <c r="H215" s="1">
        <f>ROUND(P215/(1-((R215+S215))/100)*Q215, 3)</f>
        <v>37.256</v>
      </c>
      <c r="I215" s="1">
        <v>0.45</v>
      </c>
      <c r="J215" s="1">
        <v>2</v>
      </c>
      <c r="K215" s="1">
        <v>1</v>
      </c>
      <c r="L215" s="1" t="s">
        <v>292</v>
      </c>
      <c r="M215" s="1">
        <v>1</v>
      </c>
      <c r="N215" s="1">
        <v>1</v>
      </c>
      <c r="O215" s="1" t="s">
        <v>296</v>
      </c>
      <c r="P215" s="1">
        <v>31.202000000000002</v>
      </c>
      <c r="Q215" s="1">
        <v>1</v>
      </c>
      <c r="R215" s="1">
        <v>7</v>
      </c>
      <c r="S215" s="1">
        <v>9.25</v>
      </c>
      <c r="T215" s="1">
        <v>0</v>
      </c>
      <c r="V215" s="1" t="s">
        <v>11223</v>
      </c>
      <c r="W215" s="1">
        <v>100</v>
      </c>
      <c r="X215" s="1" t="s">
        <v>319</v>
      </c>
      <c r="Y215" s="1" t="s">
        <v>299</v>
      </c>
      <c r="Z215" s="1">
        <v>1</v>
      </c>
      <c r="AA215" s="1">
        <f>ROUND(H215*I215*Z215, 3)</f>
        <v>16.765000000000001</v>
      </c>
      <c r="AB215" s="1">
        <f>ROUND(VLOOKUP(X215,'Base de dados'!A:B, 2, 0)*AA215, 2)</f>
        <v>1.68</v>
      </c>
      <c r="AC215" s="1">
        <f>ROUND((AA215*(Destino!AG215/100))*(W215/100),2)</f>
        <v>1.17</v>
      </c>
      <c r="AD215" s="1">
        <f>ROUND(AA215*(Destino!AH215/100),2)</f>
        <v>1.55</v>
      </c>
      <c r="AF215" s="1">
        <f>ROUND((AA215+ AB215)*(J215/100),2)</f>
        <v>0.37</v>
      </c>
      <c r="AG215" s="1">
        <f>ROUND(AA215*T215,2)</f>
        <v>0</v>
      </c>
      <c r="AH215" s="1">
        <f>ROUND(AA215-(AC215+AD215)+AF215+AG215, 3)</f>
        <v>14.414999999999999</v>
      </c>
      <c r="AI215" s="1">
        <f>AH215*M215*K215</f>
        <v>14.414999999999999</v>
      </c>
      <c r="BA215" s="1" t="s">
        <v>11592</v>
      </c>
      <c r="BB215" s="1">
        <f>AI215</f>
        <v>14.414999999999999</v>
      </c>
      <c r="BD215" s="1">
        <f>N215</f>
        <v>1</v>
      </c>
    </row>
    <row r="216" spans="1:56" x14ac:dyDescent="0.25">
      <c r="A216" s="1">
        <v>600001133</v>
      </c>
      <c r="B216" s="1">
        <v>1110</v>
      </c>
      <c r="C216" s="1">
        <v>2200001473</v>
      </c>
      <c r="D216" s="1" t="s">
        <v>303</v>
      </c>
      <c r="E216" s="1" t="str">
        <f>IF(AND(B216&lt;&gt;1110,B216&lt;&gt;1210,B216&lt;&gt;1510,B216&lt;&gt;1710),B216,IF(B216=1110,"1100",IF(B216=1210,"1200",IF(B216=1510,"1500",IF(B216=1710,"1700","X")))))</f>
        <v>1100</v>
      </c>
      <c r="F216" s="1" t="s">
        <v>447</v>
      </c>
      <c r="G216" s="1" t="s">
        <v>302</v>
      </c>
      <c r="H216" s="1">
        <f>ROUND(P216/(1-((R216+S216))/100)*Q216, 3)</f>
        <v>37.256</v>
      </c>
      <c r="I216" s="1">
        <v>0.45</v>
      </c>
      <c r="J216" s="1">
        <v>4</v>
      </c>
      <c r="K216" s="1">
        <v>1</v>
      </c>
      <c r="L216" s="1" t="s">
        <v>292</v>
      </c>
      <c r="M216" s="1">
        <v>1</v>
      </c>
      <c r="N216" s="1">
        <v>0.75299199999999999</v>
      </c>
      <c r="O216" s="1" t="s">
        <v>296</v>
      </c>
      <c r="P216" s="1">
        <v>31.202000000000002</v>
      </c>
      <c r="Q216" s="1">
        <v>1</v>
      </c>
      <c r="R216" s="1">
        <v>7</v>
      </c>
      <c r="S216" s="1">
        <v>9.25</v>
      </c>
      <c r="T216" s="1">
        <v>0</v>
      </c>
      <c r="V216" s="1" t="s">
        <v>11223</v>
      </c>
      <c r="W216" s="1">
        <v>100</v>
      </c>
      <c r="X216" s="1" t="s">
        <v>319</v>
      </c>
      <c r="Y216" s="1" t="s">
        <v>299</v>
      </c>
      <c r="Z216" s="1">
        <v>1</v>
      </c>
      <c r="AA216" s="1">
        <f>ROUND(H216*I216*Z216, 3)</f>
        <v>16.765000000000001</v>
      </c>
      <c r="AB216" s="1">
        <f>ROUND(VLOOKUP(X216,'Base de dados'!A:B, 2, 0)*AA216, 2)</f>
        <v>1.68</v>
      </c>
      <c r="AC216" s="1">
        <f>ROUND((AA216*(Destino!AG216/100))*(W216/100),2)</f>
        <v>1.17</v>
      </c>
      <c r="AD216" s="1">
        <f>ROUND(AA216*(Destino!AH216/100),2)</f>
        <v>1.55</v>
      </c>
      <c r="AE216" s="1">
        <f>ROUND((((AA216+AB216)*1.5039)*(Destino!AI216/100))-AC216,2)</f>
        <v>3.55</v>
      </c>
      <c r="AF216" s="1">
        <f>ROUND((AA216+AB216+AE216)*(J216/100),2)</f>
        <v>0.88</v>
      </c>
      <c r="AG216" s="1">
        <f>ROUND(AA216*T216,2)</f>
        <v>0</v>
      </c>
      <c r="AH216" s="1">
        <f>ROUND(AA216-AD216+AE216+AF216+AG216, 3)</f>
        <v>19.645</v>
      </c>
      <c r="AI216" s="1">
        <f>AH216*M216*K216</f>
        <v>19.645</v>
      </c>
      <c r="BA216" s="1" t="s">
        <v>11593</v>
      </c>
      <c r="BB216" s="1">
        <f>AI216</f>
        <v>19.645</v>
      </c>
      <c r="BD216" s="1">
        <f>N216</f>
        <v>0.75299199999999999</v>
      </c>
    </row>
    <row r="217" spans="1:56" x14ac:dyDescent="0.25">
      <c r="A217" s="1">
        <v>600001133</v>
      </c>
      <c r="B217" s="1">
        <v>1400</v>
      </c>
      <c r="C217" s="1">
        <v>2200001473</v>
      </c>
      <c r="D217" s="1" t="s">
        <v>303</v>
      </c>
      <c r="E217" s="1">
        <f>IF(AND(B217&lt;&gt;1110,B217&lt;&gt;1210,B217&lt;&gt;1510,B217&lt;&gt;1710),B217,IF(B217=1110,"1100",IF(B217=1210,"1200",IF(B217=1510,"1500",IF(B217=1710,"1700","X")))))</f>
        <v>1400</v>
      </c>
      <c r="F217" s="1" t="s">
        <v>11198</v>
      </c>
      <c r="G217" s="1" t="s">
        <v>302</v>
      </c>
      <c r="H217" s="1">
        <f>ROUND(P217/(1-((R217+S217))/100)*Q217, 3)</f>
        <v>42.889000000000003</v>
      </c>
      <c r="I217" s="1">
        <v>0.45</v>
      </c>
      <c r="J217" s="1">
        <v>1.5</v>
      </c>
      <c r="K217" s="1">
        <v>1</v>
      </c>
      <c r="L217" s="1" t="s">
        <v>292</v>
      </c>
      <c r="M217" s="1">
        <v>1</v>
      </c>
      <c r="N217" s="1">
        <v>1</v>
      </c>
      <c r="O217" s="1" t="s">
        <v>296</v>
      </c>
      <c r="P217" s="1">
        <v>31.202000000000002</v>
      </c>
      <c r="Q217" s="1">
        <v>1</v>
      </c>
      <c r="R217" s="1">
        <v>18</v>
      </c>
      <c r="S217" s="1">
        <v>9.25</v>
      </c>
      <c r="T217" s="1">
        <v>0</v>
      </c>
      <c r="V217" s="1" t="s">
        <v>11223</v>
      </c>
      <c r="W217" s="1">
        <v>100</v>
      </c>
      <c r="X217" s="1" t="s">
        <v>319</v>
      </c>
      <c r="Y217" s="1" t="s">
        <v>299</v>
      </c>
      <c r="Z217" s="1">
        <v>1</v>
      </c>
      <c r="AA217" s="1">
        <f>ROUND(H217*I217*Z217, 3)</f>
        <v>19.3</v>
      </c>
      <c r="AB217" s="1">
        <f>ROUND(VLOOKUP(X217,'Base de dados'!A:B, 2, 0)*AA217, 2)</f>
        <v>1.93</v>
      </c>
      <c r="AC217" s="1">
        <f>ROUND((AA217*(Destino!AG217/100))*(W217/100),2)</f>
        <v>3.47</v>
      </c>
      <c r="AD217" s="1">
        <f>ROUND(AA217*(Destino!AH217/100),2)</f>
        <v>1.79</v>
      </c>
      <c r="AF217" s="1">
        <f>ROUND((AA217+ AB217)*(J217/100),2)</f>
        <v>0.32</v>
      </c>
      <c r="AG217" s="1">
        <f>ROUND(AA217*T217,2)</f>
        <v>0</v>
      </c>
      <c r="AH217" s="1">
        <f>ROUND(AA217-(AC217+AD217)+AF217+AG217, 3)</f>
        <v>14.36</v>
      </c>
      <c r="AI217" s="1">
        <f>AH217*M217*K217</f>
        <v>14.36</v>
      </c>
      <c r="BA217" s="1" t="s">
        <v>11392</v>
      </c>
      <c r="BB217" s="1">
        <f>AI217</f>
        <v>14.36</v>
      </c>
      <c r="BD217" s="1">
        <f>N217</f>
        <v>1</v>
      </c>
    </row>
    <row r="218" spans="1:56" x14ac:dyDescent="0.25">
      <c r="A218" s="1">
        <v>600001133</v>
      </c>
      <c r="B218" s="1">
        <v>1700</v>
      </c>
      <c r="C218" s="1">
        <v>2200001421</v>
      </c>
      <c r="D218" s="1" t="s">
        <v>303</v>
      </c>
      <c r="E218" s="1">
        <f>IF(AND(B218&lt;&gt;1110,B218&lt;&gt;1210,B218&lt;&gt;1510,B218&lt;&gt;1710),B218,IF(B218=1110,"1100",IF(B218=1210,"1200",IF(B218=1510,"1500",IF(B218=1710,"1700","X")))))</f>
        <v>1700</v>
      </c>
      <c r="F218" s="1" t="s">
        <v>11238</v>
      </c>
      <c r="G218" s="1" t="s">
        <v>302</v>
      </c>
      <c r="H218" s="1">
        <f>ROUND(P218/(1-((R218+S218))/100)*Q218, 3)</f>
        <v>17.146000000000001</v>
      </c>
      <c r="I218" s="1">
        <v>0.25</v>
      </c>
      <c r="J218" s="1">
        <v>3</v>
      </c>
      <c r="K218" s="1">
        <v>1</v>
      </c>
      <c r="L218" s="1" t="s">
        <v>292</v>
      </c>
      <c r="M218" s="1">
        <v>4</v>
      </c>
      <c r="N218" s="1">
        <v>1</v>
      </c>
      <c r="O218" s="1" t="s">
        <v>296</v>
      </c>
      <c r="P218" s="1">
        <f>IFERROR(VLOOKUP(BC218, BA:BA:BB:BB, 2, 0),)</f>
        <v>14.36</v>
      </c>
      <c r="Q218" s="1">
        <f>IFERROR(VLOOKUP(BC218, BA:BA:BD:BD, 4, 0),1)</f>
        <v>1</v>
      </c>
      <c r="R218" s="1">
        <v>7</v>
      </c>
      <c r="S218" s="1">
        <v>9.25</v>
      </c>
      <c r="T218" s="1">
        <v>0</v>
      </c>
      <c r="V218" s="1" t="s">
        <v>11223</v>
      </c>
      <c r="W218" s="1">
        <v>100</v>
      </c>
      <c r="X218" s="1" t="s">
        <v>319</v>
      </c>
      <c r="Y218" s="1" t="s">
        <v>299</v>
      </c>
      <c r="Z218" s="1">
        <v>1</v>
      </c>
      <c r="AA218" s="1">
        <f>ROUND(H218*I218*Z218, 3)</f>
        <v>4.2869999999999999</v>
      </c>
      <c r="AB218" s="1">
        <f>ROUND(VLOOKUP(X218,'Base de dados'!A:B, 2, 0)*AA218, 2)</f>
        <v>0.43</v>
      </c>
      <c r="AC218" s="1">
        <f>ROUND((AA218*(Destino!AG218/100))*(W218/100),2)</f>
        <v>0.3</v>
      </c>
      <c r="AD218" s="1">
        <f>ROUND(AA218*(Destino!AH218/100),2)</f>
        <v>0</v>
      </c>
      <c r="AE218" s="1">
        <f>ROUND((((AA218+AB218)*1.48)*(Destino!AI218/100))-AC218,2)</f>
        <v>0.89</v>
      </c>
      <c r="AF218" s="1">
        <f>ROUND((AA218+AB218+AE218)*(J218/100),2)</f>
        <v>0.17</v>
      </c>
      <c r="AG218" s="1">
        <f>ROUND(AA218*T218,2)</f>
        <v>0</v>
      </c>
      <c r="AH218" s="1">
        <f>ROUND(AA218+AB218-AD218+AE218+AF218+AG218, 3)</f>
        <v>5.7770000000000001</v>
      </c>
      <c r="AI218" s="1">
        <f>AH218*M218*K218</f>
        <v>23.108000000000001</v>
      </c>
      <c r="BA218" s="1" t="s">
        <v>11289</v>
      </c>
      <c r="BB218" s="1">
        <f>AI218</f>
        <v>23.108000000000001</v>
      </c>
      <c r="BC218" s="1" t="s">
        <v>11392</v>
      </c>
      <c r="BD218" s="1">
        <f>N218</f>
        <v>1</v>
      </c>
    </row>
    <row r="219" spans="1:56" x14ac:dyDescent="0.25">
      <c r="A219" s="1">
        <v>600001134</v>
      </c>
      <c r="B219" s="1">
        <v>1000</v>
      </c>
      <c r="C219" s="1">
        <v>2200001473</v>
      </c>
      <c r="D219" s="1" t="s">
        <v>303</v>
      </c>
      <c r="E219" s="1">
        <f>IF(AND(B219&lt;&gt;1110,B219&lt;&gt;1210,B219&lt;&gt;1510,B219&lt;&gt;1710),B219,IF(B219=1110,"1100",IF(B219=1210,"1200",IF(B219=1510,"1500",IF(B219=1710,"1700","X")))))</f>
        <v>1000</v>
      </c>
      <c r="F219" s="1" t="s">
        <v>11198</v>
      </c>
      <c r="G219" s="1" t="s">
        <v>302</v>
      </c>
      <c r="H219" s="1">
        <f>ROUND(P219/(1-((R219+S219))/100)*Q219, 3)</f>
        <v>38.790999999999997</v>
      </c>
      <c r="I219" s="1">
        <v>0.45</v>
      </c>
      <c r="J219" s="1">
        <v>1.5</v>
      </c>
      <c r="K219" s="1">
        <v>1</v>
      </c>
      <c r="L219" s="1" t="s">
        <v>292</v>
      </c>
      <c r="M219" s="1">
        <v>1</v>
      </c>
      <c r="N219" s="1">
        <v>1</v>
      </c>
      <c r="O219" s="1" t="s">
        <v>296</v>
      </c>
      <c r="P219" s="1">
        <v>30.547999999999998</v>
      </c>
      <c r="Q219" s="1">
        <v>1</v>
      </c>
      <c r="R219" s="1">
        <v>12</v>
      </c>
      <c r="S219" s="1">
        <v>9.25</v>
      </c>
      <c r="T219" s="1">
        <v>0</v>
      </c>
      <c r="V219" s="1" t="s">
        <v>11223</v>
      </c>
      <c r="W219" s="1">
        <v>100</v>
      </c>
      <c r="X219" s="1" t="s">
        <v>319</v>
      </c>
      <c r="Y219" s="1" t="s">
        <v>299</v>
      </c>
      <c r="Z219" s="1">
        <v>1</v>
      </c>
      <c r="AA219" s="1">
        <f>ROUND(H219*I219*Z219, 3)</f>
        <v>17.456</v>
      </c>
      <c r="AB219" s="1">
        <f>ROUND(VLOOKUP(X219,'Base de dados'!A:B, 2, 0)*AA219, 2)</f>
        <v>1.75</v>
      </c>
      <c r="AC219" s="1">
        <f>ROUND((AA219*(Destino!AG219/100))*(W219/100),2)</f>
        <v>2.09</v>
      </c>
      <c r="AD219" s="1">
        <f>ROUND(AA219*(Destino!AH219/100),2)</f>
        <v>1.61</v>
      </c>
      <c r="AF219" s="1">
        <f>ROUND((AA219+ AB219)*(J219/100),2)</f>
        <v>0.28999999999999998</v>
      </c>
      <c r="AG219" s="1">
        <f>ROUND(AA219*T219,2)</f>
        <v>0</v>
      </c>
      <c r="AH219" s="1">
        <f>ROUND(AA219-(AC219+AD219)+AF219+AG219, 3)</f>
        <v>14.045999999999999</v>
      </c>
      <c r="AI219" s="1">
        <f>AH219*M219*K219</f>
        <v>14.045999999999999</v>
      </c>
      <c r="BA219" s="1" t="s">
        <v>11594</v>
      </c>
      <c r="BB219" s="1">
        <f>AI219</f>
        <v>14.045999999999999</v>
      </c>
      <c r="BD219" s="1">
        <f>N219</f>
        <v>1</v>
      </c>
    </row>
    <row r="220" spans="1:56" x14ac:dyDescent="0.25">
      <c r="A220" s="1">
        <v>600001134</v>
      </c>
      <c r="B220" s="1">
        <v>1100</v>
      </c>
      <c r="C220" s="1">
        <v>2200001473</v>
      </c>
      <c r="D220" s="1" t="s">
        <v>303</v>
      </c>
      <c r="E220" s="1">
        <f>IF(AND(B220&lt;&gt;1110,B220&lt;&gt;1210,B220&lt;&gt;1510,B220&lt;&gt;1710),B220,IF(B220=1110,"1100",IF(B220=1210,"1200",IF(B220=1510,"1500",IF(B220=1710,"1700","X")))))</f>
        <v>1100</v>
      </c>
      <c r="F220" s="1" t="s">
        <v>11198</v>
      </c>
      <c r="G220" s="1" t="s">
        <v>302</v>
      </c>
      <c r="H220" s="1">
        <f>ROUND(P220/(1-((R220+S220))/100)*Q220, 3)</f>
        <v>36.475000000000001</v>
      </c>
      <c r="I220" s="1">
        <v>0.45</v>
      </c>
      <c r="J220" s="1">
        <v>2</v>
      </c>
      <c r="K220" s="1">
        <v>1</v>
      </c>
      <c r="L220" s="1" t="s">
        <v>292</v>
      </c>
      <c r="M220" s="1">
        <v>1</v>
      </c>
      <c r="N220" s="1">
        <v>1</v>
      </c>
      <c r="O220" s="1" t="s">
        <v>296</v>
      </c>
      <c r="P220" s="1">
        <v>30.547999999999998</v>
      </c>
      <c r="Q220" s="1">
        <v>1</v>
      </c>
      <c r="R220" s="1">
        <v>7</v>
      </c>
      <c r="S220" s="1">
        <v>9.25</v>
      </c>
      <c r="T220" s="1">
        <v>0</v>
      </c>
      <c r="V220" s="1" t="s">
        <v>11223</v>
      </c>
      <c r="W220" s="1">
        <v>100</v>
      </c>
      <c r="X220" s="1" t="s">
        <v>319</v>
      </c>
      <c r="Y220" s="1" t="s">
        <v>299</v>
      </c>
      <c r="Z220" s="1">
        <v>1</v>
      </c>
      <c r="AA220" s="1">
        <f>ROUND(H220*I220*Z220, 3)</f>
        <v>16.414000000000001</v>
      </c>
      <c r="AB220" s="1">
        <f>ROUND(VLOOKUP(X220,'Base de dados'!A:B, 2, 0)*AA220, 2)</f>
        <v>1.64</v>
      </c>
      <c r="AC220" s="1">
        <f>ROUND((AA220*(Destino!AG220/100))*(W220/100),2)</f>
        <v>1.1499999999999999</v>
      </c>
      <c r="AD220" s="1">
        <f>ROUND(AA220*(Destino!AH220/100),2)</f>
        <v>1.52</v>
      </c>
      <c r="AF220" s="1">
        <f>ROUND((AA220+ AB220)*(J220/100),2)</f>
        <v>0.36</v>
      </c>
      <c r="AG220" s="1">
        <f>ROUND(AA220*T220,2)</f>
        <v>0</v>
      </c>
      <c r="AH220" s="1">
        <f>ROUND(AA220-(AC220+AD220)+AF220+AG220, 3)</f>
        <v>14.103999999999999</v>
      </c>
      <c r="AI220" s="1">
        <f>AH220*M220*K220</f>
        <v>14.103999999999999</v>
      </c>
      <c r="BA220" s="1" t="s">
        <v>11595</v>
      </c>
      <c r="BB220" s="1">
        <f>AI220</f>
        <v>14.103999999999999</v>
      </c>
      <c r="BD220" s="1">
        <f>N220</f>
        <v>1</v>
      </c>
    </row>
    <row r="221" spans="1:56" x14ac:dyDescent="0.25">
      <c r="A221" s="1">
        <v>600001134</v>
      </c>
      <c r="B221" s="1">
        <v>1110</v>
      </c>
      <c r="C221" s="1">
        <v>2200001473</v>
      </c>
      <c r="D221" s="1" t="s">
        <v>303</v>
      </c>
      <c r="E221" s="1" t="str">
        <f>IF(AND(B221&lt;&gt;1110,B221&lt;&gt;1210,B221&lt;&gt;1510,B221&lt;&gt;1710),B221,IF(B221=1110,"1100",IF(B221=1210,"1200",IF(B221=1510,"1500",IF(B221=1710,"1700","X")))))</f>
        <v>1100</v>
      </c>
      <c r="F221" s="1" t="s">
        <v>447</v>
      </c>
      <c r="G221" s="1" t="s">
        <v>302</v>
      </c>
      <c r="H221" s="1">
        <f>ROUND(P221/(1-((R221+S221))/100)*Q221, 3)</f>
        <v>36.475000000000001</v>
      </c>
      <c r="I221" s="1">
        <v>0.45</v>
      </c>
      <c r="J221" s="1">
        <v>4</v>
      </c>
      <c r="K221" s="1">
        <v>1</v>
      </c>
      <c r="L221" s="1" t="s">
        <v>292</v>
      </c>
      <c r="M221" s="1">
        <v>1</v>
      </c>
      <c r="N221" s="1">
        <v>0.75239299999999998</v>
      </c>
      <c r="O221" s="1" t="s">
        <v>296</v>
      </c>
      <c r="P221" s="1">
        <v>30.547999999999998</v>
      </c>
      <c r="Q221" s="1">
        <v>1</v>
      </c>
      <c r="R221" s="1">
        <v>7</v>
      </c>
      <c r="S221" s="1">
        <v>9.25</v>
      </c>
      <c r="T221" s="1">
        <v>0</v>
      </c>
      <c r="V221" s="1" t="s">
        <v>11223</v>
      </c>
      <c r="W221" s="1">
        <v>100</v>
      </c>
      <c r="X221" s="1" t="s">
        <v>319</v>
      </c>
      <c r="Y221" s="1" t="s">
        <v>299</v>
      </c>
      <c r="Z221" s="1">
        <v>1</v>
      </c>
      <c r="AA221" s="1">
        <f>ROUND(H221*I221*Z221, 3)</f>
        <v>16.414000000000001</v>
      </c>
      <c r="AB221" s="1">
        <f>ROUND(VLOOKUP(X221,'Base de dados'!A:B, 2, 0)*AA221, 2)</f>
        <v>1.64</v>
      </c>
      <c r="AC221" s="1">
        <f>ROUND((AA221*(Destino!AG221/100))*(W221/100),2)</f>
        <v>1.1499999999999999</v>
      </c>
      <c r="AD221" s="1">
        <f>ROUND(AA221*(Destino!AH221/100),2)</f>
        <v>1.52</v>
      </c>
      <c r="AE221" s="1">
        <f>ROUND((((AA221+AB221)*1.5039)*(Destino!AI221/100))-AC221,2)</f>
        <v>3.47</v>
      </c>
      <c r="AF221" s="1">
        <f>ROUND((AA221+AB221+AE221)*(J221/100),2)</f>
        <v>0.86</v>
      </c>
      <c r="AG221" s="1">
        <f>ROUND(AA221*T221,2)</f>
        <v>0</v>
      </c>
      <c r="AH221" s="1">
        <f>ROUND(AA221-AD221+AE221+AF221+AG221, 3)</f>
        <v>19.224</v>
      </c>
      <c r="AI221" s="1">
        <f>AH221*M221*K221</f>
        <v>19.224</v>
      </c>
      <c r="BA221" s="1" t="s">
        <v>11596</v>
      </c>
      <c r="BB221" s="1">
        <f>AI221</f>
        <v>19.224</v>
      </c>
      <c r="BD221" s="1">
        <f>N221</f>
        <v>0.75239299999999998</v>
      </c>
    </row>
    <row r="222" spans="1:56" x14ac:dyDescent="0.25">
      <c r="A222" s="1">
        <v>600001134</v>
      </c>
      <c r="B222" s="1">
        <v>1400</v>
      </c>
      <c r="C222" s="1">
        <v>2200001473</v>
      </c>
      <c r="D222" s="1" t="s">
        <v>303</v>
      </c>
      <c r="E222" s="1">
        <f>IF(AND(B222&lt;&gt;1110,B222&lt;&gt;1210,B222&lt;&gt;1510,B222&lt;&gt;1710),B222,IF(B222=1110,"1100",IF(B222=1210,"1200",IF(B222=1510,"1500",IF(B222=1710,"1700","X")))))</f>
        <v>1400</v>
      </c>
      <c r="F222" s="1" t="s">
        <v>11198</v>
      </c>
      <c r="G222" s="1" t="s">
        <v>302</v>
      </c>
      <c r="H222" s="1">
        <f>ROUND(P222/(1-((R222+S222))/100)*Q222, 3)</f>
        <v>41.99</v>
      </c>
      <c r="I222" s="1">
        <v>0.45</v>
      </c>
      <c r="J222" s="1">
        <v>1.5</v>
      </c>
      <c r="K222" s="1">
        <v>1</v>
      </c>
      <c r="L222" s="1" t="s">
        <v>292</v>
      </c>
      <c r="M222" s="1">
        <v>1</v>
      </c>
      <c r="N222" s="1">
        <v>1</v>
      </c>
      <c r="O222" s="1" t="s">
        <v>296</v>
      </c>
      <c r="P222" s="1">
        <v>30.547999999999998</v>
      </c>
      <c r="Q222" s="1">
        <v>1</v>
      </c>
      <c r="R222" s="1">
        <v>18</v>
      </c>
      <c r="S222" s="1">
        <v>9.25</v>
      </c>
      <c r="T222" s="1">
        <v>0</v>
      </c>
      <c r="V222" s="1" t="s">
        <v>11223</v>
      </c>
      <c r="W222" s="1">
        <v>100</v>
      </c>
      <c r="X222" s="1" t="s">
        <v>319</v>
      </c>
      <c r="Y222" s="1" t="s">
        <v>299</v>
      </c>
      <c r="Z222" s="1">
        <v>1</v>
      </c>
      <c r="AA222" s="1">
        <f>ROUND(H222*I222*Z222, 3)</f>
        <v>18.896000000000001</v>
      </c>
      <c r="AB222" s="1">
        <f>ROUND(VLOOKUP(X222,'Base de dados'!A:B, 2, 0)*AA222, 2)</f>
        <v>1.89</v>
      </c>
      <c r="AC222" s="1">
        <f>ROUND((AA222*(Destino!AG222/100))*(W222/100),2)</f>
        <v>3.4</v>
      </c>
      <c r="AD222" s="1">
        <f>ROUND(AA222*(Destino!AH222/100),2)</f>
        <v>1.75</v>
      </c>
      <c r="AF222" s="1">
        <f>ROUND((AA222+ AB222)*(J222/100),2)</f>
        <v>0.31</v>
      </c>
      <c r="AG222" s="1">
        <f>ROUND(AA222*T222,2)</f>
        <v>0</v>
      </c>
      <c r="AH222" s="1">
        <f>ROUND(AA222-(AC222+AD222)+AF222+AG222, 3)</f>
        <v>14.055999999999999</v>
      </c>
      <c r="AI222" s="1">
        <f>AH222*M222*K222</f>
        <v>14.055999999999999</v>
      </c>
      <c r="BA222" s="1" t="s">
        <v>11393</v>
      </c>
      <c r="BB222" s="1">
        <f>AI222</f>
        <v>14.055999999999999</v>
      </c>
      <c r="BD222" s="1">
        <f>N222</f>
        <v>1</v>
      </c>
    </row>
    <row r="223" spans="1:56" x14ac:dyDescent="0.25">
      <c r="A223" s="1">
        <v>600001134</v>
      </c>
      <c r="B223" s="1">
        <v>1700</v>
      </c>
      <c r="C223" s="1">
        <v>2200001421</v>
      </c>
      <c r="D223" s="1" t="s">
        <v>303</v>
      </c>
      <c r="E223" s="1">
        <f>IF(AND(B223&lt;&gt;1110,B223&lt;&gt;1210,B223&lt;&gt;1510,B223&lt;&gt;1710),B223,IF(B223=1110,"1100",IF(B223=1210,"1200",IF(B223=1510,"1500",IF(B223=1710,"1700","X")))))</f>
        <v>1700</v>
      </c>
      <c r="F223" s="1" t="s">
        <v>11238</v>
      </c>
      <c r="G223" s="1" t="s">
        <v>302</v>
      </c>
      <c r="H223" s="1">
        <f>ROUND(P223/(1-((R223+S223))/100)*Q223, 3)</f>
        <v>16.783000000000001</v>
      </c>
      <c r="I223" s="1">
        <v>0.25</v>
      </c>
      <c r="J223" s="1">
        <v>3</v>
      </c>
      <c r="K223" s="1">
        <v>1</v>
      </c>
      <c r="L223" s="1" t="s">
        <v>292</v>
      </c>
      <c r="M223" s="1">
        <v>4</v>
      </c>
      <c r="N223" s="1">
        <v>1</v>
      </c>
      <c r="O223" s="1" t="s">
        <v>296</v>
      </c>
      <c r="P223" s="1">
        <f>IFERROR(VLOOKUP(BC223, BA:BA:BB:BB, 2, 0),)</f>
        <v>14.055999999999999</v>
      </c>
      <c r="Q223" s="1">
        <f>IFERROR(VLOOKUP(BC223, BA:BA:BD:BD, 4, 0),1)</f>
        <v>1</v>
      </c>
      <c r="R223" s="1">
        <v>7</v>
      </c>
      <c r="S223" s="1">
        <v>9.25</v>
      </c>
      <c r="T223" s="1">
        <v>0</v>
      </c>
      <c r="V223" s="1" t="s">
        <v>11223</v>
      </c>
      <c r="W223" s="1">
        <v>100</v>
      </c>
      <c r="X223" s="1" t="s">
        <v>319</v>
      </c>
      <c r="Y223" s="1" t="s">
        <v>299</v>
      </c>
      <c r="Z223" s="1">
        <v>1</v>
      </c>
      <c r="AA223" s="1">
        <f>ROUND(H223*I223*Z223, 3)</f>
        <v>4.1959999999999997</v>
      </c>
      <c r="AB223" s="1">
        <f>ROUND(VLOOKUP(X223,'Base de dados'!A:B, 2, 0)*AA223, 2)</f>
        <v>0.42</v>
      </c>
      <c r="AC223" s="1">
        <f>ROUND((AA223*(Destino!AG223/100))*(W223/100),2)</f>
        <v>0.28999999999999998</v>
      </c>
      <c r="AD223" s="1">
        <f>ROUND(AA223*(Destino!AH223/100),2)</f>
        <v>0</v>
      </c>
      <c r="AE223" s="1">
        <f>ROUND((((AA223+AB223)*1.48)*(Destino!AI223/100))-AC223,2)</f>
        <v>0.87</v>
      </c>
      <c r="AF223" s="1">
        <f>ROUND((AA223+AB223+AE223)*(J223/100),2)</f>
        <v>0.16</v>
      </c>
      <c r="AG223" s="1">
        <f>ROUND(AA223*T223,2)</f>
        <v>0</v>
      </c>
      <c r="AH223" s="1">
        <f>ROUND(AA223+AB223-AD223+AE223+AF223+AG223, 3)</f>
        <v>5.6459999999999999</v>
      </c>
      <c r="AI223" s="1">
        <f>AH223*M223*K223</f>
        <v>22.584</v>
      </c>
      <c r="BA223" s="1" t="s">
        <v>11290</v>
      </c>
      <c r="BB223" s="1">
        <f>AI223</f>
        <v>22.584</v>
      </c>
      <c r="BC223" s="1" t="s">
        <v>11393</v>
      </c>
      <c r="BD223" s="1">
        <f>N223</f>
        <v>1</v>
      </c>
    </row>
    <row r="224" spans="1:56" x14ac:dyDescent="0.25">
      <c r="A224" s="1">
        <v>600001135</v>
      </c>
      <c r="B224" s="1">
        <v>1000</v>
      </c>
      <c r="C224" s="1">
        <v>2200001473</v>
      </c>
      <c r="D224" s="1" t="s">
        <v>303</v>
      </c>
      <c r="E224" s="1">
        <f>IF(AND(B224&lt;&gt;1110,B224&lt;&gt;1210,B224&lt;&gt;1510,B224&lt;&gt;1710),B224,IF(B224=1110,"1100",IF(B224=1210,"1200",IF(B224=1510,"1500",IF(B224=1710,"1700","X")))))</f>
        <v>1000</v>
      </c>
      <c r="F224" s="1" t="s">
        <v>11198</v>
      </c>
      <c r="G224" s="1" t="s">
        <v>302</v>
      </c>
      <c r="H224" s="1">
        <f>ROUND(P224/(1-((R224+S224))/100)*Q224, 3)</f>
        <v>39.497999999999998</v>
      </c>
      <c r="I224" s="1">
        <v>0.45</v>
      </c>
      <c r="J224" s="1">
        <v>1.5</v>
      </c>
      <c r="K224" s="1">
        <v>1</v>
      </c>
      <c r="L224" s="1" t="s">
        <v>292</v>
      </c>
      <c r="M224" s="1">
        <v>1</v>
      </c>
      <c r="N224" s="1">
        <v>1</v>
      </c>
      <c r="O224" s="1" t="s">
        <v>296</v>
      </c>
      <c r="P224" s="1">
        <v>31.105</v>
      </c>
      <c r="Q224" s="1">
        <v>1</v>
      </c>
      <c r="R224" s="1">
        <v>12</v>
      </c>
      <c r="S224" s="1">
        <v>9.25</v>
      </c>
      <c r="T224" s="1">
        <v>0</v>
      </c>
      <c r="V224" s="1" t="s">
        <v>11223</v>
      </c>
      <c r="W224" s="1">
        <v>100</v>
      </c>
      <c r="X224" s="1" t="s">
        <v>319</v>
      </c>
      <c r="Y224" s="1" t="s">
        <v>299</v>
      </c>
      <c r="Z224" s="1">
        <v>1</v>
      </c>
      <c r="AA224" s="1">
        <f>ROUND(H224*I224*Z224, 3)</f>
        <v>17.774000000000001</v>
      </c>
      <c r="AB224" s="1">
        <f>ROUND(VLOOKUP(X224,'Base de dados'!A:B, 2, 0)*AA224, 2)</f>
        <v>1.78</v>
      </c>
      <c r="AC224" s="1">
        <f>ROUND((AA224*(Destino!AG224/100))*(W224/100),2)</f>
        <v>2.13</v>
      </c>
      <c r="AD224" s="1">
        <f>ROUND(AA224*(Destino!AH224/100),2)</f>
        <v>1.64</v>
      </c>
      <c r="AF224" s="1">
        <f>ROUND((AA224+ AB224)*(J224/100),2)</f>
        <v>0.28999999999999998</v>
      </c>
      <c r="AG224" s="1">
        <f>ROUND(AA224*T224,2)</f>
        <v>0</v>
      </c>
      <c r="AH224" s="1">
        <f>ROUND(AA224-(AC224+AD224)+AF224+AG224, 3)</f>
        <v>14.294</v>
      </c>
      <c r="AI224" s="1">
        <f>AH224*M224*K224</f>
        <v>14.294</v>
      </c>
      <c r="BA224" s="1" t="s">
        <v>11597</v>
      </c>
      <c r="BB224" s="1">
        <f>AI224</f>
        <v>14.294</v>
      </c>
      <c r="BD224" s="1">
        <f>N224</f>
        <v>1</v>
      </c>
    </row>
    <row r="225" spans="1:56" x14ac:dyDescent="0.25">
      <c r="A225" s="1">
        <v>600001135</v>
      </c>
      <c r="B225" s="1">
        <v>1100</v>
      </c>
      <c r="C225" s="1">
        <v>2200001473</v>
      </c>
      <c r="D225" s="1" t="s">
        <v>303</v>
      </c>
      <c r="E225" s="1">
        <f>IF(AND(B225&lt;&gt;1110,B225&lt;&gt;1210,B225&lt;&gt;1510,B225&lt;&gt;1710),B225,IF(B225=1110,"1100",IF(B225=1210,"1200",IF(B225=1510,"1500",IF(B225=1710,"1700","X")))))</f>
        <v>1100</v>
      </c>
      <c r="F225" s="1" t="s">
        <v>11198</v>
      </c>
      <c r="G225" s="1" t="s">
        <v>302</v>
      </c>
      <c r="H225" s="1">
        <f>ROUND(P225/(1-((R225+S225))/100)*Q225, 3)</f>
        <v>37.143999999999998</v>
      </c>
      <c r="I225" s="1">
        <v>0.45</v>
      </c>
      <c r="J225" s="1">
        <v>2</v>
      </c>
      <c r="K225" s="1">
        <v>1</v>
      </c>
      <c r="L225" s="1" t="s">
        <v>292</v>
      </c>
      <c r="M225" s="1">
        <v>1</v>
      </c>
      <c r="N225" s="1">
        <v>1</v>
      </c>
      <c r="O225" s="1" t="s">
        <v>296</v>
      </c>
      <c r="P225" s="1">
        <v>31.108000000000001</v>
      </c>
      <c r="Q225" s="1">
        <v>1</v>
      </c>
      <c r="R225" s="1">
        <v>7</v>
      </c>
      <c r="S225" s="1">
        <v>9.25</v>
      </c>
      <c r="T225" s="1">
        <v>0</v>
      </c>
      <c r="V225" s="1" t="s">
        <v>11223</v>
      </c>
      <c r="W225" s="1">
        <v>100</v>
      </c>
      <c r="X225" s="1" t="s">
        <v>319</v>
      </c>
      <c r="Y225" s="1" t="s">
        <v>299</v>
      </c>
      <c r="Z225" s="1">
        <v>1</v>
      </c>
      <c r="AA225" s="1">
        <f>ROUND(H225*I225*Z225, 3)</f>
        <v>16.715</v>
      </c>
      <c r="AB225" s="1">
        <f>ROUND(VLOOKUP(X225,'Base de dados'!A:B, 2, 0)*AA225, 2)</f>
        <v>1.67</v>
      </c>
      <c r="AC225" s="1">
        <f>ROUND((AA225*(Destino!AG225/100))*(W225/100),2)</f>
        <v>1.17</v>
      </c>
      <c r="AD225" s="1">
        <f>ROUND(AA225*(Destino!AH225/100),2)</f>
        <v>1.55</v>
      </c>
      <c r="AF225" s="1">
        <f>ROUND((AA225+ AB225)*(J225/100),2)</f>
        <v>0.37</v>
      </c>
      <c r="AG225" s="1">
        <f>ROUND(AA225*T225,2)</f>
        <v>0</v>
      </c>
      <c r="AH225" s="1">
        <f>ROUND(AA225-(AC225+AD225)+AF225+AG225, 3)</f>
        <v>14.365</v>
      </c>
      <c r="AI225" s="1">
        <f>AH225*M225*K225</f>
        <v>14.365</v>
      </c>
      <c r="BA225" s="1" t="s">
        <v>11598</v>
      </c>
      <c r="BB225" s="1">
        <f>AI225</f>
        <v>14.365</v>
      </c>
      <c r="BD225" s="1">
        <f>N225</f>
        <v>1</v>
      </c>
    </row>
    <row r="226" spans="1:56" x14ac:dyDescent="0.25">
      <c r="A226" s="1">
        <v>600001135</v>
      </c>
      <c r="B226" s="1">
        <v>1110</v>
      </c>
      <c r="C226" s="1">
        <v>2200001473</v>
      </c>
      <c r="D226" s="1" t="s">
        <v>303</v>
      </c>
      <c r="E226" s="1" t="str">
        <f>IF(AND(B226&lt;&gt;1110,B226&lt;&gt;1210,B226&lt;&gt;1510,B226&lt;&gt;1710),B226,IF(B226=1110,"1100",IF(B226=1210,"1200",IF(B226=1510,"1500",IF(B226=1710,"1700","X")))))</f>
        <v>1100</v>
      </c>
      <c r="F226" s="1" t="s">
        <v>447</v>
      </c>
      <c r="G226" s="1" t="s">
        <v>302</v>
      </c>
      <c r="H226" s="1">
        <f>ROUND(P226/(1-((R226+S226))/100)*Q226, 3)</f>
        <v>37.143999999999998</v>
      </c>
      <c r="I226" s="1">
        <v>0.45</v>
      </c>
      <c r="J226" s="1">
        <v>4</v>
      </c>
      <c r="K226" s="1">
        <v>1</v>
      </c>
      <c r="L226" s="1" t="s">
        <v>292</v>
      </c>
      <c r="M226" s="1">
        <v>1</v>
      </c>
      <c r="N226" s="1">
        <v>0.75274600000000003</v>
      </c>
      <c r="O226" s="1" t="s">
        <v>296</v>
      </c>
      <c r="P226" s="1">
        <v>31.108000000000001</v>
      </c>
      <c r="Q226" s="1">
        <v>1</v>
      </c>
      <c r="R226" s="1">
        <v>7</v>
      </c>
      <c r="S226" s="1">
        <v>9.25</v>
      </c>
      <c r="T226" s="1">
        <v>0</v>
      </c>
      <c r="V226" s="1" t="s">
        <v>11223</v>
      </c>
      <c r="W226" s="1">
        <v>100</v>
      </c>
      <c r="X226" s="1" t="s">
        <v>319</v>
      </c>
      <c r="Y226" s="1" t="s">
        <v>299</v>
      </c>
      <c r="Z226" s="1">
        <v>1</v>
      </c>
      <c r="AA226" s="1">
        <f>ROUND(H226*I226*Z226, 3)</f>
        <v>16.715</v>
      </c>
      <c r="AB226" s="1">
        <f>ROUND(VLOOKUP(X226,'Base de dados'!A:B, 2, 0)*AA226, 2)</f>
        <v>1.67</v>
      </c>
      <c r="AC226" s="1">
        <f>ROUND((AA226*(Destino!AG226/100))*(W226/100),2)</f>
        <v>1.17</v>
      </c>
      <c r="AD226" s="1">
        <f>ROUND(AA226*(Destino!AH226/100),2)</f>
        <v>1.55</v>
      </c>
      <c r="AE226" s="1">
        <f>ROUND((((AA226+AB226)*1.5039)*(Destino!AI226/100))-AC226,2)</f>
        <v>3.53</v>
      </c>
      <c r="AF226" s="1">
        <f>ROUND((AA226+AB226+AE226)*(J226/100),2)</f>
        <v>0.88</v>
      </c>
      <c r="AG226" s="1">
        <f>ROUND(AA226*T226,2)</f>
        <v>0</v>
      </c>
      <c r="AH226" s="1">
        <f>ROUND(AA226-AD226+AE226+AF226+AG226, 3)</f>
        <v>19.574999999999999</v>
      </c>
      <c r="AI226" s="1">
        <f>AH226*M226*K226</f>
        <v>19.574999999999999</v>
      </c>
      <c r="BA226" s="1" t="s">
        <v>11599</v>
      </c>
      <c r="BB226" s="1">
        <f>AI226</f>
        <v>19.574999999999999</v>
      </c>
      <c r="BD226" s="1">
        <f>N226</f>
        <v>0.75274600000000003</v>
      </c>
    </row>
    <row r="227" spans="1:56" x14ac:dyDescent="0.25">
      <c r="A227" s="1">
        <v>600001135</v>
      </c>
      <c r="B227" s="1">
        <v>1400</v>
      </c>
      <c r="C227" s="1">
        <v>2200001473</v>
      </c>
      <c r="D227" s="1" t="s">
        <v>303</v>
      </c>
      <c r="E227" s="1">
        <f>IF(AND(B227&lt;&gt;1110,B227&lt;&gt;1210,B227&lt;&gt;1510,B227&lt;&gt;1710),B227,IF(B227=1110,"1100",IF(B227=1210,"1200",IF(B227=1510,"1500",IF(B227=1710,"1700","X")))))</f>
        <v>1400</v>
      </c>
      <c r="F227" s="1" t="s">
        <v>11198</v>
      </c>
      <c r="G227" s="1" t="s">
        <v>302</v>
      </c>
      <c r="H227" s="1">
        <f>ROUND(P227/(1-((R227+S227))/100)*Q227, 3)</f>
        <v>42.76</v>
      </c>
      <c r="I227" s="1">
        <v>0.45</v>
      </c>
      <c r="J227" s="1">
        <v>1.5</v>
      </c>
      <c r="K227" s="1">
        <v>1</v>
      </c>
      <c r="L227" s="1" t="s">
        <v>292</v>
      </c>
      <c r="M227" s="1">
        <v>1</v>
      </c>
      <c r="N227" s="1">
        <v>1</v>
      </c>
      <c r="O227" s="1" t="s">
        <v>296</v>
      </c>
      <c r="P227" s="1">
        <v>31.108000000000001</v>
      </c>
      <c r="Q227" s="1">
        <v>1</v>
      </c>
      <c r="R227" s="1">
        <v>18</v>
      </c>
      <c r="S227" s="1">
        <v>9.25</v>
      </c>
      <c r="T227" s="1">
        <v>0</v>
      </c>
      <c r="V227" s="1" t="s">
        <v>11223</v>
      </c>
      <c r="W227" s="1">
        <v>100</v>
      </c>
      <c r="X227" s="1" t="s">
        <v>319</v>
      </c>
      <c r="Y227" s="1" t="s">
        <v>299</v>
      </c>
      <c r="Z227" s="1">
        <v>1</v>
      </c>
      <c r="AA227" s="1">
        <f>ROUND(H227*I227*Z227, 3)</f>
        <v>19.242000000000001</v>
      </c>
      <c r="AB227" s="1">
        <f>ROUND(VLOOKUP(X227,'Base de dados'!A:B, 2, 0)*AA227, 2)</f>
        <v>1.92</v>
      </c>
      <c r="AC227" s="1">
        <f>ROUND((AA227*(Destino!AG227/100))*(W227/100),2)</f>
        <v>3.46</v>
      </c>
      <c r="AD227" s="1">
        <f>ROUND(AA227*(Destino!AH227/100),2)</f>
        <v>1.78</v>
      </c>
      <c r="AF227" s="1">
        <f>ROUND((AA227+ AB227)*(J227/100),2)</f>
        <v>0.32</v>
      </c>
      <c r="AG227" s="1">
        <f>ROUND(AA227*T227,2)</f>
        <v>0</v>
      </c>
      <c r="AH227" s="1">
        <f>ROUND(AA227-(AC227+AD227)+AF227+AG227, 3)</f>
        <v>14.321999999999999</v>
      </c>
      <c r="AI227" s="1">
        <f>AH227*M227*K227</f>
        <v>14.321999999999999</v>
      </c>
      <c r="BA227" s="1" t="s">
        <v>11394</v>
      </c>
      <c r="BB227" s="1">
        <f>AI227</f>
        <v>14.321999999999999</v>
      </c>
      <c r="BD227" s="1">
        <f>N227</f>
        <v>1</v>
      </c>
    </row>
    <row r="228" spans="1:56" x14ac:dyDescent="0.25">
      <c r="A228" s="1">
        <v>600001135</v>
      </c>
      <c r="B228" s="1">
        <v>1700</v>
      </c>
      <c r="C228" s="1">
        <v>2200001421</v>
      </c>
      <c r="D228" s="1" t="s">
        <v>303</v>
      </c>
      <c r="E228" s="1">
        <f>IF(AND(B228&lt;&gt;1110,B228&lt;&gt;1210,B228&lt;&gt;1510,B228&lt;&gt;1710),B228,IF(B228=1110,"1100",IF(B228=1210,"1200",IF(B228=1510,"1500",IF(B228=1710,"1700","X")))))</f>
        <v>1700</v>
      </c>
      <c r="F228" s="1" t="s">
        <v>11238</v>
      </c>
      <c r="G228" s="1" t="s">
        <v>302</v>
      </c>
      <c r="H228" s="1">
        <f>ROUND(P228/(1-((R228+S228))/100)*Q228, 3)</f>
        <v>17.100999999999999</v>
      </c>
      <c r="I228" s="1">
        <v>0.25</v>
      </c>
      <c r="J228" s="1">
        <v>3</v>
      </c>
      <c r="K228" s="1">
        <v>1</v>
      </c>
      <c r="L228" s="1" t="s">
        <v>292</v>
      </c>
      <c r="M228" s="1">
        <v>4</v>
      </c>
      <c r="N228" s="1">
        <v>1</v>
      </c>
      <c r="O228" s="1" t="s">
        <v>296</v>
      </c>
      <c r="P228" s="1">
        <f>IFERROR(VLOOKUP(BC228, BA:BA:BB:BB, 2, 0),)</f>
        <v>14.321999999999999</v>
      </c>
      <c r="Q228" s="1">
        <f>IFERROR(VLOOKUP(BC228, BA:BA:BD:BD, 4, 0),1)</f>
        <v>1</v>
      </c>
      <c r="R228" s="1">
        <v>7</v>
      </c>
      <c r="S228" s="1">
        <v>9.25</v>
      </c>
      <c r="T228" s="1">
        <v>0</v>
      </c>
      <c r="V228" s="1" t="s">
        <v>11223</v>
      </c>
      <c r="W228" s="1">
        <v>100</v>
      </c>
      <c r="X228" s="1" t="s">
        <v>319</v>
      </c>
      <c r="Y228" s="1" t="s">
        <v>299</v>
      </c>
      <c r="Z228" s="1">
        <v>1</v>
      </c>
      <c r="AA228" s="1">
        <f>ROUND(H228*I228*Z228, 3)</f>
        <v>4.2750000000000004</v>
      </c>
      <c r="AB228" s="1">
        <f>ROUND(VLOOKUP(X228,'Base de dados'!A:B, 2, 0)*AA228, 2)</f>
        <v>0.43</v>
      </c>
      <c r="AC228" s="1">
        <f>ROUND((AA228*(Destino!AG228/100))*(W228/100),2)</f>
        <v>0.3</v>
      </c>
      <c r="AD228" s="1">
        <f>ROUND(AA228*(Destino!AH228/100),2)</f>
        <v>0</v>
      </c>
      <c r="AE228" s="1">
        <f>ROUND((((AA228+AB228)*1.48)*(Destino!AI228/100))-AC228,2)</f>
        <v>0.88</v>
      </c>
      <c r="AF228" s="1">
        <f>ROUND((AA228+AB228+AE228)*(J228/100),2)</f>
        <v>0.17</v>
      </c>
      <c r="AG228" s="1">
        <f>ROUND(AA228*T228,2)</f>
        <v>0</v>
      </c>
      <c r="AH228" s="1">
        <f>ROUND(AA228+AB228-AD228+AE228+AF228+AG228, 3)</f>
        <v>5.7549999999999999</v>
      </c>
      <c r="AI228" s="1">
        <f>AH228*M228*K228</f>
        <v>23.02</v>
      </c>
      <c r="BA228" s="1" t="s">
        <v>11291</v>
      </c>
      <c r="BB228" s="1">
        <f>AI228</f>
        <v>23.02</v>
      </c>
      <c r="BC228" s="1" t="s">
        <v>11394</v>
      </c>
      <c r="BD228" s="1">
        <f>N228</f>
        <v>1</v>
      </c>
    </row>
    <row r="229" spans="1:56" x14ac:dyDescent="0.25">
      <c r="A229" s="1">
        <v>600001139</v>
      </c>
      <c r="B229" s="1">
        <v>1000</v>
      </c>
      <c r="C229" s="1">
        <v>2200001473</v>
      </c>
      <c r="D229" s="1" t="s">
        <v>303</v>
      </c>
      <c r="E229" s="1">
        <f>IF(AND(B229&lt;&gt;1110,B229&lt;&gt;1210,B229&lt;&gt;1510,B229&lt;&gt;1710),B229,IF(B229=1110,"1100",IF(B229=1210,"1200",IF(B229=1510,"1500",IF(B229=1710,"1700","X")))))</f>
        <v>1000</v>
      </c>
      <c r="F229" s="1" t="s">
        <v>11198</v>
      </c>
      <c r="G229" s="1" t="s">
        <v>302</v>
      </c>
      <c r="H229" s="1">
        <f>ROUND(P229/(1-((R229+S229))/100)*Q229, 3)</f>
        <v>43.048000000000002</v>
      </c>
      <c r="I229" s="1">
        <v>0.45</v>
      </c>
      <c r="J229" s="1">
        <v>1.5</v>
      </c>
      <c r="K229" s="1">
        <v>1</v>
      </c>
      <c r="L229" s="1" t="s">
        <v>292</v>
      </c>
      <c r="M229" s="1">
        <v>1</v>
      </c>
      <c r="N229" s="1">
        <v>1</v>
      </c>
      <c r="O229" s="1" t="s">
        <v>296</v>
      </c>
      <c r="P229" s="1">
        <v>33.9</v>
      </c>
      <c r="Q229" s="1">
        <v>1</v>
      </c>
      <c r="R229" s="1">
        <v>12</v>
      </c>
      <c r="S229" s="1">
        <v>9.25</v>
      </c>
      <c r="T229" s="1">
        <v>0</v>
      </c>
      <c r="V229" s="1" t="s">
        <v>11223</v>
      </c>
      <c r="W229" s="1">
        <v>100</v>
      </c>
      <c r="X229" s="1" t="s">
        <v>319</v>
      </c>
      <c r="Y229" s="1" t="s">
        <v>299</v>
      </c>
      <c r="Z229" s="1">
        <v>1</v>
      </c>
      <c r="AA229" s="1">
        <f>ROUND(H229*I229*Z229, 3)</f>
        <v>19.372</v>
      </c>
      <c r="AB229" s="1">
        <f>ROUND(VLOOKUP(X229,'Base de dados'!A:B, 2, 0)*AA229, 2)</f>
        <v>1.94</v>
      </c>
      <c r="AC229" s="1">
        <f>ROUND((AA229*(Destino!AG229/100))*(W229/100),2)</f>
        <v>2.3199999999999998</v>
      </c>
      <c r="AD229" s="1">
        <f>ROUND(AA229*(Destino!AH229/100),2)</f>
        <v>1.79</v>
      </c>
      <c r="AF229" s="1">
        <f>ROUND((AA229+ AB229)*(J229/100),2)</f>
        <v>0.32</v>
      </c>
      <c r="AG229" s="1">
        <f>ROUND(AA229*T229,2)</f>
        <v>0</v>
      </c>
      <c r="AH229" s="1">
        <f>ROUND(AA229-(AC229+AD229)+AF229+AG229, 3)</f>
        <v>15.582000000000001</v>
      </c>
      <c r="AI229" s="1">
        <f>AH229*M229*K229</f>
        <v>15.582000000000001</v>
      </c>
      <c r="BA229" s="1" t="s">
        <v>11600</v>
      </c>
      <c r="BB229" s="1">
        <f>AI229</f>
        <v>15.582000000000001</v>
      </c>
      <c r="BD229" s="1">
        <f>N229</f>
        <v>1</v>
      </c>
    </row>
    <row r="230" spans="1:56" x14ac:dyDescent="0.25">
      <c r="A230" s="1">
        <v>600001139</v>
      </c>
      <c r="B230" s="1">
        <v>1100</v>
      </c>
      <c r="C230" s="1">
        <v>2200001473</v>
      </c>
      <c r="D230" s="1" t="s">
        <v>303</v>
      </c>
      <c r="E230" s="1">
        <f>IF(AND(B230&lt;&gt;1110,B230&lt;&gt;1210,B230&lt;&gt;1510,B230&lt;&gt;1710),B230,IF(B230=1110,"1100",IF(B230=1210,"1200",IF(B230=1510,"1500",IF(B230=1710,"1700","X")))))</f>
        <v>1100</v>
      </c>
      <c r="F230" s="1" t="s">
        <v>11198</v>
      </c>
      <c r="G230" s="1" t="s">
        <v>302</v>
      </c>
      <c r="H230" s="1">
        <f>ROUND(P230/(1-((R230+S230))/100)*Q230, 3)</f>
        <v>40.479999999999997</v>
      </c>
      <c r="I230" s="1">
        <v>0.45</v>
      </c>
      <c r="J230" s="1">
        <v>2</v>
      </c>
      <c r="K230" s="1">
        <v>1</v>
      </c>
      <c r="L230" s="1" t="s">
        <v>292</v>
      </c>
      <c r="M230" s="1">
        <v>1</v>
      </c>
      <c r="N230" s="1">
        <v>1</v>
      </c>
      <c r="O230" s="1" t="s">
        <v>296</v>
      </c>
      <c r="P230" s="1">
        <v>33.902000000000001</v>
      </c>
      <c r="Q230" s="1">
        <v>1</v>
      </c>
      <c r="R230" s="1">
        <v>7</v>
      </c>
      <c r="S230" s="1">
        <v>9.25</v>
      </c>
      <c r="T230" s="1">
        <v>0</v>
      </c>
      <c r="V230" s="1" t="s">
        <v>11223</v>
      </c>
      <c r="W230" s="1">
        <v>100</v>
      </c>
      <c r="X230" s="1" t="s">
        <v>319</v>
      </c>
      <c r="Y230" s="1" t="s">
        <v>299</v>
      </c>
      <c r="Z230" s="1">
        <v>1</v>
      </c>
      <c r="AA230" s="1">
        <f>ROUND(H230*I230*Z230, 3)</f>
        <v>18.216000000000001</v>
      </c>
      <c r="AB230" s="1">
        <f>ROUND(VLOOKUP(X230,'Base de dados'!A:B, 2, 0)*AA230, 2)</f>
        <v>1.82</v>
      </c>
      <c r="AC230" s="1">
        <f>ROUND((AA230*(Destino!AG230/100))*(W230/100),2)</f>
        <v>1.28</v>
      </c>
      <c r="AD230" s="1">
        <f>ROUND(AA230*(Destino!AH230/100),2)</f>
        <v>1.68</v>
      </c>
      <c r="AF230" s="1">
        <f>ROUND((AA230+ AB230)*(J230/100),2)</f>
        <v>0.4</v>
      </c>
      <c r="AG230" s="1">
        <f>ROUND(AA230*T230,2)</f>
        <v>0</v>
      </c>
      <c r="AH230" s="1">
        <f>ROUND(AA230-(AC230+AD230)+AF230+AG230, 3)</f>
        <v>15.656000000000001</v>
      </c>
      <c r="AI230" s="1">
        <f>AH230*M230*K230</f>
        <v>15.656000000000001</v>
      </c>
      <c r="BA230" s="1" t="s">
        <v>11601</v>
      </c>
      <c r="BB230" s="1">
        <f>AI230</f>
        <v>15.656000000000001</v>
      </c>
      <c r="BD230" s="1">
        <f>N230</f>
        <v>1</v>
      </c>
    </row>
    <row r="231" spans="1:56" x14ac:dyDescent="0.25">
      <c r="A231" s="1">
        <v>600001139</v>
      </c>
      <c r="B231" s="1">
        <v>1110</v>
      </c>
      <c r="C231" s="1">
        <v>2200001473</v>
      </c>
      <c r="D231" s="1" t="s">
        <v>303</v>
      </c>
      <c r="E231" s="1" t="str">
        <f>IF(AND(B231&lt;&gt;1110,B231&lt;&gt;1210,B231&lt;&gt;1510,B231&lt;&gt;1710),B231,IF(B231=1110,"1100",IF(B231=1210,"1200",IF(B231=1510,"1500",IF(B231=1710,"1700","X")))))</f>
        <v>1100</v>
      </c>
      <c r="F231" s="1" t="s">
        <v>447</v>
      </c>
      <c r="G231" s="1" t="s">
        <v>302</v>
      </c>
      <c r="H231" s="1">
        <f>ROUND(P231/(1-((R231+S231))/100)*Q231, 3)</f>
        <v>40.479999999999997</v>
      </c>
      <c r="I231" s="1">
        <v>0.45</v>
      </c>
      <c r="J231" s="1">
        <v>4</v>
      </c>
      <c r="K231" s="1">
        <v>1</v>
      </c>
      <c r="L231" s="1" t="s">
        <v>292</v>
      </c>
      <c r="M231" s="1">
        <v>1</v>
      </c>
      <c r="N231" s="1">
        <v>0.75217800000000001</v>
      </c>
      <c r="O231" s="1" t="s">
        <v>296</v>
      </c>
      <c r="P231" s="1">
        <v>33.902000000000001</v>
      </c>
      <c r="Q231" s="1">
        <v>1</v>
      </c>
      <c r="R231" s="1">
        <v>7</v>
      </c>
      <c r="S231" s="1">
        <v>9.25</v>
      </c>
      <c r="T231" s="1">
        <v>0</v>
      </c>
      <c r="V231" s="1" t="s">
        <v>11223</v>
      </c>
      <c r="W231" s="1">
        <v>100</v>
      </c>
      <c r="X231" s="1" t="s">
        <v>319</v>
      </c>
      <c r="Y231" s="1" t="s">
        <v>299</v>
      </c>
      <c r="Z231" s="1">
        <v>1</v>
      </c>
      <c r="AA231" s="1">
        <f>ROUND(H231*I231*Z231, 3)</f>
        <v>18.216000000000001</v>
      </c>
      <c r="AB231" s="1">
        <f>ROUND(VLOOKUP(X231,'Base de dados'!A:B, 2, 0)*AA231, 2)</f>
        <v>1.82</v>
      </c>
      <c r="AC231" s="1">
        <f>ROUND((AA231*(Destino!AG231/100))*(W231/100),2)</f>
        <v>1.28</v>
      </c>
      <c r="AD231" s="1">
        <f>ROUND(AA231*(Destino!AH231/100),2)</f>
        <v>1.68</v>
      </c>
      <c r="AE231" s="1">
        <f>ROUND((((AA231+AB231)*1.5039)*(Destino!AI231/100))-AC231,2)</f>
        <v>3.84</v>
      </c>
      <c r="AF231" s="1">
        <f>ROUND((AA231+AB231+AE231)*(J231/100),2)</f>
        <v>0.96</v>
      </c>
      <c r="AG231" s="1">
        <f>ROUND(AA231*T231,2)</f>
        <v>0</v>
      </c>
      <c r="AH231" s="1">
        <f>ROUND(AA231-AD231+AE231+AF231+AG231, 3)</f>
        <v>21.335999999999999</v>
      </c>
      <c r="AI231" s="1">
        <f>AH231*M231*K231</f>
        <v>21.335999999999999</v>
      </c>
      <c r="BA231" s="1" t="s">
        <v>11602</v>
      </c>
      <c r="BB231" s="1">
        <f>AI231</f>
        <v>21.335999999999999</v>
      </c>
      <c r="BD231" s="1">
        <f>N231</f>
        <v>0.75217800000000001</v>
      </c>
    </row>
    <row r="232" spans="1:56" x14ac:dyDescent="0.25">
      <c r="A232" s="1">
        <v>600001139</v>
      </c>
      <c r="B232" s="1">
        <v>1400</v>
      </c>
      <c r="C232" s="1">
        <v>2200001473</v>
      </c>
      <c r="D232" s="1" t="s">
        <v>303</v>
      </c>
      <c r="E232" s="1">
        <f>IF(AND(B232&lt;&gt;1110,B232&lt;&gt;1210,B232&lt;&gt;1510,B232&lt;&gt;1710),B232,IF(B232=1110,"1100",IF(B232=1210,"1200",IF(B232=1510,"1500",IF(B232=1710,"1700","X")))))</f>
        <v>1400</v>
      </c>
      <c r="F232" s="1" t="s">
        <v>11198</v>
      </c>
      <c r="G232" s="1" t="s">
        <v>302</v>
      </c>
      <c r="H232" s="1">
        <f>ROUND(P232/(1-((R232+S232))/100)*Q232, 3)</f>
        <v>46.600999999999999</v>
      </c>
      <c r="I232" s="1">
        <v>0.45</v>
      </c>
      <c r="J232" s="1">
        <v>1.5</v>
      </c>
      <c r="K232" s="1">
        <v>1</v>
      </c>
      <c r="L232" s="1" t="s">
        <v>292</v>
      </c>
      <c r="M232" s="1">
        <v>1</v>
      </c>
      <c r="N232" s="1">
        <v>1</v>
      </c>
      <c r="O232" s="1" t="s">
        <v>296</v>
      </c>
      <c r="P232" s="1">
        <v>33.902000000000001</v>
      </c>
      <c r="Q232" s="1">
        <v>1</v>
      </c>
      <c r="R232" s="1">
        <v>18</v>
      </c>
      <c r="S232" s="1">
        <v>9.25</v>
      </c>
      <c r="T232" s="1">
        <v>0</v>
      </c>
      <c r="V232" s="1" t="s">
        <v>11223</v>
      </c>
      <c r="W232" s="1">
        <v>100</v>
      </c>
      <c r="X232" s="1" t="s">
        <v>319</v>
      </c>
      <c r="Y232" s="1" t="s">
        <v>299</v>
      </c>
      <c r="Z232" s="1">
        <v>1</v>
      </c>
      <c r="AA232" s="1">
        <f>ROUND(H232*I232*Z232, 3)</f>
        <v>20.97</v>
      </c>
      <c r="AB232" s="1">
        <f>ROUND(VLOOKUP(X232,'Base de dados'!A:B, 2, 0)*AA232, 2)</f>
        <v>2.1</v>
      </c>
      <c r="AC232" s="1">
        <f>ROUND((AA232*(Destino!AG232/100))*(W232/100),2)</f>
        <v>3.77</v>
      </c>
      <c r="AD232" s="1">
        <f>ROUND(AA232*(Destino!AH232/100),2)</f>
        <v>1.94</v>
      </c>
      <c r="AF232" s="1">
        <f>ROUND((AA232+ AB232)*(J232/100),2)</f>
        <v>0.35</v>
      </c>
      <c r="AG232" s="1">
        <f>ROUND(AA232*T232,2)</f>
        <v>0</v>
      </c>
      <c r="AH232" s="1">
        <f>ROUND(AA232-(AC232+AD232)+AF232+AG232, 3)</f>
        <v>15.61</v>
      </c>
      <c r="AI232" s="1">
        <f>AH232*M232*K232</f>
        <v>15.61</v>
      </c>
      <c r="BA232" s="1" t="s">
        <v>11395</v>
      </c>
      <c r="BB232" s="1">
        <f>AI232</f>
        <v>15.61</v>
      </c>
      <c r="BD232" s="1">
        <f>N232</f>
        <v>1</v>
      </c>
    </row>
    <row r="233" spans="1:56" x14ac:dyDescent="0.25">
      <c r="A233" s="1">
        <v>600001139</v>
      </c>
      <c r="B233" s="1">
        <v>1700</v>
      </c>
      <c r="C233" s="1">
        <v>2200001421</v>
      </c>
      <c r="D233" s="1" t="s">
        <v>303</v>
      </c>
      <c r="E233" s="1">
        <f>IF(AND(B233&lt;&gt;1110,B233&lt;&gt;1210,B233&lt;&gt;1510,B233&lt;&gt;1710),B233,IF(B233=1110,"1100",IF(B233=1210,"1200",IF(B233=1510,"1500",IF(B233=1710,"1700","X")))))</f>
        <v>1700</v>
      </c>
      <c r="F233" s="1" t="s">
        <v>11238</v>
      </c>
      <c r="G233" s="1" t="s">
        <v>302</v>
      </c>
      <c r="H233" s="1">
        <f>ROUND(P233/(1-((R233+S233))/100)*Q233, 3)</f>
        <v>18.638999999999999</v>
      </c>
      <c r="I233" s="1">
        <v>0.25</v>
      </c>
      <c r="J233" s="1">
        <v>3</v>
      </c>
      <c r="K233" s="1">
        <v>1</v>
      </c>
      <c r="L233" s="1" t="s">
        <v>292</v>
      </c>
      <c r="M233" s="1">
        <v>4</v>
      </c>
      <c r="N233" s="1">
        <v>1</v>
      </c>
      <c r="O233" s="1" t="s">
        <v>296</v>
      </c>
      <c r="P233" s="1">
        <f>IFERROR(VLOOKUP(BC233, BA:BA:BB:BB, 2, 0),)</f>
        <v>15.61</v>
      </c>
      <c r="Q233" s="1">
        <f>IFERROR(VLOOKUP(BC233, BA:BA:BD:BD, 4, 0),1)</f>
        <v>1</v>
      </c>
      <c r="R233" s="1">
        <v>7</v>
      </c>
      <c r="S233" s="1">
        <v>9.25</v>
      </c>
      <c r="T233" s="1">
        <v>0</v>
      </c>
      <c r="V233" s="1" t="s">
        <v>11223</v>
      </c>
      <c r="W233" s="1">
        <v>100</v>
      </c>
      <c r="X233" s="1" t="s">
        <v>319</v>
      </c>
      <c r="Y233" s="1" t="s">
        <v>299</v>
      </c>
      <c r="Z233" s="1">
        <v>1</v>
      </c>
      <c r="AA233" s="1">
        <f>ROUND(H233*I233*Z233, 3)</f>
        <v>4.66</v>
      </c>
      <c r="AB233" s="1">
        <f>ROUND(VLOOKUP(X233,'Base de dados'!A:B, 2, 0)*AA233, 2)</f>
        <v>0.47</v>
      </c>
      <c r="AC233" s="1">
        <f>ROUND((AA233*(Destino!AG233/100))*(W233/100),2)</f>
        <v>0.33</v>
      </c>
      <c r="AD233" s="1">
        <f>ROUND(AA233*(Destino!AH233/100),2)</f>
        <v>0</v>
      </c>
      <c r="AE233" s="1">
        <f>ROUND((((AA233+AB233)*1.48)*(Destino!AI233/100))-AC233,2)</f>
        <v>0.96</v>
      </c>
      <c r="AF233" s="1">
        <f>ROUND((AA233+AB233+AE233)*(J233/100),2)</f>
        <v>0.18</v>
      </c>
      <c r="AG233" s="1">
        <f>ROUND(AA233*T233,2)</f>
        <v>0</v>
      </c>
      <c r="AH233" s="1">
        <f>ROUND(AA233+AB233-AD233+AE233+AF233+AG233, 3)</f>
        <v>6.27</v>
      </c>
      <c r="AI233" s="1">
        <f>AH233*M233*K233</f>
        <v>25.08</v>
      </c>
      <c r="BA233" s="1" t="s">
        <v>11292</v>
      </c>
      <c r="BB233" s="1">
        <f>AI233</f>
        <v>25.08</v>
      </c>
      <c r="BC233" s="1" t="s">
        <v>11395</v>
      </c>
      <c r="BD233" s="1">
        <f>N233</f>
        <v>1</v>
      </c>
    </row>
    <row r="234" spans="1:56" x14ac:dyDescent="0.25">
      <c r="A234" s="1">
        <v>600001140</v>
      </c>
      <c r="B234" s="1">
        <v>1000</v>
      </c>
      <c r="C234" s="1">
        <v>2200001421</v>
      </c>
      <c r="D234" s="1" t="s">
        <v>303</v>
      </c>
      <c r="E234" s="1">
        <f>IF(AND(B234&lt;&gt;1110,B234&lt;&gt;1210,B234&lt;&gt;1510,B234&lt;&gt;1710),B234,IF(B234=1110,"1100",IF(B234=1210,"1200",IF(B234=1510,"1500",IF(B234=1710,"1700","X")))))</f>
        <v>1000</v>
      </c>
      <c r="F234" s="1" t="s">
        <v>11198</v>
      </c>
      <c r="G234" s="1" t="s">
        <v>302</v>
      </c>
      <c r="H234" s="1">
        <f>ROUND(P234/(1-((R234+S234))/100)*Q234, 3)</f>
        <v>20.527999999999999</v>
      </c>
      <c r="I234" s="1">
        <v>1</v>
      </c>
      <c r="J234" s="1">
        <v>4</v>
      </c>
      <c r="K234" s="1">
        <v>1</v>
      </c>
      <c r="L234" s="1" t="s">
        <v>292</v>
      </c>
      <c r="M234" s="1">
        <v>1</v>
      </c>
      <c r="N234" s="1">
        <v>1</v>
      </c>
      <c r="O234" s="1" t="s">
        <v>292</v>
      </c>
      <c r="P234" s="1">
        <f>IFERROR(VLOOKUP(BC234, BA:BA:BB:BB, 2, 0),)</f>
        <v>16.166</v>
      </c>
      <c r="Q234" s="1">
        <f>IFERROR(VLOOKUP(BC234, BA:BA:BD:BD, 4, 0),1)</f>
        <v>1</v>
      </c>
      <c r="R234" s="1">
        <v>12</v>
      </c>
      <c r="S234" s="1">
        <v>9.25</v>
      </c>
      <c r="T234" s="1">
        <v>0</v>
      </c>
      <c r="V234" s="1" t="s">
        <v>11223</v>
      </c>
      <c r="W234" s="1">
        <v>100</v>
      </c>
      <c r="X234" s="1" t="s">
        <v>319</v>
      </c>
      <c r="Y234" s="1" t="s">
        <v>299</v>
      </c>
      <c r="Z234" s="1">
        <v>1</v>
      </c>
      <c r="AA234" s="1">
        <f>ROUND(H234*I234*Z234, 3)</f>
        <v>20.527999999999999</v>
      </c>
      <c r="AB234" s="1">
        <f>ROUND(VLOOKUP(X234,'Base de dados'!A:B, 2, 0)*AA234, 2)</f>
        <v>2.0499999999999998</v>
      </c>
      <c r="AC234" s="1">
        <f>ROUND((AA234*(Destino!AG234/100))*(W234/100),2)</f>
        <v>2.46</v>
      </c>
      <c r="AD234" s="1">
        <f>ROUND(AA234*(Destino!AH234/100),2)</f>
        <v>1.9</v>
      </c>
      <c r="AF234" s="1">
        <f>ROUND((AA234+ AB234)*(J234/100),2)</f>
        <v>0.9</v>
      </c>
      <c r="AG234" s="1">
        <f>ROUND(AA234*T234,2)</f>
        <v>0</v>
      </c>
      <c r="AH234" s="1">
        <f>ROUND(AA234-(AC234+AD234)+AF234+AG234, 3)</f>
        <v>17.068000000000001</v>
      </c>
      <c r="AI234" s="1">
        <f>AH234*M234*K234</f>
        <v>17.068000000000001</v>
      </c>
      <c r="BB234" s="1">
        <f>AI234</f>
        <v>17.068000000000001</v>
      </c>
      <c r="BC234" s="1" t="s">
        <v>11396</v>
      </c>
      <c r="BD234" s="1">
        <f>N234</f>
        <v>1</v>
      </c>
    </row>
    <row r="235" spans="1:56" x14ac:dyDescent="0.25">
      <c r="A235" s="1">
        <v>600001140</v>
      </c>
      <c r="B235" s="1">
        <v>1000</v>
      </c>
      <c r="C235" s="1">
        <v>2200001473</v>
      </c>
      <c r="D235" s="1" t="s">
        <v>303</v>
      </c>
      <c r="E235" s="1">
        <f>IF(AND(B235&lt;&gt;1110,B235&lt;&gt;1210,B235&lt;&gt;1510,B235&lt;&gt;1710),B235,IF(B235=1110,"1100",IF(B235=1210,"1200",IF(B235=1510,"1500",IF(B235=1710,"1700","X")))))</f>
        <v>1000</v>
      </c>
      <c r="F235" s="1" t="s">
        <v>11198</v>
      </c>
      <c r="G235" s="1" t="s">
        <v>302</v>
      </c>
      <c r="H235" s="1">
        <f>ROUND(P235/(1-((R235+S235))/100)*Q235, 3)</f>
        <v>44.600999999999999</v>
      </c>
      <c r="I235" s="1">
        <v>0.45</v>
      </c>
      <c r="J235" s="1">
        <v>1.5</v>
      </c>
      <c r="K235" s="1">
        <v>1</v>
      </c>
      <c r="L235" s="1" t="s">
        <v>292</v>
      </c>
      <c r="M235" s="1">
        <v>1</v>
      </c>
      <c r="N235" s="1">
        <v>1</v>
      </c>
      <c r="O235" s="1" t="s">
        <v>296</v>
      </c>
      <c r="P235" s="1">
        <v>35.122999999999998</v>
      </c>
      <c r="Q235" s="1">
        <v>1</v>
      </c>
      <c r="R235" s="1">
        <v>12</v>
      </c>
      <c r="S235" s="1">
        <v>9.25</v>
      </c>
      <c r="T235" s="1">
        <v>0</v>
      </c>
      <c r="V235" s="1" t="s">
        <v>11223</v>
      </c>
      <c r="W235" s="1">
        <v>100</v>
      </c>
      <c r="X235" s="1" t="s">
        <v>319</v>
      </c>
      <c r="Y235" s="1" t="s">
        <v>299</v>
      </c>
      <c r="Z235" s="1">
        <v>1</v>
      </c>
      <c r="AA235" s="1">
        <f>ROUND(H235*I235*Z235, 3)</f>
        <v>20.07</v>
      </c>
      <c r="AB235" s="1">
        <f>ROUND(VLOOKUP(X235,'Base de dados'!A:B, 2, 0)*AA235, 2)</f>
        <v>2.0099999999999998</v>
      </c>
      <c r="AC235" s="1">
        <f>ROUND((AA235*(Destino!AG235/100))*(W235/100),2)</f>
        <v>2.41</v>
      </c>
      <c r="AD235" s="1">
        <f>ROUND(AA235*(Destino!AH235/100),2)</f>
        <v>1.86</v>
      </c>
      <c r="AF235" s="1">
        <f>ROUND((AA235+ AB235)*(J235/100),2)</f>
        <v>0.33</v>
      </c>
      <c r="AG235" s="1">
        <f>ROUND(AA235*T235,2)</f>
        <v>0</v>
      </c>
      <c r="AH235" s="1">
        <f>ROUND(AA235-(AC235+AD235)+AF235+AG235, 3)</f>
        <v>16.13</v>
      </c>
      <c r="AI235" s="1">
        <f>AH235*M235*K235</f>
        <v>16.13</v>
      </c>
      <c r="BA235" s="1" t="s">
        <v>11397</v>
      </c>
      <c r="BB235" s="1">
        <f>AI235</f>
        <v>16.13</v>
      </c>
      <c r="BD235" s="1">
        <f>N235</f>
        <v>1</v>
      </c>
    </row>
    <row r="236" spans="1:56" x14ac:dyDescent="0.25">
      <c r="A236" s="1">
        <v>600001140</v>
      </c>
      <c r="B236" s="1">
        <v>1100</v>
      </c>
      <c r="C236" s="1">
        <v>2200001473</v>
      </c>
      <c r="D236" s="1" t="s">
        <v>303</v>
      </c>
      <c r="E236" s="1">
        <f>IF(AND(B236&lt;&gt;1110,B236&lt;&gt;1210,B236&lt;&gt;1510,B236&lt;&gt;1710),B236,IF(B236=1110,"1100",IF(B236=1210,"1200",IF(B236=1510,"1500",IF(B236=1710,"1700","X")))))</f>
        <v>1100</v>
      </c>
      <c r="F236" s="1" t="s">
        <v>11198</v>
      </c>
      <c r="G236" s="1" t="s">
        <v>302</v>
      </c>
      <c r="H236" s="1">
        <f>ROUND(P236/(1-((R236+S236))/100)*Q236, 3)</f>
        <v>41.939</v>
      </c>
      <c r="I236" s="1">
        <v>0.45</v>
      </c>
      <c r="J236" s="1">
        <v>2</v>
      </c>
      <c r="K236" s="1">
        <v>1</v>
      </c>
      <c r="L236" s="1" t="s">
        <v>292</v>
      </c>
      <c r="M236" s="1">
        <v>1</v>
      </c>
      <c r="N236" s="1">
        <v>1</v>
      </c>
      <c r="O236" s="1" t="s">
        <v>296</v>
      </c>
      <c r="P236" s="1">
        <v>35.124000000000002</v>
      </c>
      <c r="Q236" s="1">
        <v>1</v>
      </c>
      <c r="R236" s="1">
        <v>7</v>
      </c>
      <c r="S236" s="1">
        <v>9.25</v>
      </c>
      <c r="T236" s="1">
        <v>0</v>
      </c>
      <c r="V236" s="1" t="s">
        <v>11223</v>
      </c>
      <c r="W236" s="1">
        <v>100</v>
      </c>
      <c r="X236" s="1" t="s">
        <v>319</v>
      </c>
      <c r="Y236" s="1" t="s">
        <v>299</v>
      </c>
      <c r="Z236" s="1">
        <v>1</v>
      </c>
      <c r="AA236" s="1">
        <f>ROUND(H236*I236*Z236, 3)</f>
        <v>18.873000000000001</v>
      </c>
      <c r="AB236" s="1">
        <f>ROUND(VLOOKUP(X236,'Base de dados'!A:B, 2, 0)*AA236, 2)</f>
        <v>1.89</v>
      </c>
      <c r="AC236" s="1">
        <f>ROUND((AA236*(Destino!AG236/100))*(W236/100),2)</f>
        <v>1.32</v>
      </c>
      <c r="AD236" s="1">
        <f>ROUND(AA236*(Destino!AH236/100),2)</f>
        <v>1.75</v>
      </c>
      <c r="AF236" s="1">
        <f>ROUND((AA236+ AB236)*(J236/100),2)</f>
        <v>0.42</v>
      </c>
      <c r="AG236" s="1">
        <f>ROUND(AA236*T236,2)</f>
        <v>0</v>
      </c>
      <c r="AH236" s="1">
        <f>ROUND(AA236-(AC236+AD236)+AF236+AG236, 3)</f>
        <v>16.222999999999999</v>
      </c>
      <c r="AI236" s="1">
        <f>AH236*M236*K236</f>
        <v>16.222999999999999</v>
      </c>
      <c r="BA236" s="1" t="s">
        <v>11603</v>
      </c>
      <c r="BB236" s="1">
        <f>AI236</f>
        <v>16.222999999999999</v>
      </c>
      <c r="BD236" s="1">
        <f>N236</f>
        <v>1</v>
      </c>
    </row>
    <row r="237" spans="1:56" x14ac:dyDescent="0.25">
      <c r="A237" s="1">
        <v>600001140</v>
      </c>
      <c r="B237" s="1">
        <v>1110</v>
      </c>
      <c r="C237" s="1">
        <v>2000005105</v>
      </c>
      <c r="D237" s="1" t="s">
        <v>303</v>
      </c>
      <c r="E237" s="1" t="str">
        <f>IF(AND(B237&lt;&gt;1110,B237&lt;&gt;1210,B237&lt;&gt;1510,B237&lt;&gt;1710),B237,IF(B237=1110,"1100",IF(B237=1210,"1200",IF(B237=1510,"1500",IF(B237=1710,"1700","X")))))</f>
        <v>1100</v>
      </c>
      <c r="F237" s="1" t="s">
        <v>447</v>
      </c>
      <c r="G237" s="1" t="s">
        <v>302</v>
      </c>
      <c r="H237" s="1">
        <f>ROUND(P237/(1-((R237+S237))/100)*Q237, 3)</f>
        <v>19.260000000000002</v>
      </c>
      <c r="I237" s="1">
        <v>1</v>
      </c>
      <c r="J237" s="1">
        <v>4</v>
      </c>
      <c r="K237" s="1">
        <v>1</v>
      </c>
      <c r="L237" s="1" t="s">
        <v>292</v>
      </c>
      <c r="M237" s="1">
        <v>1</v>
      </c>
      <c r="N237" s="1">
        <v>0.75266</v>
      </c>
      <c r="O237" s="1" t="s">
        <v>292</v>
      </c>
      <c r="P237" s="1">
        <f>IFERROR(VLOOKUP(BC237, BA:BA:BB:BB, 2, 0),)</f>
        <v>16.13</v>
      </c>
      <c r="Q237" s="1">
        <f>IFERROR(VLOOKUP(BC237, BA:BA:BD:BD, 4, 0),1)</f>
        <v>1</v>
      </c>
      <c r="R237" s="1">
        <v>7</v>
      </c>
      <c r="S237" s="1">
        <v>9.25</v>
      </c>
      <c r="T237" s="1">
        <v>0</v>
      </c>
      <c r="V237" s="1" t="s">
        <v>11223</v>
      </c>
      <c r="W237" s="1">
        <v>100</v>
      </c>
      <c r="X237" s="1" t="s">
        <v>319</v>
      </c>
      <c r="Y237" s="1" t="s">
        <v>299</v>
      </c>
      <c r="Z237" s="1">
        <v>1</v>
      </c>
      <c r="AA237" s="1">
        <f>ROUND(H237*I237*Z237, 3)</f>
        <v>19.260000000000002</v>
      </c>
      <c r="AB237" s="1">
        <f>ROUND(VLOOKUP(X237,'Base de dados'!A:B, 2, 0)*AA237, 2)</f>
        <v>1.93</v>
      </c>
      <c r="AC237" s="1">
        <f>ROUND((AA237*(Destino!AG237/100))*(W237/100),2)</f>
        <v>1.35</v>
      </c>
      <c r="AD237" s="1">
        <f>ROUND(AA237*(Destino!AH237/100),2)</f>
        <v>1.78</v>
      </c>
      <c r="AE237" s="1">
        <f>ROUND((((AA237+AB237)*1.5039)*(Destino!AI237/100))-AC237,2)</f>
        <v>4.07</v>
      </c>
      <c r="AF237" s="1">
        <f>ROUND((AA237+AB237+AE237)*(J237/100),2)</f>
        <v>1.01</v>
      </c>
      <c r="AG237" s="1">
        <f>ROUND(AA237*T237,2)</f>
        <v>0</v>
      </c>
      <c r="AH237" s="1">
        <f>ROUND(AA237-AD237+AE237+AF237+AG237, 3)</f>
        <v>22.56</v>
      </c>
      <c r="AI237" s="1">
        <f>AH237*M237*K237</f>
        <v>22.56</v>
      </c>
      <c r="BB237" s="1">
        <f>AI237</f>
        <v>22.56</v>
      </c>
      <c r="BC237" s="1" t="s">
        <v>11397</v>
      </c>
      <c r="BD237" s="1">
        <f>N237</f>
        <v>0.75266</v>
      </c>
    </row>
    <row r="238" spans="1:56" x14ac:dyDescent="0.25">
      <c r="A238" s="1">
        <v>600001140</v>
      </c>
      <c r="B238" s="1">
        <v>1110</v>
      </c>
      <c r="C238" s="1">
        <v>2200001473</v>
      </c>
      <c r="D238" s="1" t="s">
        <v>303</v>
      </c>
      <c r="E238" s="1" t="str">
        <f>IF(AND(B238&lt;&gt;1110,B238&lt;&gt;1210,B238&lt;&gt;1510,B238&lt;&gt;1710),B238,IF(B238=1110,"1100",IF(B238=1210,"1200",IF(B238=1510,"1500",IF(B238=1710,"1700","X")))))</f>
        <v>1100</v>
      </c>
      <c r="F238" s="1" t="s">
        <v>447</v>
      </c>
      <c r="G238" s="1" t="s">
        <v>302</v>
      </c>
      <c r="H238" s="1">
        <f>ROUND(P238/(1-((R238+S238))/100)*Q238, 3)</f>
        <v>41.939</v>
      </c>
      <c r="I238" s="1">
        <v>0.45</v>
      </c>
      <c r="J238" s="1">
        <v>4</v>
      </c>
      <c r="K238" s="1">
        <v>1</v>
      </c>
      <c r="L238" s="1" t="s">
        <v>292</v>
      </c>
      <c r="M238" s="1">
        <v>1</v>
      </c>
      <c r="N238" s="1">
        <v>0.75263400000000003</v>
      </c>
      <c r="O238" s="1" t="s">
        <v>296</v>
      </c>
      <c r="P238" s="1">
        <v>35.124000000000002</v>
      </c>
      <c r="Q238" s="1">
        <v>1</v>
      </c>
      <c r="R238" s="1">
        <v>7</v>
      </c>
      <c r="S238" s="1">
        <v>9.25</v>
      </c>
      <c r="T238" s="1">
        <v>0</v>
      </c>
      <c r="V238" s="1" t="s">
        <v>11223</v>
      </c>
      <c r="W238" s="1">
        <v>100</v>
      </c>
      <c r="X238" s="1" t="s">
        <v>319</v>
      </c>
      <c r="Y238" s="1" t="s">
        <v>299</v>
      </c>
      <c r="Z238" s="1">
        <v>1</v>
      </c>
      <c r="AA238" s="1">
        <f>ROUND(H238*I238*Z238, 3)</f>
        <v>18.873000000000001</v>
      </c>
      <c r="AB238" s="1">
        <f>ROUND(VLOOKUP(X238,'Base de dados'!A:B, 2, 0)*AA238, 2)</f>
        <v>1.89</v>
      </c>
      <c r="AC238" s="1">
        <f>ROUND((AA238*(Destino!AG238/100))*(W238/100),2)</f>
        <v>1.32</v>
      </c>
      <c r="AD238" s="1">
        <f>ROUND(AA238*(Destino!AH238/100),2)</f>
        <v>1.75</v>
      </c>
      <c r="AE238" s="1">
        <f>ROUND((((AA238+AB238)*1.5039)*(Destino!AI238/100))-AC238,2)</f>
        <v>3.99</v>
      </c>
      <c r="AF238" s="1">
        <f>ROUND((AA238+AB238+AE238)*(J238/100),2)</f>
        <v>0.99</v>
      </c>
      <c r="AG238" s="1">
        <f>ROUND(AA238*T238,2)</f>
        <v>0</v>
      </c>
      <c r="AH238" s="1">
        <f>ROUND(AA238-AD238+AE238+AF238+AG238, 3)</f>
        <v>22.103000000000002</v>
      </c>
      <c r="AI238" s="1">
        <f>AH238*M238*K238</f>
        <v>22.103000000000002</v>
      </c>
      <c r="BA238" s="1" t="s">
        <v>11604</v>
      </c>
      <c r="BB238" s="1">
        <f>AI238</f>
        <v>22.103000000000002</v>
      </c>
      <c r="BD238" s="1">
        <f>N238</f>
        <v>0.75263400000000003</v>
      </c>
    </row>
    <row r="239" spans="1:56" x14ac:dyDescent="0.25">
      <c r="A239" s="1">
        <v>600001140</v>
      </c>
      <c r="B239" s="1">
        <v>1400</v>
      </c>
      <c r="C239" s="1">
        <v>2200001473</v>
      </c>
      <c r="D239" s="1" t="s">
        <v>303</v>
      </c>
      <c r="E239" s="1">
        <f>IF(AND(B239&lt;&gt;1110,B239&lt;&gt;1210,B239&lt;&gt;1510,B239&lt;&gt;1710),B239,IF(B239=1110,"1100",IF(B239=1210,"1200",IF(B239=1510,"1500",IF(B239=1710,"1700","X")))))</f>
        <v>1400</v>
      </c>
      <c r="F239" s="1" t="s">
        <v>11198</v>
      </c>
      <c r="G239" s="1" t="s">
        <v>302</v>
      </c>
      <c r="H239" s="1">
        <f>ROUND(P239/(1-((R239+S239))/100)*Q239, 3)</f>
        <v>48.28</v>
      </c>
      <c r="I239" s="1">
        <v>0.45</v>
      </c>
      <c r="J239" s="1">
        <v>1.5</v>
      </c>
      <c r="K239" s="1">
        <v>1</v>
      </c>
      <c r="L239" s="1" t="s">
        <v>292</v>
      </c>
      <c r="M239" s="1">
        <v>1</v>
      </c>
      <c r="N239" s="1">
        <v>1</v>
      </c>
      <c r="O239" s="1" t="s">
        <v>296</v>
      </c>
      <c r="P239" s="1">
        <v>35.124000000000002</v>
      </c>
      <c r="Q239" s="1">
        <v>1</v>
      </c>
      <c r="R239" s="1">
        <v>18</v>
      </c>
      <c r="S239" s="1">
        <v>9.25</v>
      </c>
      <c r="T239" s="1">
        <v>0</v>
      </c>
      <c r="V239" s="1" t="s">
        <v>11223</v>
      </c>
      <c r="W239" s="1">
        <v>100</v>
      </c>
      <c r="X239" s="1" t="s">
        <v>319</v>
      </c>
      <c r="Y239" s="1" t="s">
        <v>299</v>
      </c>
      <c r="Z239" s="1">
        <v>1</v>
      </c>
      <c r="AA239" s="1">
        <f>ROUND(H239*I239*Z239, 3)</f>
        <v>21.725999999999999</v>
      </c>
      <c r="AB239" s="1">
        <f>ROUND(VLOOKUP(X239,'Base de dados'!A:B, 2, 0)*AA239, 2)</f>
        <v>2.17</v>
      </c>
      <c r="AC239" s="1">
        <f>ROUND((AA239*(Destino!AG239/100))*(W239/100),2)</f>
        <v>3.91</v>
      </c>
      <c r="AD239" s="1">
        <f>ROUND(AA239*(Destino!AH239/100),2)</f>
        <v>2.0099999999999998</v>
      </c>
      <c r="AF239" s="1">
        <f>ROUND((AA239+ AB239)*(J239/100),2)</f>
        <v>0.36</v>
      </c>
      <c r="AG239" s="1">
        <f>ROUND(AA239*T239,2)</f>
        <v>0</v>
      </c>
      <c r="AH239" s="1">
        <f>ROUND(AA239-(AC239+AD239)+AF239+AG239, 3)</f>
        <v>16.166</v>
      </c>
      <c r="AI239" s="1">
        <f>AH239*M239*K239</f>
        <v>16.166</v>
      </c>
      <c r="BA239" s="1" t="s">
        <v>11396</v>
      </c>
      <c r="BB239" s="1">
        <f>AI239</f>
        <v>16.166</v>
      </c>
      <c r="BD239" s="1">
        <f>N239</f>
        <v>1</v>
      </c>
    </row>
    <row r="240" spans="1:56" x14ac:dyDescent="0.25">
      <c r="A240" s="1">
        <v>600001140</v>
      </c>
      <c r="B240" s="1">
        <v>1700</v>
      </c>
      <c r="C240" s="1">
        <v>2200001421</v>
      </c>
      <c r="D240" s="1" t="s">
        <v>303</v>
      </c>
      <c r="E240" s="1">
        <f>IF(AND(B240&lt;&gt;1110,B240&lt;&gt;1210,B240&lt;&gt;1510,B240&lt;&gt;1710),B240,IF(B240=1110,"1100",IF(B240=1210,"1200",IF(B240=1510,"1500",IF(B240=1710,"1700","X")))))</f>
        <v>1700</v>
      </c>
      <c r="F240" s="1" t="s">
        <v>11238</v>
      </c>
      <c r="G240" s="1" t="s">
        <v>302</v>
      </c>
      <c r="H240" s="1">
        <f>ROUND(P240/(1-((R240+S240))/100)*Q240, 3)</f>
        <v>19.303000000000001</v>
      </c>
      <c r="I240" s="1">
        <v>0.25</v>
      </c>
      <c r="J240" s="1">
        <v>3</v>
      </c>
      <c r="K240" s="1">
        <v>1</v>
      </c>
      <c r="L240" s="1" t="s">
        <v>292</v>
      </c>
      <c r="M240" s="1">
        <v>4</v>
      </c>
      <c r="N240" s="1">
        <v>1</v>
      </c>
      <c r="O240" s="1" t="s">
        <v>296</v>
      </c>
      <c r="P240" s="1">
        <f>IFERROR(VLOOKUP(BC240, BA:BA:BB:BB, 2, 0),)</f>
        <v>16.166</v>
      </c>
      <c r="Q240" s="1">
        <f>IFERROR(VLOOKUP(BC240, BA:BA:BD:BD, 4, 0),1)</f>
        <v>1</v>
      </c>
      <c r="R240" s="1">
        <v>7</v>
      </c>
      <c r="S240" s="1">
        <v>9.25</v>
      </c>
      <c r="T240" s="1">
        <v>0</v>
      </c>
      <c r="V240" s="1" t="s">
        <v>11223</v>
      </c>
      <c r="W240" s="1">
        <v>100</v>
      </c>
      <c r="X240" s="1" t="s">
        <v>319</v>
      </c>
      <c r="Y240" s="1" t="s">
        <v>299</v>
      </c>
      <c r="Z240" s="1">
        <v>1</v>
      </c>
      <c r="AA240" s="1">
        <f>ROUND(H240*I240*Z240, 3)</f>
        <v>4.8259999999999996</v>
      </c>
      <c r="AB240" s="1">
        <f>ROUND(VLOOKUP(X240,'Base de dados'!A:B, 2, 0)*AA240, 2)</f>
        <v>0.48</v>
      </c>
      <c r="AC240" s="1">
        <f>ROUND((AA240*(Destino!AG240/100))*(W240/100),2)</f>
        <v>0.34</v>
      </c>
      <c r="AD240" s="1">
        <f>ROUND(AA240*(Destino!AH240/100),2)</f>
        <v>0</v>
      </c>
      <c r="AE240" s="1">
        <f>ROUND((((AA240+AB240)*1.48)*(Destino!AI240/100))-AC240,2)</f>
        <v>0.99</v>
      </c>
      <c r="AF240" s="1">
        <f>ROUND((AA240+AB240+AE240)*(J240/100),2)</f>
        <v>0.19</v>
      </c>
      <c r="AG240" s="1">
        <f>ROUND(AA240*T240,2)</f>
        <v>0</v>
      </c>
      <c r="AH240" s="1">
        <f>ROUND(AA240+AB240-AD240+AE240+AF240+AG240, 3)</f>
        <v>6.4859999999999998</v>
      </c>
      <c r="AI240" s="1">
        <f>AH240*M240*K240</f>
        <v>25.943999999999999</v>
      </c>
      <c r="BA240" s="1" t="s">
        <v>11293</v>
      </c>
      <c r="BB240" s="1">
        <f>AI240</f>
        <v>25.943999999999999</v>
      </c>
      <c r="BC240" s="1" t="s">
        <v>11396</v>
      </c>
      <c r="BD240" s="1">
        <f>N240</f>
        <v>1</v>
      </c>
    </row>
    <row r="241" spans="1:56" x14ac:dyDescent="0.25">
      <c r="A241" s="1">
        <v>600001160</v>
      </c>
      <c r="B241" s="1">
        <v>1000</v>
      </c>
      <c r="C241" s="1">
        <v>2200001473</v>
      </c>
      <c r="D241" s="1" t="s">
        <v>303</v>
      </c>
      <c r="E241" s="1">
        <f>IF(AND(B241&lt;&gt;1110,B241&lt;&gt;1210,B241&lt;&gt;1510,B241&lt;&gt;1710),B241,IF(B241=1110,"1100",IF(B241=1210,"1200",IF(B241=1510,"1500",IF(B241=1710,"1700","X")))))</f>
        <v>1000</v>
      </c>
      <c r="F241" s="1" t="s">
        <v>11198</v>
      </c>
      <c r="G241" s="1" t="s">
        <v>302</v>
      </c>
      <c r="H241" s="1">
        <f>ROUND(P241/(1-((R241+S241))/100)*Q241, 3)</f>
        <v>141.62899999999999</v>
      </c>
      <c r="I241" s="1">
        <v>0.45</v>
      </c>
      <c r="J241" s="1">
        <v>1.5</v>
      </c>
      <c r="K241" s="1">
        <v>1</v>
      </c>
      <c r="L241" s="1" t="s">
        <v>292</v>
      </c>
      <c r="M241" s="1">
        <v>1</v>
      </c>
      <c r="N241" s="1">
        <v>1</v>
      </c>
      <c r="O241" s="1" t="s">
        <v>296</v>
      </c>
      <c r="P241" s="1">
        <v>111.533</v>
      </c>
      <c r="Q241" s="1">
        <v>1</v>
      </c>
      <c r="R241" s="1">
        <v>12</v>
      </c>
      <c r="S241" s="1">
        <v>9.25</v>
      </c>
      <c r="T241" s="1">
        <v>0</v>
      </c>
      <c r="V241" s="1" t="s">
        <v>11223</v>
      </c>
      <c r="W241" s="1">
        <v>100</v>
      </c>
      <c r="X241" s="1" t="s">
        <v>298</v>
      </c>
      <c r="Y241" s="1" t="s">
        <v>299</v>
      </c>
      <c r="Z241" s="1">
        <v>1</v>
      </c>
      <c r="AA241" s="1">
        <f>ROUND(H241*I241*Z241, 3)</f>
        <v>63.732999999999997</v>
      </c>
      <c r="AB241" s="1">
        <f>ROUND(VLOOKUP(X241,'Base de dados'!A:B, 2, 0)*AA241, 2)</f>
        <v>6.37</v>
      </c>
      <c r="AC241" s="1">
        <f>ROUND((AA241*(Destino!AG241/100))*(W241/100),2)</f>
        <v>7.65</v>
      </c>
      <c r="AD241" s="1">
        <f>ROUND(AA241*(Destino!AH241/100),2)</f>
        <v>5.9</v>
      </c>
      <c r="AF241" s="1">
        <f>ROUND((AA241+ AB241)*(J241/100),2)</f>
        <v>1.05</v>
      </c>
      <c r="AG241" s="1">
        <f>ROUND(AA241*T241,2)</f>
        <v>0</v>
      </c>
      <c r="AH241" s="1">
        <f>ROUND(AA241-(AC241+AD241)+AF241+AG241, 3)</f>
        <v>51.232999999999997</v>
      </c>
      <c r="AI241" s="1">
        <f>AH241*M241*K241</f>
        <v>51.232999999999997</v>
      </c>
      <c r="BA241" s="1" t="s">
        <v>11605</v>
      </c>
      <c r="BB241" s="1">
        <f>AI241</f>
        <v>51.232999999999997</v>
      </c>
      <c r="BD241" s="1">
        <f>N241</f>
        <v>1</v>
      </c>
    </row>
    <row r="242" spans="1:56" x14ac:dyDescent="0.25">
      <c r="A242" s="1">
        <v>600001160</v>
      </c>
      <c r="B242" s="1">
        <v>1100</v>
      </c>
      <c r="C242" s="1">
        <v>2200001473</v>
      </c>
      <c r="D242" s="1" t="s">
        <v>303</v>
      </c>
      <c r="E242" s="1">
        <f>IF(AND(B242&lt;&gt;1110,B242&lt;&gt;1210,B242&lt;&gt;1510,B242&lt;&gt;1710),B242,IF(B242=1110,"1100",IF(B242=1210,"1200",IF(B242=1510,"1500",IF(B242=1710,"1700","X")))))</f>
        <v>1100</v>
      </c>
      <c r="F242" s="1" t="s">
        <v>11198</v>
      </c>
      <c r="G242" s="1" t="s">
        <v>302</v>
      </c>
      <c r="H242" s="1">
        <f>ROUND(P242/(1-((R242+S242))/100)*Q242, 3)</f>
        <v>133.17400000000001</v>
      </c>
      <c r="I242" s="1">
        <v>0.45</v>
      </c>
      <c r="J242" s="1">
        <v>2</v>
      </c>
      <c r="K242" s="1">
        <v>1</v>
      </c>
      <c r="L242" s="1" t="s">
        <v>292</v>
      </c>
      <c r="M242" s="1">
        <v>1</v>
      </c>
      <c r="N242" s="1">
        <v>1</v>
      </c>
      <c r="O242" s="1" t="s">
        <v>296</v>
      </c>
      <c r="P242" s="1">
        <v>111.533</v>
      </c>
      <c r="Q242" s="1">
        <v>1</v>
      </c>
      <c r="R242" s="1">
        <v>7</v>
      </c>
      <c r="S242" s="1">
        <v>9.25</v>
      </c>
      <c r="T242" s="1">
        <v>0</v>
      </c>
      <c r="V242" s="1" t="s">
        <v>11223</v>
      </c>
      <c r="W242" s="1">
        <v>100</v>
      </c>
      <c r="X242" s="1" t="s">
        <v>298</v>
      </c>
      <c r="Y242" s="1" t="s">
        <v>299</v>
      </c>
      <c r="Z242" s="1">
        <v>1</v>
      </c>
      <c r="AA242" s="1">
        <f>ROUND(H242*I242*Z242, 3)</f>
        <v>59.927999999999997</v>
      </c>
      <c r="AB242" s="1">
        <f>ROUND(VLOOKUP(X242,'Base de dados'!A:B, 2, 0)*AA242, 2)</f>
        <v>5.99</v>
      </c>
      <c r="AC242" s="1">
        <f>ROUND((AA242*(Destino!AG242/100))*(W242/100),2)</f>
        <v>4.1900000000000004</v>
      </c>
      <c r="AD242" s="1">
        <f>ROUND(AA242*(Destino!AH242/100),2)</f>
        <v>5.54</v>
      </c>
      <c r="AF242" s="1">
        <f>ROUND((AA242+ AB242)*(J242/100),2)</f>
        <v>1.32</v>
      </c>
      <c r="AG242" s="1">
        <f>ROUND(AA242*T242,2)</f>
        <v>0</v>
      </c>
      <c r="AH242" s="1">
        <f>ROUND(AA242-(AC242+AD242)+AF242+AG242, 3)</f>
        <v>51.518000000000001</v>
      </c>
      <c r="AI242" s="1">
        <f>AH242*M242*K242</f>
        <v>51.518000000000001</v>
      </c>
      <c r="BA242" s="1" t="s">
        <v>11606</v>
      </c>
      <c r="BB242" s="1">
        <f>AI242</f>
        <v>51.518000000000001</v>
      </c>
      <c r="BD242" s="1">
        <f>N242</f>
        <v>1</v>
      </c>
    </row>
    <row r="243" spans="1:56" x14ac:dyDescent="0.25">
      <c r="A243" s="1">
        <v>600001160</v>
      </c>
      <c r="B243" s="1">
        <v>1110</v>
      </c>
      <c r="C243" s="1">
        <v>2200001473</v>
      </c>
      <c r="D243" s="1" t="s">
        <v>303</v>
      </c>
      <c r="E243" s="1" t="str">
        <f>IF(AND(B243&lt;&gt;1110,B243&lt;&gt;1210,B243&lt;&gt;1510,B243&lt;&gt;1710),B243,IF(B243=1110,"1100",IF(B243=1210,"1200",IF(B243=1510,"1500",IF(B243=1710,"1700","X")))))</f>
        <v>1100</v>
      </c>
      <c r="F243" s="1" t="s">
        <v>447</v>
      </c>
      <c r="G243" s="1" t="s">
        <v>302</v>
      </c>
      <c r="H243" s="1">
        <f>ROUND(P243/(1-((R243+S243))/100)*Q243, 3)</f>
        <v>133.17400000000001</v>
      </c>
      <c r="I243" s="1">
        <v>0.45</v>
      </c>
      <c r="J243" s="1">
        <v>4</v>
      </c>
      <c r="K243" s="1">
        <v>1</v>
      </c>
      <c r="L243" s="1" t="s">
        <v>292</v>
      </c>
      <c r="M243" s="1">
        <v>1</v>
      </c>
      <c r="N243" s="1">
        <v>0.75262899999999999</v>
      </c>
      <c r="O243" s="1" t="s">
        <v>296</v>
      </c>
      <c r="P243" s="1">
        <v>111.533</v>
      </c>
      <c r="Q243" s="1">
        <v>1</v>
      </c>
      <c r="R243" s="1">
        <v>7</v>
      </c>
      <c r="S243" s="1">
        <v>9.25</v>
      </c>
      <c r="T243" s="1">
        <v>0</v>
      </c>
      <c r="V243" s="1" t="s">
        <v>11223</v>
      </c>
      <c r="W243" s="1">
        <v>100</v>
      </c>
      <c r="X243" s="1" t="s">
        <v>298</v>
      </c>
      <c r="Y243" s="1" t="s">
        <v>299</v>
      </c>
      <c r="Z243" s="1">
        <v>1</v>
      </c>
      <c r="AA243" s="1">
        <f>ROUND(H243*I243*Z243, 3)</f>
        <v>59.927999999999997</v>
      </c>
      <c r="AB243" s="1">
        <f>ROUND(VLOOKUP(X243,'Base de dados'!A:B, 2, 0)*AA243, 2)</f>
        <v>5.99</v>
      </c>
      <c r="AC243" s="1">
        <f>ROUND((AA243*(Destino!AG243/100))*(W243/100),2)</f>
        <v>4.1900000000000004</v>
      </c>
      <c r="AD243" s="1">
        <f>ROUND(AA243*(Destino!AH243/100),2)</f>
        <v>5.54</v>
      </c>
      <c r="AE243" s="1">
        <f>ROUND((((AA243+AB243)*1.5039)*(Destino!AI243/100))-AC243,2)</f>
        <v>12.66</v>
      </c>
      <c r="AF243" s="1">
        <f>ROUND((AA243+AB243+AE243)*(J243/100),2)</f>
        <v>3.14</v>
      </c>
      <c r="AG243" s="1">
        <f>ROUND(AA243*T243,2)</f>
        <v>0</v>
      </c>
      <c r="AH243" s="1">
        <f>ROUND(AA243-AD243+AE243+AF243+AG243, 3)</f>
        <v>70.188000000000002</v>
      </c>
      <c r="AI243" s="1">
        <f>AH243*M243*K243</f>
        <v>70.188000000000002</v>
      </c>
      <c r="BA243" s="1" t="s">
        <v>11607</v>
      </c>
      <c r="BB243" s="1">
        <f>AI243</f>
        <v>70.188000000000002</v>
      </c>
      <c r="BD243" s="1">
        <f>N243</f>
        <v>0.75262899999999999</v>
      </c>
    </row>
    <row r="244" spans="1:56" x14ac:dyDescent="0.25">
      <c r="A244" s="1">
        <v>600001160</v>
      </c>
      <c r="B244" s="1">
        <v>1400</v>
      </c>
      <c r="C244" s="1">
        <v>2200001473</v>
      </c>
      <c r="D244" s="1" t="s">
        <v>303</v>
      </c>
      <c r="E244" s="1">
        <f>IF(AND(B244&lt;&gt;1110,B244&lt;&gt;1210,B244&lt;&gt;1510,B244&lt;&gt;1710),B244,IF(B244=1110,"1100",IF(B244=1210,"1200",IF(B244=1510,"1500",IF(B244=1710,"1700","X")))))</f>
        <v>1400</v>
      </c>
      <c r="F244" s="1" t="s">
        <v>11198</v>
      </c>
      <c r="G244" s="1" t="s">
        <v>302</v>
      </c>
      <c r="H244" s="1">
        <f>ROUND(P244/(1-((R244+S244))/100)*Q244, 3)</f>
        <v>153.31</v>
      </c>
      <c r="I244" s="1">
        <v>0.45</v>
      </c>
      <c r="J244" s="1">
        <v>1.5</v>
      </c>
      <c r="K244" s="1">
        <v>1</v>
      </c>
      <c r="L244" s="1" t="s">
        <v>292</v>
      </c>
      <c r="M244" s="1">
        <v>1</v>
      </c>
      <c r="N244" s="1">
        <v>1</v>
      </c>
      <c r="O244" s="1" t="s">
        <v>296</v>
      </c>
      <c r="P244" s="1">
        <v>111.533</v>
      </c>
      <c r="Q244" s="1">
        <v>1</v>
      </c>
      <c r="R244" s="1">
        <v>18</v>
      </c>
      <c r="S244" s="1">
        <v>9.25</v>
      </c>
      <c r="T244" s="1">
        <v>0</v>
      </c>
      <c r="V244" s="1" t="s">
        <v>11223</v>
      </c>
      <c r="W244" s="1">
        <v>100</v>
      </c>
      <c r="X244" s="1" t="s">
        <v>298</v>
      </c>
      <c r="Y244" s="1" t="s">
        <v>299</v>
      </c>
      <c r="Z244" s="1">
        <v>1</v>
      </c>
      <c r="AA244" s="1">
        <f>ROUND(H244*I244*Z244, 3)</f>
        <v>68.989999999999995</v>
      </c>
      <c r="AB244" s="1">
        <f>ROUND(VLOOKUP(X244,'Base de dados'!A:B, 2, 0)*AA244, 2)</f>
        <v>6.9</v>
      </c>
      <c r="AC244" s="1">
        <f>ROUND((AA244*(Destino!AG244/100))*(W244/100),2)</f>
        <v>12.42</v>
      </c>
      <c r="AD244" s="1">
        <f>ROUND(AA244*(Destino!AH244/100),2)</f>
        <v>6.38</v>
      </c>
      <c r="AF244" s="1">
        <f>ROUND((AA244+ AB244)*(J244/100),2)</f>
        <v>1.1399999999999999</v>
      </c>
      <c r="AG244" s="1">
        <f>ROUND(AA244*T244,2)</f>
        <v>0</v>
      </c>
      <c r="AH244" s="1">
        <f>ROUND(AA244-(AC244+AD244)+AF244+AG244, 3)</f>
        <v>51.33</v>
      </c>
      <c r="AI244" s="1">
        <f>AH244*M244*K244</f>
        <v>51.33</v>
      </c>
      <c r="BA244" s="1" t="s">
        <v>11398</v>
      </c>
      <c r="BB244" s="1">
        <f>AI244</f>
        <v>51.33</v>
      </c>
      <c r="BD244" s="1">
        <f>N244</f>
        <v>1</v>
      </c>
    </row>
    <row r="245" spans="1:56" x14ac:dyDescent="0.25">
      <c r="A245" s="1">
        <v>600001160</v>
      </c>
      <c r="B245" s="1">
        <v>1700</v>
      </c>
      <c r="C245" s="1">
        <v>2200001421</v>
      </c>
      <c r="D245" s="1" t="s">
        <v>303</v>
      </c>
      <c r="E245" s="1">
        <f>IF(AND(B245&lt;&gt;1110,B245&lt;&gt;1210,B245&lt;&gt;1510,B245&lt;&gt;1710),B245,IF(B245=1110,"1100",IF(B245=1210,"1200",IF(B245=1510,"1500",IF(B245=1710,"1700","X")))))</f>
        <v>1700</v>
      </c>
      <c r="F245" s="1" t="s">
        <v>11238</v>
      </c>
      <c r="G245" s="1" t="s">
        <v>302</v>
      </c>
      <c r="H245" s="1">
        <f>ROUND(P245/(1-((R245+S245))/100)*Q245, 3)</f>
        <v>61.29</v>
      </c>
      <c r="I245" s="1">
        <v>0.25</v>
      </c>
      <c r="J245" s="1">
        <v>3</v>
      </c>
      <c r="K245" s="1">
        <v>1</v>
      </c>
      <c r="L245" s="1" t="s">
        <v>292</v>
      </c>
      <c r="M245" s="1">
        <v>4</v>
      </c>
      <c r="N245" s="1">
        <v>1</v>
      </c>
      <c r="O245" s="1" t="s">
        <v>296</v>
      </c>
      <c r="P245" s="1">
        <f>IFERROR(VLOOKUP(BC245, BA:BA:BB:BB, 2, 0),)</f>
        <v>51.33</v>
      </c>
      <c r="Q245" s="1">
        <f>IFERROR(VLOOKUP(BC245, BA:BA:BD:BD, 4, 0),1)</f>
        <v>1</v>
      </c>
      <c r="R245" s="1">
        <v>7</v>
      </c>
      <c r="S245" s="1">
        <v>9.25</v>
      </c>
      <c r="T245" s="1">
        <v>0</v>
      </c>
      <c r="V245" s="1" t="s">
        <v>11223</v>
      </c>
      <c r="W245" s="1">
        <v>100</v>
      </c>
      <c r="X245" s="1" t="s">
        <v>298</v>
      </c>
      <c r="Y245" s="1" t="s">
        <v>299</v>
      </c>
      <c r="Z245" s="1">
        <v>1</v>
      </c>
      <c r="AA245" s="1">
        <f>ROUND(H245*I245*Z245, 3)</f>
        <v>15.323</v>
      </c>
      <c r="AB245" s="1">
        <f>ROUND(VLOOKUP(X245,'Base de dados'!A:B, 2, 0)*AA245, 2)</f>
        <v>1.53</v>
      </c>
      <c r="AC245" s="1">
        <f>ROUND((AA245*(Destino!AG245/100))*(W245/100),2)</f>
        <v>1.07</v>
      </c>
      <c r="AD245" s="1">
        <f>ROUND(AA245*(Destino!AH245/100),2)</f>
        <v>0</v>
      </c>
      <c r="AE245" s="1">
        <f>ROUND((((AA245+AB245)*1.48)*(Destino!AI245/100))-AC245,2)</f>
        <v>3.17</v>
      </c>
      <c r="AF245" s="1">
        <f>ROUND((AA245+AB245+AE245)*(J245/100),2)</f>
        <v>0.6</v>
      </c>
      <c r="AG245" s="1">
        <f>ROUND(AA245*T245,2)</f>
        <v>0</v>
      </c>
      <c r="AH245" s="1">
        <f>ROUND(AA245+AB245-AD245+AE245+AF245+AG245, 3)</f>
        <v>20.623000000000001</v>
      </c>
      <c r="AI245" s="1">
        <f>AH245*M245*K245</f>
        <v>82.492000000000004</v>
      </c>
      <c r="BA245" s="1" t="s">
        <v>11294</v>
      </c>
      <c r="BB245" s="1">
        <f>AI245</f>
        <v>82.492000000000004</v>
      </c>
      <c r="BC245" s="1" t="s">
        <v>11398</v>
      </c>
      <c r="BD245" s="1">
        <f>N245</f>
        <v>1</v>
      </c>
    </row>
    <row r="246" spans="1:56" x14ac:dyDescent="0.25">
      <c r="A246" s="1">
        <v>600001161</v>
      </c>
      <c r="B246" s="1">
        <v>1000</v>
      </c>
      <c r="C246" s="1">
        <v>2200001473</v>
      </c>
      <c r="D246" s="1" t="s">
        <v>303</v>
      </c>
      <c r="E246" s="1">
        <f>IF(AND(B246&lt;&gt;1110,B246&lt;&gt;1210,B246&lt;&gt;1510,B246&lt;&gt;1710),B246,IF(B246=1110,"1100",IF(B246=1210,"1200",IF(B246=1510,"1500",IF(B246=1710,"1700","X")))))</f>
        <v>1000</v>
      </c>
      <c r="F246" s="1" t="s">
        <v>11198</v>
      </c>
      <c r="G246" s="1" t="s">
        <v>302</v>
      </c>
      <c r="H246" s="1">
        <f>ROUND(P246/(1-((R246+S246))/100)*Q246, 3)</f>
        <v>147.57</v>
      </c>
      <c r="I246" s="1">
        <v>0.45</v>
      </c>
      <c r="J246" s="1">
        <v>1.5</v>
      </c>
      <c r="K246" s="1">
        <v>1</v>
      </c>
      <c r="L246" s="1" t="s">
        <v>292</v>
      </c>
      <c r="M246" s="1">
        <v>1</v>
      </c>
      <c r="N246" s="1">
        <v>1</v>
      </c>
      <c r="O246" s="1" t="s">
        <v>296</v>
      </c>
      <c r="P246" s="1">
        <v>116.211</v>
      </c>
      <c r="Q246" s="1">
        <v>1</v>
      </c>
      <c r="R246" s="1">
        <v>12</v>
      </c>
      <c r="S246" s="1">
        <v>9.25</v>
      </c>
      <c r="T246" s="1">
        <v>0</v>
      </c>
      <c r="V246" s="1" t="s">
        <v>11223</v>
      </c>
      <c r="W246" s="1">
        <v>100</v>
      </c>
      <c r="X246" s="1" t="s">
        <v>298</v>
      </c>
      <c r="Y246" s="1" t="s">
        <v>299</v>
      </c>
      <c r="Z246" s="1">
        <v>1</v>
      </c>
      <c r="AA246" s="1">
        <f>ROUND(H246*I246*Z246, 3)</f>
        <v>66.406999999999996</v>
      </c>
      <c r="AB246" s="1">
        <f>ROUND(VLOOKUP(X246,'Base de dados'!A:B, 2, 0)*AA246, 2)</f>
        <v>6.64</v>
      </c>
      <c r="AC246" s="1">
        <f>ROUND((AA246*(Destino!AG246/100))*(W246/100),2)</f>
        <v>7.97</v>
      </c>
      <c r="AD246" s="1">
        <f>ROUND(AA246*(Destino!AH246/100),2)</f>
        <v>6.14</v>
      </c>
      <c r="AF246" s="1">
        <f>ROUND((AA246+ AB246)*(J246/100),2)</f>
        <v>1.1000000000000001</v>
      </c>
      <c r="AG246" s="1">
        <f>ROUND(AA246*T246,2)</f>
        <v>0</v>
      </c>
      <c r="AH246" s="1">
        <f>ROUND(AA246-(AC246+AD246)+AF246+AG246, 3)</f>
        <v>53.396999999999998</v>
      </c>
      <c r="AI246" s="1">
        <f>AH246*M246*K246</f>
        <v>53.396999999999998</v>
      </c>
      <c r="BA246" s="1" t="s">
        <v>11608</v>
      </c>
      <c r="BB246" s="1">
        <f>AI246</f>
        <v>53.396999999999998</v>
      </c>
      <c r="BD246" s="1">
        <f>N246</f>
        <v>1</v>
      </c>
    </row>
    <row r="247" spans="1:56" x14ac:dyDescent="0.25">
      <c r="A247" s="1">
        <v>600001161</v>
      </c>
      <c r="B247" s="1">
        <v>1100</v>
      </c>
      <c r="C247" s="1">
        <v>2200001473</v>
      </c>
      <c r="D247" s="1" t="s">
        <v>303</v>
      </c>
      <c r="E247" s="1">
        <f>IF(AND(B247&lt;&gt;1110,B247&lt;&gt;1210,B247&lt;&gt;1510,B247&lt;&gt;1710),B247,IF(B247=1110,"1100",IF(B247=1210,"1200",IF(B247=1510,"1500",IF(B247=1710,"1700","X")))))</f>
        <v>1100</v>
      </c>
      <c r="F247" s="1" t="s">
        <v>11198</v>
      </c>
      <c r="G247" s="1" t="s">
        <v>302</v>
      </c>
      <c r="H247" s="1">
        <f>ROUND(P247/(1-((R247+S247))/100)*Q247, 3)</f>
        <v>138.75899999999999</v>
      </c>
      <c r="I247" s="1">
        <v>0.45</v>
      </c>
      <c r="J247" s="1">
        <v>2</v>
      </c>
      <c r="K247" s="1">
        <v>1</v>
      </c>
      <c r="L247" s="1" t="s">
        <v>292</v>
      </c>
      <c r="M247" s="1">
        <v>1</v>
      </c>
      <c r="N247" s="1">
        <v>1</v>
      </c>
      <c r="O247" s="1" t="s">
        <v>296</v>
      </c>
      <c r="P247" s="1">
        <v>116.211</v>
      </c>
      <c r="Q247" s="1">
        <v>1</v>
      </c>
      <c r="R247" s="1">
        <v>7</v>
      </c>
      <c r="S247" s="1">
        <v>9.25</v>
      </c>
      <c r="T247" s="1">
        <v>0</v>
      </c>
      <c r="V247" s="1" t="s">
        <v>11223</v>
      </c>
      <c r="W247" s="1">
        <v>100</v>
      </c>
      <c r="X247" s="1" t="s">
        <v>298</v>
      </c>
      <c r="Y247" s="1" t="s">
        <v>299</v>
      </c>
      <c r="Z247" s="1">
        <v>1</v>
      </c>
      <c r="AA247" s="1">
        <f>ROUND(H247*I247*Z247, 3)</f>
        <v>62.442</v>
      </c>
      <c r="AB247" s="1">
        <f>ROUND(VLOOKUP(X247,'Base de dados'!A:B, 2, 0)*AA247, 2)</f>
        <v>6.24</v>
      </c>
      <c r="AC247" s="1">
        <f>ROUND((AA247*(Destino!AG247/100))*(W247/100),2)</f>
        <v>4.37</v>
      </c>
      <c r="AD247" s="1">
        <f>ROUND(AA247*(Destino!AH247/100),2)</f>
        <v>5.78</v>
      </c>
      <c r="AF247" s="1">
        <f>ROUND((AA247+ AB247)*(J247/100),2)</f>
        <v>1.37</v>
      </c>
      <c r="AG247" s="1">
        <f>ROUND(AA247*T247,2)</f>
        <v>0</v>
      </c>
      <c r="AH247" s="1">
        <f>ROUND(AA247-(AC247+AD247)+AF247+AG247, 3)</f>
        <v>53.661999999999999</v>
      </c>
      <c r="AI247" s="1">
        <f>AH247*M247*K247</f>
        <v>53.661999999999999</v>
      </c>
      <c r="BA247" s="1" t="s">
        <v>11609</v>
      </c>
      <c r="BB247" s="1">
        <f>AI247</f>
        <v>53.661999999999999</v>
      </c>
      <c r="BD247" s="1">
        <f>N247</f>
        <v>1</v>
      </c>
    </row>
    <row r="248" spans="1:56" x14ac:dyDescent="0.25">
      <c r="A248" s="1">
        <v>600001161</v>
      </c>
      <c r="B248" s="1">
        <v>1110</v>
      </c>
      <c r="C248" s="1">
        <v>2200001473</v>
      </c>
      <c r="D248" s="1" t="s">
        <v>303</v>
      </c>
      <c r="E248" s="1" t="str">
        <f>IF(AND(B248&lt;&gt;1110,B248&lt;&gt;1210,B248&lt;&gt;1510,B248&lt;&gt;1710),B248,IF(B248=1110,"1100",IF(B248=1210,"1200",IF(B248=1510,"1500",IF(B248=1710,"1700","X")))))</f>
        <v>1100</v>
      </c>
      <c r="F248" s="1" t="s">
        <v>447</v>
      </c>
      <c r="G248" s="1" t="s">
        <v>302</v>
      </c>
      <c r="H248" s="1">
        <f>ROUND(P248/(1-((R248+S248))/100)*Q248, 3)</f>
        <v>138.75899999999999</v>
      </c>
      <c r="I248" s="1">
        <v>0.45</v>
      </c>
      <c r="J248" s="1">
        <v>4</v>
      </c>
      <c r="K248" s="1">
        <v>1</v>
      </c>
      <c r="L248" s="1" t="s">
        <v>292</v>
      </c>
      <c r="M248" s="1">
        <v>1</v>
      </c>
      <c r="N248" s="1">
        <v>0.75274200000000002</v>
      </c>
      <c r="O248" s="1" t="s">
        <v>296</v>
      </c>
      <c r="P248" s="1">
        <v>116.211</v>
      </c>
      <c r="Q248" s="1">
        <v>1</v>
      </c>
      <c r="R248" s="1">
        <v>7</v>
      </c>
      <c r="S248" s="1">
        <v>9.25</v>
      </c>
      <c r="T248" s="1">
        <v>0</v>
      </c>
      <c r="V248" s="1" t="s">
        <v>11223</v>
      </c>
      <c r="W248" s="1">
        <v>100</v>
      </c>
      <c r="X248" s="1" t="s">
        <v>298</v>
      </c>
      <c r="Y248" s="1" t="s">
        <v>299</v>
      </c>
      <c r="Z248" s="1">
        <v>1</v>
      </c>
      <c r="AA248" s="1">
        <f>ROUND(H248*I248*Z248, 3)</f>
        <v>62.442</v>
      </c>
      <c r="AB248" s="1">
        <f>ROUND(VLOOKUP(X248,'Base de dados'!A:B, 2, 0)*AA248, 2)</f>
        <v>6.24</v>
      </c>
      <c r="AC248" s="1">
        <f>ROUND((AA248*(Destino!AG248/100))*(W248/100),2)</f>
        <v>4.37</v>
      </c>
      <c r="AD248" s="1">
        <f>ROUND(AA248*(Destino!AH248/100),2)</f>
        <v>5.78</v>
      </c>
      <c r="AE248" s="1">
        <f>ROUND((((AA248+AB248)*1.5039)*(Destino!AI248/100))-AC248,2)</f>
        <v>13.19</v>
      </c>
      <c r="AF248" s="1">
        <f>ROUND((AA248+AB248+AE248)*(J248/100),2)</f>
        <v>3.27</v>
      </c>
      <c r="AG248" s="1">
        <f>ROUND(AA248*T248,2)</f>
        <v>0</v>
      </c>
      <c r="AH248" s="1">
        <f>ROUND(AA248-AD248+AE248+AF248+AG248, 3)</f>
        <v>73.122</v>
      </c>
      <c r="AI248" s="1">
        <f>AH248*M248*K248</f>
        <v>73.122</v>
      </c>
      <c r="BA248" s="1" t="s">
        <v>11610</v>
      </c>
      <c r="BB248" s="1">
        <f>AI248</f>
        <v>73.122</v>
      </c>
      <c r="BD248" s="1">
        <f>N248</f>
        <v>0.75274200000000002</v>
      </c>
    </row>
    <row r="249" spans="1:56" x14ac:dyDescent="0.25">
      <c r="A249" s="1">
        <v>600001161</v>
      </c>
      <c r="B249" s="1">
        <v>1400</v>
      </c>
      <c r="C249" s="1">
        <v>2200001473</v>
      </c>
      <c r="D249" s="1" t="s">
        <v>303</v>
      </c>
      <c r="E249" s="1">
        <f>IF(AND(B249&lt;&gt;1110,B249&lt;&gt;1210,B249&lt;&gt;1510,B249&lt;&gt;1710),B249,IF(B249=1110,"1100",IF(B249=1210,"1200",IF(B249=1510,"1500",IF(B249=1710,"1700","X")))))</f>
        <v>1400</v>
      </c>
      <c r="F249" s="1" t="s">
        <v>11198</v>
      </c>
      <c r="G249" s="1" t="s">
        <v>302</v>
      </c>
      <c r="H249" s="1">
        <f>ROUND(P249/(1-((R249+S249))/100)*Q249, 3)</f>
        <v>159.74</v>
      </c>
      <c r="I249" s="1">
        <v>0.45</v>
      </c>
      <c r="J249" s="1">
        <v>1.5</v>
      </c>
      <c r="K249" s="1">
        <v>1</v>
      </c>
      <c r="L249" s="1" t="s">
        <v>292</v>
      </c>
      <c r="M249" s="1">
        <v>1</v>
      </c>
      <c r="N249" s="1">
        <v>1</v>
      </c>
      <c r="O249" s="1" t="s">
        <v>296</v>
      </c>
      <c r="P249" s="1">
        <v>116.211</v>
      </c>
      <c r="Q249" s="1">
        <v>1</v>
      </c>
      <c r="R249" s="1">
        <v>18</v>
      </c>
      <c r="S249" s="1">
        <v>9.25</v>
      </c>
      <c r="T249" s="1">
        <v>0</v>
      </c>
      <c r="V249" s="1" t="s">
        <v>11223</v>
      </c>
      <c r="W249" s="1">
        <v>100</v>
      </c>
      <c r="X249" s="1" t="s">
        <v>298</v>
      </c>
      <c r="Y249" s="1" t="s">
        <v>299</v>
      </c>
      <c r="Z249" s="1">
        <v>1</v>
      </c>
      <c r="AA249" s="1">
        <f>ROUND(H249*I249*Z249, 3)</f>
        <v>71.882999999999996</v>
      </c>
      <c r="AB249" s="1">
        <f>ROUND(VLOOKUP(X249,'Base de dados'!A:B, 2, 0)*AA249, 2)</f>
        <v>7.19</v>
      </c>
      <c r="AC249" s="1">
        <f>ROUND((AA249*(Destino!AG249/100))*(W249/100),2)</f>
        <v>12.94</v>
      </c>
      <c r="AD249" s="1">
        <f>ROUND(AA249*(Destino!AH249/100),2)</f>
        <v>6.65</v>
      </c>
      <c r="AF249" s="1">
        <f>ROUND((AA249+ AB249)*(J249/100),2)</f>
        <v>1.19</v>
      </c>
      <c r="AG249" s="1">
        <f>ROUND(AA249*T249,2)</f>
        <v>0</v>
      </c>
      <c r="AH249" s="1">
        <f>ROUND(AA249-(AC249+AD249)+AF249+AG249, 3)</f>
        <v>53.482999999999997</v>
      </c>
      <c r="AI249" s="1">
        <f>AH249*M249*K249</f>
        <v>53.482999999999997</v>
      </c>
      <c r="BA249" s="1" t="s">
        <v>11399</v>
      </c>
      <c r="BB249" s="1">
        <f>AI249</f>
        <v>53.482999999999997</v>
      </c>
      <c r="BD249" s="1">
        <f>N249</f>
        <v>1</v>
      </c>
    </row>
    <row r="250" spans="1:56" x14ac:dyDescent="0.25">
      <c r="A250" s="1">
        <v>600001161</v>
      </c>
      <c r="B250" s="1">
        <v>1700</v>
      </c>
      <c r="C250" s="1">
        <v>2200001421</v>
      </c>
      <c r="D250" s="1" t="s">
        <v>303</v>
      </c>
      <c r="E250" s="1">
        <f>IF(AND(B250&lt;&gt;1110,B250&lt;&gt;1210,B250&lt;&gt;1510,B250&lt;&gt;1710),B250,IF(B250=1110,"1100",IF(B250=1210,"1200",IF(B250=1510,"1500",IF(B250=1710,"1700","X")))))</f>
        <v>1700</v>
      </c>
      <c r="F250" s="1" t="s">
        <v>11238</v>
      </c>
      <c r="G250" s="1" t="s">
        <v>302</v>
      </c>
      <c r="H250" s="1">
        <f>ROUND(P250/(1-((R250+S250))/100)*Q250, 3)</f>
        <v>63.86</v>
      </c>
      <c r="I250" s="1">
        <v>0.25</v>
      </c>
      <c r="J250" s="1">
        <v>3</v>
      </c>
      <c r="K250" s="1">
        <v>1</v>
      </c>
      <c r="L250" s="1" t="s">
        <v>292</v>
      </c>
      <c r="M250" s="1">
        <v>4</v>
      </c>
      <c r="N250" s="1">
        <v>1</v>
      </c>
      <c r="O250" s="1" t="s">
        <v>296</v>
      </c>
      <c r="P250" s="1">
        <f>IFERROR(VLOOKUP(BC250, BA:BA:BB:BB, 2, 0),)</f>
        <v>53.482999999999997</v>
      </c>
      <c r="Q250" s="1">
        <f>IFERROR(VLOOKUP(BC250, BA:BA:BD:BD, 4, 0),1)</f>
        <v>1</v>
      </c>
      <c r="R250" s="1">
        <v>7</v>
      </c>
      <c r="S250" s="1">
        <v>9.25</v>
      </c>
      <c r="T250" s="1">
        <v>0</v>
      </c>
      <c r="V250" s="1" t="s">
        <v>11223</v>
      </c>
      <c r="W250" s="1">
        <v>100</v>
      </c>
      <c r="X250" s="1" t="s">
        <v>298</v>
      </c>
      <c r="Y250" s="1" t="s">
        <v>299</v>
      </c>
      <c r="Z250" s="1">
        <v>1</v>
      </c>
      <c r="AA250" s="1">
        <f>ROUND(H250*I250*Z250, 3)</f>
        <v>15.965</v>
      </c>
      <c r="AB250" s="1">
        <f>ROUND(VLOOKUP(X250,'Base de dados'!A:B, 2, 0)*AA250, 2)</f>
        <v>1.6</v>
      </c>
      <c r="AC250" s="1">
        <f>ROUND((AA250*(Destino!AG250/100))*(W250/100),2)</f>
        <v>1.1200000000000001</v>
      </c>
      <c r="AD250" s="1">
        <f>ROUND(AA250*(Destino!AH250/100),2)</f>
        <v>0</v>
      </c>
      <c r="AE250" s="1">
        <f>ROUND((((AA250+AB250)*1.48)*(Destino!AI250/100))-AC250,2)</f>
        <v>3.3</v>
      </c>
      <c r="AF250" s="1">
        <f>ROUND((AA250+AB250+AE250)*(J250/100),2)</f>
        <v>0.63</v>
      </c>
      <c r="AG250" s="1">
        <f>ROUND(AA250*T250,2)</f>
        <v>0</v>
      </c>
      <c r="AH250" s="1">
        <f>ROUND(AA250+AB250-AD250+AE250+AF250+AG250, 3)</f>
        <v>21.495000000000001</v>
      </c>
      <c r="AI250" s="1">
        <f>AH250*M250*K250</f>
        <v>85.98</v>
      </c>
      <c r="BA250" s="1" t="s">
        <v>11295</v>
      </c>
      <c r="BB250" s="1">
        <f>AI250</f>
        <v>85.98</v>
      </c>
      <c r="BC250" s="1" t="s">
        <v>11399</v>
      </c>
      <c r="BD250" s="1">
        <f>N250</f>
        <v>1</v>
      </c>
    </row>
    <row r="251" spans="1:56" x14ac:dyDescent="0.25">
      <c r="A251" s="1">
        <v>600001162</v>
      </c>
      <c r="B251" s="1">
        <v>1000</v>
      </c>
      <c r="C251" s="1">
        <v>2200001473</v>
      </c>
      <c r="D251" s="1" t="s">
        <v>303</v>
      </c>
      <c r="E251" s="1">
        <f>IF(AND(B251&lt;&gt;1110,B251&lt;&gt;1210,B251&lt;&gt;1510,B251&lt;&gt;1710),B251,IF(B251=1110,"1100",IF(B251=1210,"1200",IF(B251=1510,"1500",IF(B251=1710,"1700","X")))))</f>
        <v>1000</v>
      </c>
      <c r="F251" s="1" t="s">
        <v>11198</v>
      </c>
      <c r="G251" s="1" t="s">
        <v>302</v>
      </c>
      <c r="H251" s="1">
        <f>ROUND(P251/(1-((R251+S251))/100)*Q251, 3)</f>
        <v>166.05500000000001</v>
      </c>
      <c r="I251" s="1">
        <v>0.45</v>
      </c>
      <c r="J251" s="1">
        <v>1.5</v>
      </c>
      <c r="K251" s="1">
        <v>1</v>
      </c>
      <c r="L251" s="1" t="s">
        <v>292</v>
      </c>
      <c r="M251" s="1">
        <v>1</v>
      </c>
      <c r="N251" s="1">
        <v>1</v>
      </c>
      <c r="O251" s="1" t="s">
        <v>296</v>
      </c>
      <c r="P251" s="1">
        <v>130.768</v>
      </c>
      <c r="Q251" s="1">
        <v>1</v>
      </c>
      <c r="R251" s="1">
        <v>12</v>
      </c>
      <c r="S251" s="1">
        <v>9.25</v>
      </c>
      <c r="T251" s="1">
        <v>0</v>
      </c>
      <c r="V251" s="1" t="s">
        <v>11223</v>
      </c>
      <c r="W251" s="1">
        <v>100</v>
      </c>
      <c r="X251" s="1" t="s">
        <v>298</v>
      </c>
      <c r="Y251" s="1" t="s">
        <v>299</v>
      </c>
      <c r="Z251" s="1">
        <v>1</v>
      </c>
      <c r="AA251" s="1">
        <f>ROUND(H251*I251*Z251, 3)</f>
        <v>74.724999999999994</v>
      </c>
      <c r="AB251" s="1">
        <f>ROUND(VLOOKUP(X251,'Base de dados'!A:B, 2, 0)*AA251, 2)</f>
        <v>7.47</v>
      </c>
      <c r="AC251" s="1">
        <f>ROUND((AA251*(Destino!AG251/100))*(W251/100),2)</f>
        <v>8.9700000000000006</v>
      </c>
      <c r="AD251" s="1">
        <f>ROUND(AA251*(Destino!AH251/100),2)</f>
        <v>6.91</v>
      </c>
      <c r="AF251" s="1">
        <f>ROUND((AA251+ AB251)*(J251/100),2)</f>
        <v>1.23</v>
      </c>
      <c r="AG251" s="1">
        <f>ROUND(AA251*T251,2)</f>
        <v>0</v>
      </c>
      <c r="AH251" s="1">
        <f>ROUND(AA251-(AC251+AD251)+AF251+AG251, 3)</f>
        <v>60.075000000000003</v>
      </c>
      <c r="AI251" s="1">
        <f>AH251*M251*K251</f>
        <v>60.075000000000003</v>
      </c>
      <c r="BA251" s="1" t="s">
        <v>11611</v>
      </c>
      <c r="BB251" s="1">
        <f>AI251</f>
        <v>60.075000000000003</v>
      </c>
      <c r="BD251" s="1">
        <f>N251</f>
        <v>1</v>
      </c>
    </row>
    <row r="252" spans="1:56" x14ac:dyDescent="0.25">
      <c r="A252" s="1">
        <v>600001162</v>
      </c>
      <c r="B252" s="1">
        <v>1100</v>
      </c>
      <c r="C252" s="1">
        <v>2200001473</v>
      </c>
      <c r="D252" s="1" t="s">
        <v>303</v>
      </c>
      <c r="E252" s="1">
        <f>IF(AND(B252&lt;&gt;1110,B252&lt;&gt;1210,B252&lt;&gt;1510,B252&lt;&gt;1710),B252,IF(B252=1110,"1100",IF(B252=1210,"1200",IF(B252=1510,"1500",IF(B252=1710,"1700","X")))))</f>
        <v>1100</v>
      </c>
      <c r="F252" s="1" t="s">
        <v>11198</v>
      </c>
      <c r="G252" s="1" t="s">
        <v>302</v>
      </c>
      <c r="H252" s="1">
        <f>ROUND(P252/(1-((R252+S252))/100)*Q252, 3)</f>
        <v>156.14099999999999</v>
      </c>
      <c r="I252" s="1">
        <v>0.45</v>
      </c>
      <c r="J252" s="1">
        <v>2</v>
      </c>
      <c r="K252" s="1">
        <v>1</v>
      </c>
      <c r="L252" s="1" t="s">
        <v>292</v>
      </c>
      <c r="M252" s="1">
        <v>1</v>
      </c>
      <c r="N252" s="1">
        <v>1</v>
      </c>
      <c r="O252" s="1" t="s">
        <v>296</v>
      </c>
      <c r="P252" s="1">
        <v>130.768</v>
      </c>
      <c r="Q252" s="1">
        <v>1</v>
      </c>
      <c r="R252" s="1">
        <v>7</v>
      </c>
      <c r="S252" s="1">
        <v>9.25</v>
      </c>
      <c r="T252" s="1">
        <v>0</v>
      </c>
      <c r="V252" s="1" t="s">
        <v>11223</v>
      </c>
      <c r="W252" s="1">
        <v>100</v>
      </c>
      <c r="X252" s="1" t="s">
        <v>298</v>
      </c>
      <c r="Y252" s="1" t="s">
        <v>299</v>
      </c>
      <c r="Z252" s="1">
        <v>1</v>
      </c>
      <c r="AA252" s="1">
        <f>ROUND(H252*I252*Z252, 3)</f>
        <v>70.263000000000005</v>
      </c>
      <c r="AB252" s="1">
        <f>ROUND(VLOOKUP(X252,'Base de dados'!A:B, 2, 0)*AA252, 2)</f>
        <v>7.03</v>
      </c>
      <c r="AC252" s="1">
        <f>ROUND((AA252*(Destino!AG252/100))*(W252/100),2)</f>
        <v>4.92</v>
      </c>
      <c r="AD252" s="1">
        <f>ROUND(AA252*(Destino!AH252/100),2)</f>
        <v>6.5</v>
      </c>
      <c r="AF252" s="1">
        <f>ROUND((AA252+ AB252)*(J252/100),2)</f>
        <v>1.55</v>
      </c>
      <c r="AG252" s="1">
        <f>ROUND(AA252*T252,2)</f>
        <v>0</v>
      </c>
      <c r="AH252" s="1">
        <f>ROUND(AA252-(AC252+AD252)+AF252+AG252, 3)</f>
        <v>60.393000000000001</v>
      </c>
      <c r="AI252" s="1">
        <f>AH252*M252*K252</f>
        <v>60.393000000000001</v>
      </c>
      <c r="BA252" s="1" t="s">
        <v>11612</v>
      </c>
      <c r="BB252" s="1">
        <f>AI252</f>
        <v>60.393000000000001</v>
      </c>
      <c r="BD252" s="1">
        <f>N252</f>
        <v>1</v>
      </c>
    </row>
    <row r="253" spans="1:56" x14ac:dyDescent="0.25">
      <c r="A253" s="1">
        <v>600001162</v>
      </c>
      <c r="B253" s="1">
        <v>1110</v>
      </c>
      <c r="C253" s="1">
        <v>2200001473</v>
      </c>
      <c r="D253" s="1" t="s">
        <v>303</v>
      </c>
      <c r="E253" s="1" t="str">
        <f>IF(AND(B253&lt;&gt;1110,B253&lt;&gt;1210,B253&lt;&gt;1510,B253&lt;&gt;1710),B253,IF(B253=1110,"1100",IF(B253=1210,"1200",IF(B253=1510,"1500",IF(B253=1710,"1700","X")))))</f>
        <v>1100</v>
      </c>
      <c r="F253" s="1" t="s">
        <v>447</v>
      </c>
      <c r="G253" s="1" t="s">
        <v>302</v>
      </c>
      <c r="H253" s="1">
        <f>ROUND(P253/(1-((R253+S253))/100)*Q253, 3)</f>
        <v>156.14099999999999</v>
      </c>
      <c r="I253" s="1">
        <v>0.45</v>
      </c>
      <c r="J253" s="1">
        <v>4</v>
      </c>
      <c r="K253" s="1">
        <v>1</v>
      </c>
      <c r="L253" s="1" t="s">
        <v>292</v>
      </c>
      <c r="M253" s="1">
        <v>1</v>
      </c>
      <c r="N253" s="1">
        <v>0.75259100000000001</v>
      </c>
      <c r="O253" s="1" t="s">
        <v>296</v>
      </c>
      <c r="P253" s="1">
        <v>130.768</v>
      </c>
      <c r="Q253" s="1">
        <v>1</v>
      </c>
      <c r="R253" s="1">
        <v>7</v>
      </c>
      <c r="S253" s="1">
        <v>9.25</v>
      </c>
      <c r="T253" s="1">
        <v>0</v>
      </c>
      <c r="V253" s="1" t="s">
        <v>11223</v>
      </c>
      <c r="W253" s="1">
        <v>100</v>
      </c>
      <c r="X253" s="1" t="s">
        <v>298</v>
      </c>
      <c r="Y253" s="1" t="s">
        <v>299</v>
      </c>
      <c r="Z253" s="1">
        <v>1</v>
      </c>
      <c r="AA253" s="1">
        <f>ROUND(H253*I253*Z253, 3)</f>
        <v>70.263000000000005</v>
      </c>
      <c r="AB253" s="1">
        <f>ROUND(VLOOKUP(X253,'Base de dados'!A:B, 2, 0)*AA253, 2)</f>
        <v>7.03</v>
      </c>
      <c r="AC253" s="1">
        <f>ROUND((AA253*(Destino!AG253/100))*(W253/100),2)</f>
        <v>4.92</v>
      </c>
      <c r="AD253" s="1">
        <f>ROUND(AA253*(Destino!AH253/100),2)</f>
        <v>6.5</v>
      </c>
      <c r="AE253" s="1">
        <f>ROUND((((AA253+AB253)*1.5039)*(Destino!AI253/100))-AC253,2)</f>
        <v>14.84</v>
      </c>
      <c r="AF253" s="1">
        <f>ROUND((AA253+AB253+AE253)*(J253/100),2)</f>
        <v>3.69</v>
      </c>
      <c r="AG253" s="1">
        <f>ROUND(AA253*T253,2)</f>
        <v>0</v>
      </c>
      <c r="AH253" s="1">
        <f>ROUND(AA253-AD253+AE253+AF253+AG253, 3)</f>
        <v>82.293000000000006</v>
      </c>
      <c r="AI253" s="1">
        <f>AH253*M253*K253</f>
        <v>82.293000000000006</v>
      </c>
      <c r="BA253" s="1" t="s">
        <v>11613</v>
      </c>
      <c r="BB253" s="1">
        <f>AI253</f>
        <v>82.293000000000006</v>
      </c>
      <c r="BD253" s="1">
        <f>N253</f>
        <v>0.75259100000000001</v>
      </c>
    </row>
    <row r="254" spans="1:56" x14ac:dyDescent="0.25">
      <c r="A254" s="1">
        <v>600001162</v>
      </c>
      <c r="B254" s="1">
        <v>1400</v>
      </c>
      <c r="C254" s="1">
        <v>2200001473</v>
      </c>
      <c r="D254" s="1" t="s">
        <v>303</v>
      </c>
      <c r="E254" s="1">
        <f>IF(AND(B254&lt;&gt;1110,B254&lt;&gt;1210,B254&lt;&gt;1510,B254&lt;&gt;1710),B254,IF(B254=1110,"1100",IF(B254=1210,"1200",IF(B254=1510,"1500",IF(B254=1710,"1700","X")))))</f>
        <v>1400</v>
      </c>
      <c r="F254" s="1" t="s">
        <v>11198</v>
      </c>
      <c r="G254" s="1" t="s">
        <v>302</v>
      </c>
      <c r="H254" s="1">
        <f>ROUND(P254/(1-((R254+S254))/100)*Q254, 3)</f>
        <v>179.75</v>
      </c>
      <c r="I254" s="1">
        <v>0.45</v>
      </c>
      <c r="J254" s="1">
        <v>1.5</v>
      </c>
      <c r="K254" s="1">
        <v>1</v>
      </c>
      <c r="L254" s="1" t="s">
        <v>292</v>
      </c>
      <c r="M254" s="1">
        <v>1</v>
      </c>
      <c r="N254" s="1">
        <v>1</v>
      </c>
      <c r="O254" s="1" t="s">
        <v>296</v>
      </c>
      <c r="P254" s="1">
        <v>130.768</v>
      </c>
      <c r="Q254" s="1">
        <v>1</v>
      </c>
      <c r="R254" s="1">
        <v>18</v>
      </c>
      <c r="S254" s="1">
        <v>9.25</v>
      </c>
      <c r="T254" s="1">
        <v>0</v>
      </c>
      <c r="V254" s="1" t="s">
        <v>11223</v>
      </c>
      <c r="W254" s="1">
        <v>100</v>
      </c>
      <c r="X254" s="1" t="s">
        <v>298</v>
      </c>
      <c r="Y254" s="1" t="s">
        <v>299</v>
      </c>
      <c r="Z254" s="1">
        <v>1</v>
      </c>
      <c r="AA254" s="1">
        <f>ROUND(H254*I254*Z254, 3)</f>
        <v>80.888000000000005</v>
      </c>
      <c r="AB254" s="1">
        <f>ROUND(VLOOKUP(X254,'Base de dados'!A:B, 2, 0)*AA254, 2)</f>
        <v>8.09</v>
      </c>
      <c r="AC254" s="1">
        <f>ROUND((AA254*(Destino!AG254/100))*(W254/100),2)</f>
        <v>14.56</v>
      </c>
      <c r="AD254" s="1">
        <f>ROUND(AA254*(Destino!AH254/100),2)</f>
        <v>7.48</v>
      </c>
      <c r="AF254" s="1">
        <f>ROUND((AA254+ AB254)*(J254/100),2)</f>
        <v>1.33</v>
      </c>
      <c r="AG254" s="1">
        <f>ROUND(AA254*T254,2)</f>
        <v>0</v>
      </c>
      <c r="AH254" s="1">
        <f>ROUND(AA254-(AC254+AD254)+AF254+AG254, 3)</f>
        <v>60.177999999999997</v>
      </c>
      <c r="AI254" s="1">
        <f>AH254*M254*K254</f>
        <v>60.177999999999997</v>
      </c>
      <c r="BA254" s="1" t="s">
        <v>11400</v>
      </c>
      <c r="BB254" s="1">
        <f>AI254</f>
        <v>60.177999999999997</v>
      </c>
      <c r="BD254" s="1">
        <f>N254</f>
        <v>1</v>
      </c>
    </row>
    <row r="255" spans="1:56" x14ac:dyDescent="0.25">
      <c r="A255" s="1">
        <v>600001162</v>
      </c>
      <c r="B255" s="1">
        <v>1700</v>
      </c>
      <c r="C255" s="1">
        <v>2200001421</v>
      </c>
      <c r="D255" s="1" t="s">
        <v>303</v>
      </c>
      <c r="E255" s="1">
        <f>IF(AND(B255&lt;&gt;1110,B255&lt;&gt;1210,B255&lt;&gt;1510,B255&lt;&gt;1710),B255,IF(B255=1110,"1100",IF(B255=1210,"1200",IF(B255=1510,"1500",IF(B255=1710,"1700","X")))))</f>
        <v>1700</v>
      </c>
      <c r="F255" s="1" t="s">
        <v>11238</v>
      </c>
      <c r="G255" s="1" t="s">
        <v>302</v>
      </c>
      <c r="H255" s="1">
        <f>ROUND(P255/(1-((R255+S255))/100)*Q255, 3)</f>
        <v>71.853999999999999</v>
      </c>
      <c r="I255" s="1">
        <v>0.25</v>
      </c>
      <c r="J255" s="1">
        <v>3</v>
      </c>
      <c r="K255" s="1">
        <v>1</v>
      </c>
      <c r="L255" s="1" t="s">
        <v>292</v>
      </c>
      <c r="M255" s="1">
        <v>4</v>
      </c>
      <c r="N255" s="1">
        <v>1</v>
      </c>
      <c r="O255" s="1" t="s">
        <v>296</v>
      </c>
      <c r="P255" s="1">
        <f>IFERROR(VLOOKUP(BC255, BA:BA:BB:BB, 2, 0),)</f>
        <v>60.177999999999997</v>
      </c>
      <c r="Q255" s="1">
        <f>IFERROR(VLOOKUP(BC255, BA:BA:BD:BD, 4, 0),1)</f>
        <v>1</v>
      </c>
      <c r="R255" s="1">
        <v>7</v>
      </c>
      <c r="S255" s="1">
        <v>9.25</v>
      </c>
      <c r="T255" s="1">
        <v>0</v>
      </c>
      <c r="V255" s="1" t="s">
        <v>11223</v>
      </c>
      <c r="W255" s="1">
        <v>100</v>
      </c>
      <c r="X255" s="1" t="s">
        <v>298</v>
      </c>
      <c r="Y255" s="1" t="s">
        <v>299</v>
      </c>
      <c r="Z255" s="1">
        <v>1</v>
      </c>
      <c r="AA255" s="1">
        <f>ROUND(H255*I255*Z255, 3)</f>
        <v>17.963999999999999</v>
      </c>
      <c r="AB255" s="1">
        <f>ROUND(VLOOKUP(X255,'Base de dados'!A:B, 2, 0)*AA255, 2)</f>
        <v>1.8</v>
      </c>
      <c r="AC255" s="1">
        <f>ROUND((AA255*(Destino!AG255/100))*(W255/100),2)</f>
        <v>1.26</v>
      </c>
      <c r="AD255" s="1">
        <f>ROUND(AA255*(Destino!AH255/100),2)</f>
        <v>0</v>
      </c>
      <c r="AE255" s="1">
        <f>ROUND((((AA255+AB255)*1.48)*(Destino!AI255/100))-AC255,2)</f>
        <v>3.71</v>
      </c>
      <c r="AF255" s="1">
        <f>ROUND((AA255+AB255+AE255)*(J255/100),2)</f>
        <v>0.7</v>
      </c>
      <c r="AG255" s="1">
        <f>ROUND(AA255*T255,2)</f>
        <v>0</v>
      </c>
      <c r="AH255" s="1">
        <f>ROUND(AA255+AB255-AD255+AE255+AF255+AG255, 3)</f>
        <v>24.173999999999999</v>
      </c>
      <c r="AI255" s="1">
        <f>AH255*M255*K255</f>
        <v>96.695999999999998</v>
      </c>
      <c r="BA255" s="1" t="s">
        <v>11296</v>
      </c>
      <c r="BB255" s="1">
        <f>AI255</f>
        <v>96.695999999999998</v>
      </c>
      <c r="BC255" s="1" t="s">
        <v>11400</v>
      </c>
      <c r="BD255" s="1">
        <f>N255</f>
        <v>1</v>
      </c>
    </row>
    <row r="256" spans="1:56" x14ac:dyDescent="0.25">
      <c r="A256" s="1">
        <v>600001170</v>
      </c>
      <c r="B256" s="1">
        <v>1000</v>
      </c>
      <c r="C256" s="1">
        <v>2200001473</v>
      </c>
      <c r="D256" s="1" t="s">
        <v>303</v>
      </c>
      <c r="E256" s="1">
        <f>IF(AND(B256&lt;&gt;1110,B256&lt;&gt;1210,B256&lt;&gt;1510,B256&lt;&gt;1710),B256,IF(B256=1110,"1100",IF(B256=1210,"1200",IF(B256=1510,"1500",IF(B256=1710,"1700","X")))))</f>
        <v>1000</v>
      </c>
      <c r="F256" s="1" t="s">
        <v>11198</v>
      </c>
      <c r="G256" s="1" t="s">
        <v>302</v>
      </c>
      <c r="H256" s="1">
        <f>ROUND(P256/(1-((R256+S256))/100)*Q256, 3)</f>
        <v>77.144000000000005</v>
      </c>
      <c r="I256" s="1">
        <v>0.45</v>
      </c>
      <c r="J256" s="1">
        <v>1.5</v>
      </c>
      <c r="K256" s="1">
        <v>1</v>
      </c>
      <c r="L256" s="1" t="s">
        <v>292</v>
      </c>
      <c r="M256" s="1">
        <v>1</v>
      </c>
      <c r="N256" s="1">
        <v>1</v>
      </c>
      <c r="O256" s="1" t="s">
        <v>296</v>
      </c>
      <c r="P256" s="1">
        <v>60.750999999999998</v>
      </c>
      <c r="Q256" s="1">
        <v>1</v>
      </c>
      <c r="R256" s="1">
        <v>12</v>
      </c>
      <c r="S256" s="1">
        <v>9.25</v>
      </c>
      <c r="T256" s="1">
        <v>0</v>
      </c>
      <c r="V256" s="1" t="s">
        <v>11223</v>
      </c>
      <c r="W256" s="1">
        <v>100</v>
      </c>
      <c r="X256" s="1" t="s">
        <v>298</v>
      </c>
      <c r="Y256" s="1" t="s">
        <v>299</v>
      </c>
      <c r="Z256" s="1">
        <v>1</v>
      </c>
      <c r="AA256" s="1">
        <f>ROUND(H256*I256*Z256, 3)</f>
        <v>34.715000000000003</v>
      </c>
      <c r="AB256" s="1">
        <f>ROUND(VLOOKUP(X256,'Base de dados'!A:B, 2, 0)*AA256, 2)</f>
        <v>3.47</v>
      </c>
      <c r="AC256" s="1">
        <f>ROUND((AA256*(Destino!AG256/100))*(W256/100),2)</f>
        <v>4.17</v>
      </c>
      <c r="AD256" s="1">
        <f>ROUND(AA256*(Destino!AH256/100),2)</f>
        <v>3.21</v>
      </c>
      <c r="AF256" s="1">
        <f>ROUND((AA256+ AB256)*(J256/100),2)</f>
        <v>0.56999999999999995</v>
      </c>
      <c r="AG256" s="1">
        <f>ROUND(AA256*T256,2)</f>
        <v>0</v>
      </c>
      <c r="AH256" s="1">
        <f>ROUND(AA256-(AC256+AD256)+AF256+AG256, 3)</f>
        <v>27.905000000000001</v>
      </c>
      <c r="AI256" s="1">
        <f>AH256*M256*K256</f>
        <v>27.905000000000001</v>
      </c>
      <c r="BA256" s="1" t="s">
        <v>11614</v>
      </c>
      <c r="BB256" s="1">
        <f>AI256</f>
        <v>27.905000000000001</v>
      </c>
      <c r="BD256" s="1">
        <f>N256</f>
        <v>1</v>
      </c>
    </row>
    <row r="257" spans="1:56" x14ac:dyDescent="0.25">
      <c r="A257" s="1">
        <v>600001170</v>
      </c>
      <c r="B257" s="1">
        <v>1100</v>
      </c>
      <c r="C257" s="1">
        <v>2200001473</v>
      </c>
      <c r="D257" s="1" t="s">
        <v>303</v>
      </c>
      <c r="E257" s="1">
        <f>IF(AND(B257&lt;&gt;1110,B257&lt;&gt;1210,B257&lt;&gt;1510,B257&lt;&gt;1710),B257,IF(B257=1110,"1100",IF(B257=1210,"1200",IF(B257=1510,"1500",IF(B257=1710,"1700","X")))))</f>
        <v>1100</v>
      </c>
      <c r="F257" s="1" t="s">
        <v>11198</v>
      </c>
      <c r="G257" s="1" t="s">
        <v>302</v>
      </c>
      <c r="H257" s="1">
        <f>ROUND(P257/(1-((R257+S257))/100)*Q257, 3)</f>
        <v>72.542000000000002</v>
      </c>
      <c r="I257" s="1">
        <v>0.45</v>
      </c>
      <c r="J257" s="1">
        <v>2</v>
      </c>
      <c r="K257" s="1">
        <v>1</v>
      </c>
      <c r="L257" s="1" t="s">
        <v>292</v>
      </c>
      <c r="M257" s="1">
        <v>1</v>
      </c>
      <c r="N257" s="1">
        <v>1</v>
      </c>
      <c r="O257" s="1" t="s">
        <v>296</v>
      </c>
      <c r="P257" s="1">
        <v>60.753999999999998</v>
      </c>
      <c r="Q257" s="1">
        <v>1</v>
      </c>
      <c r="R257" s="1">
        <v>7</v>
      </c>
      <c r="S257" s="1">
        <v>9.25</v>
      </c>
      <c r="T257" s="1">
        <v>0</v>
      </c>
      <c r="V257" s="1" t="s">
        <v>11223</v>
      </c>
      <c r="W257" s="1">
        <v>100</v>
      </c>
      <c r="X257" s="1" t="s">
        <v>298</v>
      </c>
      <c r="Y257" s="1" t="s">
        <v>299</v>
      </c>
      <c r="Z257" s="1">
        <v>1</v>
      </c>
      <c r="AA257" s="1">
        <f>ROUND(H257*I257*Z257, 3)</f>
        <v>32.643999999999998</v>
      </c>
      <c r="AB257" s="1">
        <f>ROUND(VLOOKUP(X257,'Base de dados'!A:B, 2, 0)*AA257, 2)</f>
        <v>3.26</v>
      </c>
      <c r="AC257" s="1">
        <f>ROUND((AA257*(Destino!AG257/100))*(W257/100),2)</f>
        <v>2.29</v>
      </c>
      <c r="AD257" s="1">
        <f>ROUND(AA257*(Destino!AH257/100),2)</f>
        <v>3.02</v>
      </c>
      <c r="AF257" s="1">
        <f>ROUND((AA257+ AB257)*(J257/100),2)</f>
        <v>0.72</v>
      </c>
      <c r="AG257" s="1">
        <f>ROUND(AA257*T257,2)</f>
        <v>0</v>
      </c>
      <c r="AH257" s="1">
        <f>ROUND(AA257-(AC257+AD257)+AF257+AG257, 3)</f>
        <v>28.053999999999998</v>
      </c>
      <c r="AI257" s="1">
        <f>AH257*M257*K257</f>
        <v>28.053999999999998</v>
      </c>
      <c r="BA257" s="1" t="s">
        <v>11401</v>
      </c>
      <c r="BB257" s="1">
        <f>AI257</f>
        <v>28.053999999999998</v>
      </c>
      <c r="BD257" s="1">
        <f>N257</f>
        <v>1</v>
      </c>
    </row>
    <row r="258" spans="1:56" x14ac:dyDescent="0.25">
      <c r="A258" s="1">
        <v>600001170</v>
      </c>
      <c r="B258" s="1">
        <v>1110</v>
      </c>
      <c r="C258" s="1">
        <v>2200000102</v>
      </c>
      <c r="D258" s="1" t="s">
        <v>303</v>
      </c>
      <c r="E258" s="1" t="str">
        <f>IF(AND(B258&lt;&gt;1110,B258&lt;&gt;1210,B258&lt;&gt;1510,B258&lt;&gt;1710),B258,IF(B258=1110,"1100",IF(B258=1210,"1200",IF(B258=1510,"1500",IF(B258=1710,"1700","X")))))</f>
        <v>1100</v>
      </c>
      <c r="F258" s="1" t="s">
        <v>11241</v>
      </c>
      <c r="G258" s="1" t="s">
        <v>302</v>
      </c>
      <c r="H258" s="1">
        <f>ROUND(P258/(1-((R258+S258))/100)*Q258, 3)</f>
        <v>31.88</v>
      </c>
      <c r="I258" s="1">
        <v>1</v>
      </c>
      <c r="J258" s="1">
        <v>4</v>
      </c>
      <c r="K258" s="1">
        <v>1</v>
      </c>
      <c r="L258" s="1" t="s">
        <v>292</v>
      </c>
      <c r="M258" s="1">
        <v>1</v>
      </c>
      <c r="N258" s="1">
        <v>0.76242900000000002</v>
      </c>
      <c r="O258" s="1" t="s">
        <v>292</v>
      </c>
      <c r="P258" s="1">
        <f>IFERROR(VLOOKUP(BC258, BA:BA:BB:BB, 2, 0),)</f>
        <v>28.053999999999998</v>
      </c>
      <c r="Q258" s="1">
        <f>IFERROR(VLOOKUP(BC258, BA:BA:BD:BD, 4, 0),1)</f>
        <v>1</v>
      </c>
      <c r="R258" s="1">
        <v>12</v>
      </c>
      <c r="S258" s="1">
        <v>0</v>
      </c>
      <c r="T258" s="1">
        <v>0</v>
      </c>
      <c r="V258" s="1" t="s">
        <v>11223</v>
      </c>
      <c r="W258" s="1">
        <v>100</v>
      </c>
      <c r="X258" s="1" t="s">
        <v>298</v>
      </c>
      <c r="Y258" s="1" t="s">
        <v>299</v>
      </c>
      <c r="Z258" s="1">
        <v>1</v>
      </c>
      <c r="AA258" s="1">
        <f>ROUND(H258*I258*Z258, 3)</f>
        <v>31.88</v>
      </c>
      <c r="AB258" s="1">
        <f>ROUND(VLOOKUP(X258,'Base de dados'!A:B, 2, 0)*AA258, 2)</f>
        <v>3.19</v>
      </c>
      <c r="AC258" s="1">
        <f>ROUND((AA258*(Destino!AG258/100))*(W258/100),2)</f>
        <v>3.83</v>
      </c>
      <c r="AD258" s="1">
        <f>ROUND(AA258*(Destino!AH258/100),2)</f>
        <v>0</v>
      </c>
      <c r="AE258" s="1">
        <f>ROUND((((AA258+AB258)*1.5039)*(Destino!AI258/100))-AC258,2)</f>
        <v>5.14</v>
      </c>
      <c r="AF258" s="1">
        <f>ROUND((AA258+AB258+AE258)*(J258/100),2)</f>
        <v>1.61</v>
      </c>
      <c r="AG258" s="1">
        <f>ROUND(AA258*T258,2)</f>
        <v>0</v>
      </c>
      <c r="AH258" s="1">
        <f>ROUND(AA258+AE258+AF258+AG258, 3)</f>
        <v>38.630000000000003</v>
      </c>
      <c r="AI258" s="1">
        <f>AH258*M258*K258</f>
        <v>38.630000000000003</v>
      </c>
      <c r="BB258" s="1">
        <f>AI258</f>
        <v>38.630000000000003</v>
      </c>
      <c r="BC258" s="1" t="s">
        <v>11401</v>
      </c>
      <c r="BD258" s="1">
        <f>N258</f>
        <v>0.76242900000000002</v>
      </c>
    </row>
    <row r="259" spans="1:56" x14ac:dyDescent="0.25">
      <c r="A259" s="1">
        <v>600001170</v>
      </c>
      <c r="B259" s="1">
        <v>1110</v>
      </c>
      <c r="C259" s="1">
        <v>2200001473</v>
      </c>
      <c r="D259" s="1" t="s">
        <v>303</v>
      </c>
      <c r="E259" s="1" t="str">
        <f>IF(AND(B259&lt;&gt;1110,B259&lt;&gt;1210,B259&lt;&gt;1510,B259&lt;&gt;1710),B259,IF(B259=1110,"1100",IF(B259=1210,"1200",IF(B259=1510,"1500",IF(B259=1710,"1700","X")))))</f>
        <v>1100</v>
      </c>
      <c r="F259" s="1" t="s">
        <v>447</v>
      </c>
      <c r="G259" s="1" t="s">
        <v>302</v>
      </c>
      <c r="H259" s="1">
        <f>ROUND(P259/(1-((R259+S259))/100)*Q259, 3)</f>
        <v>72.542000000000002</v>
      </c>
      <c r="I259" s="1">
        <v>0.45</v>
      </c>
      <c r="J259" s="1">
        <v>4</v>
      </c>
      <c r="K259" s="1">
        <v>1</v>
      </c>
      <c r="L259" s="1" t="s">
        <v>292</v>
      </c>
      <c r="M259" s="1">
        <v>1</v>
      </c>
      <c r="N259" s="1">
        <v>0.75303500000000001</v>
      </c>
      <c r="O259" s="1" t="s">
        <v>296</v>
      </c>
      <c r="P259" s="1">
        <v>60.753999999999998</v>
      </c>
      <c r="Q259" s="1">
        <v>1</v>
      </c>
      <c r="R259" s="1">
        <v>7</v>
      </c>
      <c r="S259" s="1">
        <v>9.25</v>
      </c>
      <c r="T259" s="1">
        <v>0</v>
      </c>
      <c r="V259" s="1" t="s">
        <v>11223</v>
      </c>
      <c r="W259" s="1">
        <v>100</v>
      </c>
      <c r="X259" s="1" t="s">
        <v>298</v>
      </c>
      <c r="Y259" s="1" t="s">
        <v>299</v>
      </c>
      <c r="Z259" s="1">
        <v>1</v>
      </c>
      <c r="AA259" s="1">
        <f>ROUND(H259*I259*Z259, 3)</f>
        <v>32.643999999999998</v>
      </c>
      <c r="AB259" s="1">
        <f>ROUND(VLOOKUP(X259,'Base de dados'!A:B, 2, 0)*AA259, 2)</f>
        <v>3.26</v>
      </c>
      <c r="AC259" s="1">
        <f>ROUND((AA259*(Destino!AG259/100))*(W259/100),2)</f>
        <v>2.29</v>
      </c>
      <c r="AD259" s="1">
        <f>ROUND(AA259*(Destino!AH259/100),2)</f>
        <v>3.02</v>
      </c>
      <c r="AE259" s="1">
        <f>ROUND((((AA259+AB259)*1.5039)*(Destino!AI259/100))-AC259,2)</f>
        <v>6.89</v>
      </c>
      <c r="AF259" s="1">
        <f>ROUND((AA259+AB259+AE259)*(J259/100),2)</f>
        <v>1.71</v>
      </c>
      <c r="AG259" s="1">
        <f>ROUND(AA259*T259,2)</f>
        <v>0</v>
      </c>
      <c r="AH259" s="1">
        <f>ROUND(AA259-AD259+AE259+AF259+AG259, 3)</f>
        <v>38.223999999999997</v>
      </c>
      <c r="AI259" s="1">
        <f>AH259*M259*K259</f>
        <v>38.223999999999997</v>
      </c>
      <c r="BA259" s="1" t="s">
        <v>11615</v>
      </c>
      <c r="BB259" s="1">
        <f>AI259</f>
        <v>38.223999999999997</v>
      </c>
      <c r="BD259" s="1">
        <f>N259</f>
        <v>0.75303500000000001</v>
      </c>
    </row>
    <row r="260" spans="1:56" x14ac:dyDescent="0.25">
      <c r="A260" s="1">
        <v>600001170</v>
      </c>
      <c r="B260" s="1">
        <v>1400</v>
      </c>
      <c r="C260" s="1">
        <v>2200001473</v>
      </c>
      <c r="D260" s="1" t="s">
        <v>303</v>
      </c>
      <c r="E260" s="1">
        <f>IF(AND(B260&lt;&gt;1110,B260&lt;&gt;1210,B260&lt;&gt;1510,B260&lt;&gt;1710),B260,IF(B260=1110,"1100",IF(B260=1210,"1200",IF(B260=1510,"1500",IF(B260=1710,"1700","X")))))</f>
        <v>1400</v>
      </c>
      <c r="F260" s="1" t="s">
        <v>11198</v>
      </c>
      <c r="G260" s="1" t="s">
        <v>302</v>
      </c>
      <c r="H260" s="1">
        <f>ROUND(P260/(1-((R260+S260))/100)*Q260, 3)</f>
        <v>83.510999999999996</v>
      </c>
      <c r="I260" s="1">
        <v>0.45</v>
      </c>
      <c r="J260" s="1">
        <v>1.5</v>
      </c>
      <c r="K260" s="1">
        <v>1</v>
      </c>
      <c r="L260" s="1" t="s">
        <v>292</v>
      </c>
      <c r="M260" s="1">
        <v>1</v>
      </c>
      <c r="N260" s="1">
        <v>1</v>
      </c>
      <c r="O260" s="1" t="s">
        <v>296</v>
      </c>
      <c r="P260" s="1">
        <v>60.753999999999998</v>
      </c>
      <c r="Q260" s="1">
        <v>1</v>
      </c>
      <c r="R260" s="1">
        <v>18</v>
      </c>
      <c r="S260" s="1">
        <v>9.25</v>
      </c>
      <c r="T260" s="1">
        <v>0</v>
      </c>
      <c r="V260" s="1" t="s">
        <v>11223</v>
      </c>
      <c r="W260" s="1">
        <v>100</v>
      </c>
      <c r="X260" s="1" t="s">
        <v>298</v>
      </c>
      <c r="Y260" s="1" t="s">
        <v>299</v>
      </c>
      <c r="Z260" s="1">
        <v>1</v>
      </c>
      <c r="AA260" s="1">
        <f>ROUND(H260*I260*Z260, 3)</f>
        <v>37.58</v>
      </c>
      <c r="AB260" s="1">
        <f>ROUND(VLOOKUP(X260,'Base de dados'!A:B, 2, 0)*AA260, 2)</f>
        <v>3.76</v>
      </c>
      <c r="AC260" s="1">
        <f>ROUND((AA260*(Destino!AG260/100))*(W260/100),2)</f>
        <v>6.76</v>
      </c>
      <c r="AD260" s="1">
        <f>ROUND(AA260*(Destino!AH260/100),2)</f>
        <v>3.48</v>
      </c>
      <c r="AF260" s="1">
        <f>ROUND((AA260+ AB260)*(J260/100),2)</f>
        <v>0.62</v>
      </c>
      <c r="AG260" s="1">
        <f>ROUND(AA260*T260,2)</f>
        <v>0</v>
      </c>
      <c r="AH260" s="1">
        <f>ROUND(AA260-(AC260+AD260)+AF260+AG260, 3)</f>
        <v>27.96</v>
      </c>
      <c r="AI260" s="1">
        <f>AH260*M260*K260</f>
        <v>27.96</v>
      </c>
      <c r="BA260" s="1" t="s">
        <v>11402</v>
      </c>
      <c r="BB260" s="1">
        <f>AI260</f>
        <v>27.96</v>
      </c>
      <c r="BD260" s="1">
        <f>N260</f>
        <v>1</v>
      </c>
    </row>
    <row r="261" spans="1:56" x14ac:dyDescent="0.25">
      <c r="A261" s="1">
        <v>600001170</v>
      </c>
      <c r="B261" s="1">
        <v>1700</v>
      </c>
      <c r="C261" s="1">
        <v>2200001421</v>
      </c>
      <c r="D261" s="1" t="s">
        <v>303</v>
      </c>
      <c r="E261" s="1">
        <f>IF(AND(B261&lt;&gt;1110,B261&lt;&gt;1210,B261&lt;&gt;1510,B261&lt;&gt;1710),B261,IF(B261=1110,"1100",IF(B261=1210,"1200",IF(B261=1510,"1500",IF(B261=1710,"1700","X")))))</f>
        <v>1700</v>
      </c>
      <c r="F261" s="1" t="s">
        <v>11238</v>
      </c>
      <c r="G261" s="1" t="s">
        <v>302</v>
      </c>
      <c r="H261" s="1">
        <f>ROUND(P261/(1-((R261+S261))/100)*Q261, 3)</f>
        <v>33.384999999999998</v>
      </c>
      <c r="I261" s="1">
        <v>0.25</v>
      </c>
      <c r="J261" s="1">
        <v>3</v>
      </c>
      <c r="K261" s="1">
        <v>1</v>
      </c>
      <c r="L261" s="1" t="s">
        <v>292</v>
      </c>
      <c r="M261" s="1">
        <v>4</v>
      </c>
      <c r="N261" s="1">
        <v>1</v>
      </c>
      <c r="O261" s="1" t="s">
        <v>296</v>
      </c>
      <c r="P261" s="1">
        <f>IFERROR(VLOOKUP(BC261, BA:BA:BB:BB, 2, 0),)</f>
        <v>27.96</v>
      </c>
      <c r="Q261" s="1">
        <f>IFERROR(VLOOKUP(BC261, BA:BA:BD:BD, 4, 0),1)</f>
        <v>1</v>
      </c>
      <c r="R261" s="1">
        <v>7</v>
      </c>
      <c r="S261" s="1">
        <v>9.25</v>
      </c>
      <c r="T261" s="1">
        <v>0</v>
      </c>
      <c r="V261" s="1" t="s">
        <v>11223</v>
      </c>
      <c r="W261" s="1">
        <v>100</v>
      </c>
      <c r="X261" s="1" t="s">
        <v>298</v>
      </c>
      <c r="Y261" s="1" t="s">
        <v>299</v>
      </c>
      <c r="Z261" s="1">
        <v>1</v>
      </c>
      <c r="AA261" s="1">
        <f>ROUND(H261*I261*Z261, 3)</f>
        <v>8.3460000000000001</v>
      </c>
      <c r="AB261" s="1">
        <f>ROUND(VLOOKUP(X261,'Base de dados'!A:B, 2, 0)*AA261, 2)</f>
        <v>0.83</v>
      </c>
      <c r="AC261" s="1">
        <f>ROUND((AA261*(Destino!AG261/100))*(W261/100),2)</f>
        <v>0.57999999999999996</v>
      </c>
      <c r="AD261" s="1">
        <f>ROUND(AA261*(Destino!AH261/100),2)</f>
        <v>0</v>
      </c>
      <c r="AE261" s="1">
        <f>ROUND((((AA261+AB261)*1.48)*(Destino!AI261/100))-AC261,2)</f>
        <v>1.73</v>
      </c>
      <c r="AF261" s="1">
        <f>ROUND((AA261+AB261+AE261)*(J261/100),2)</f>
        <v>0.33</v>
      </c>
      <c r="AG261" s="1">
        <f>ROUND(AA261*T261,2)</f>
        <v>0</v>
      </c>
      <c r="AH261" s="1">
        <f>ROUND(AA261+AB261-AD261+AE261+AF261+AG261, 3)</f>
        <v>11.236000000000001</v>
      </c>
      <c r="AI261" s="1">
        <f>AH261*M261*K261</f>
        <v>44.944000000000003</v>
      </c>
      <c r="BA261" s="1" t="s">
        <v>11297</v>
      </c>
      <c r="BB261" s="1">
        <f>AI261</f>
        <v>44.944000000000003</v>
      </c>
      <c r="BC261" s="1" t="s">
        <v>11402</v>
      </c>
      <c r="BD261" s="1">
        <f>N261</f>
        <v>1</v>
      </c>
    </row>
    <row r="262" spans="1:56" x14ac:dyDescent="0.25">
      <c r="A262" s="1">
        <v>600001171</v>
      </c>
      <c r="B262" s="1">
        <v>1000</v>
      </c>
      <c r="C262" s="1">
        <v>2200001473</v>
      </c>
      <c r="D262" s="1" t="s">
        <v>303</v>
      </c>
      <c r="E262" s="1">
        <f>IF(AND(B262&lt;&gt;1110,B262&lt;&gt;1210,B262&lt;&gt;1510,B262&lt;&gt;1710),B262,IF(B262=1110,"1100",IF(B262=1210,"1200",IF(B262=1510,"1500",IF(B262=1710,"1700","X")))))</f>
        <v>1000</v>
      </c>
      <c r="F262" s="1" t="s">
        <v>11198</v>
      </c>
      <c r="G262" s="1" t="s">
        <v>302</v>
      </c>
      <c r="H262" s="1">
        <f>ROUND(P262/(1-((R262+S262))/100)*Q262, 3)</f>
        <v>77.775000000000006</v>
      </c>
      <c r="I262" s="1">
        <v>0.45</v>
      </c>
      <c r="J262" s="1">
        <v>1.5</v>
      </c>
      <c r="K262" s="1">
        <v>1</v>
      </c>
      <c r="L262" s="1" t="s">
        <v>292</v>
      </c>
      <c r="M262" s="1">
        <v>1</v>
      </c>
      <c r="N262" s="1">
        <v>1</v>
      </c>
      <c r="O262" s="1" t="s">
        <v>296</v>
      </c>
      <c r="P262" s="1">
        <v>61.247999999999998</v>
      </c>
      <c r="Q262" s="1">
        <v>1</v>
      </c>
      <c r="R262" s="1">
        <v>12</v>
      </c>
      <c r="S262" s="1">
        <v>9.25</v>
      </c>
      <c r="T262" s="1">
        <v>0</v>
      </c>
      <c r="V262" s="1" t="s">
        <v>11223</v>
      </c>
      <c r="W262" s="1">
        <v>100</v>
      </c>
      <c r="X262" s="1" t="s">
        <v>298</v>
      </c>
      <c r="Y262" s="1" t="s">
        <v>299</v>
      </c>
      <c r="Z262" s="1">
        <v>1</v>
      </c>
      <c r="AA262" s="1">
        <f>ROUND(H262*I262*Z262, 3)</f>
        <v>34.999000000000002</v>
      </c>
      <c r="AB262" s="1">
        <f>ROUND(VLOOKUP(X262,'Base de dados'!A:B, 2, 0)*AA262, 2)</f>
        <v>3.5</v>
      </c>
      <c r="AC262" s="1">
        <f>ROUND((AA262*(Destino!AG262/100))*(W262/100),2)</f>
        <v>4.2</v>
      </c>
      <c r="AD262" s="1">
        <f>ROUND(AA262*(Destino!AH262/100),2)</f>
        <v>3.24</v>
      </c>
      <c r="AF262" s="1">
        <f>ROUND((AA262+ AB262)*(J262/100),2)</f>
        <v>0.57999999999999996</v>
      </c>
      <c r="AG262" s="1">
        <f>ROUND(AA262*T262,2)</f>
        <v>0</v>
      </c>
      <c r="AH262" s="1">
        <f>ROUND(AA262-(AC262+AD262)+AF262+AG262, 3)</f>
        <v>28.138999999999999</v>
      </c>
      <c r="AI262" s="1">
        <f>AH262*M262*K262</f>
        <v>28.138999999999999</v>
      </c>
      <c r="BA262" s="1" t="s">
        <v>11616</v>
      </c>
      <c r="BB262" s="1">
        <f>AI262</f>
        <v>28.138999999999999</v>
      </c>
      <c r="BD262" s="1">
        <f>N262</f>
        <v>1</v>
      </c>
    </row>
    <row r="263" spans="1:56" x14ac:dyDescent="0.25">
      <c r="A263" s="1">
        <v>600001171</v>
      </c>
      <c r="B263" s="1">
        <v>1100</v>
      </c>
      <c r="C263" s="1">
        <v>2200001473</v>
      </c>
      <c r="D263" s="1" t="s">
        <v>303</v>
      </c>
      <c r="E263" s="1">
        <f>IF(AND(B263&lt;&gt;1110,B263&lt;&gt;1210,B263&lt;&gt;1510,B263&lt;&gt;1710),B263,IF(B263=1110,"1100",IF(B263=1210,"1200",IF(B263=1510,"1500",IF(B263=1710,"1700","X")))))</f>
        <v>1100</v>
      </c>
      <c r="F263" s="1" t="s">
        <v>11198</v>
      </c>
      <c r="G263" s="1" t="s">
        <v>302</v>
      </c>
      <c r="H263" s="1">
        <f>ROUND(P263/(1-((R263+S263))/100)*Q263, 3)</f>
        <v>73.132000000000005</v>
      </c>
      <c r="I263" s="1">
        <v>0.45</v>
      </c>
      <c r="J263" s="1">
        <v>2</v>
      </c>
      <c r="K263" s="1">
        <v>1</v>
      </c>
      <c r="L263" s="1" t="s">
        <v>292</v>
      </c>
      <c r="M263" s="1">
        <v>1</v>
      </c>
      <c r="N263" s="1">
        <v>1</v>
      </c>
      <c r="O263" s="1" t="s">
        <v>296</v>
      </c>
      <c r="P263" s="1">
        <v>61.247999999999998</v>
      </c>
      <c r="Q263" s="1">
        <v>1</v>
      </c>
      <c r="R263" s="1">
        <v>7</v>
      </c>
      <c r="S263" s="1">
        <v>9.25</v>
      </c>
      <c r="T263" s="1">
        <v>0</v>
      </c>
      <c r="V263" s="1" t="s">
        <v>11223</v>
      </c>
      <c r="W263" s="1">
        <v>100</v>
      </c>
      <c r="X263" s="1" t="s">
        <v>298</v>
      </c>
      <c r="Y263" s="1" t="s">
        <v>299</v>
      </c>
      <c r="Z263" s="1">
        <v>1</v>
      </c>
      <c r="AA263" s="1">
        <f>ROUND(H263*I263*Z263, 3)</f>
        <v>32.908999999999999</v>
      </c>
      <c r="AB263" s="1">
        <f>ROUND(VLOOKUP(X263,'Base de dados'!A:B, 2, 0)*AA263, 2)</f>
        <v>3.29</v>
      </c>
      <c r="AC263" s="1">
        <f>ROUND((AA263*(Destino!AG263/100))*(W263/100),2)</f>
        <v>2.2999999999999998</v>
      </c>
      <c r="AD263" s="1">
        <f>ROUND(AA263*(Destino!AH263/100),2)</f>
        <v>3.04</v>
      </c>
      <c r="AF263" s="1">
        <f>ROUND((AA263+ AB263)*(J263/100),2)</f>
        <v>0.72</v>
      </c>
      <c r="AG263" s="1">
        <f>ROUND(AA263*T263,2)</f>
        <v>0</v>
      </c>
      <c r="AH263" s="1">
        <f>ROUND(AA263-(AC263+AD263)+AF263+AG263, 3)</f>
        <v>28.289000000000001</v>
      </c>
      <c r="AI263" s="1">
        <f>AH263*M263*K263</f>
        <v>28.289000000000001</v>
      </c>
      <c r="BA263" s="1" t="s">
        <v>11617</v>
      </c>
      <c r="BB263" s="1">
        <f>AI263</f>
        <v>28.289000000000001</v>
      </c>
      <c r="BD263" s="1">
        <f>N263</f>
        <v>1</v>
      </c>
    </row>
    <row r="264" spans="1:56" x14ac:dyDescent="0.25">
      <c r="A264" s="1">
        <v>600001171</v>
      </c>
      <c r="B264" s="1">
        <v>1110</v>
      </c>
      <c r="C264" s="1">
        <v>2200001473</v>
      </c>
      <c r="D264" s="1" t="s">
        <v>303</v>
      </c>
      <c r="E264" s="1" t="str">
        <f>IF(AND(B264&lt;&gt;1110,B264&lt;&gt;1210,B264&lt;&gt;1510,B264&lt;&gt;1710),B264,IF(B264=1110,"1100",IF(B264=1210,"1200",IF(B264=1510,"1500",IF(B264=1710,"1700","X")))))</f>
        <v>1100</v>
      </c>
      <c r="F264" s="1" t="s">
        <v>447</v>
      </c>
      <c r="G264" s="1" t="s">
        <v>302</v>
      </c>
      <c r="H264" s="1">
        <f>ROUND(P264/(1-((R264+S264))/100)*Q264, 3)</f>
        <v>73.132000000000005</v>
      </c>
      <c r="I264" s="1">
        <v>0.45</v>
      </c>
      <c r="J264" s="1">
        <v>4</v>
      </c>
      <c r="K264" s="1">
        <v>1</v>
      </c>
      <c r="L264" s="1" t="s">
        <v>292</v>
      </c>
      <c r="M264" s="1">
        <v>1</v>
      </c>
      <c r="N264" s="1">
        <v>0.75278199999999995</v>
      </c>
      <c r="O264" s="1" t="s">
        <v>296</v>
      </c>
      <c r="P264" s="1">
        <v>61.247999999999998</v>
      </c>
      <c r="Q264" s="1">
        <v>1</v>
      </c>
      <c r="R264" s="1">
        <v>7</v>
      </c>
      <c r="S264" s="1">
        <v>9.25</v>
      </c>
      <c r="T264" s="1">
        <v>0</v>
      </c>
      <c r="V264" s="1" t="s">
        <v>11223</v>
      </c>
      <c r="W264" s="1">
        <v>100</v>
      </c>
      <c r="X264" s="1" t="s">
        <v>298</v>
      </c>
      <c r="Y264" s="1" t="s">
        <v>299</v>
      </c>
      <c r="Z264" s="1">
        <v>1</v>
      </c>
      <c r="AA264" s="1">
        <f>ROUND(H264*I264*Z264, 3)</f>
        <v>32.908999999999999</v>
      </c>
      <c r="AB264" s="1">
        <f>ROUND(VLOOKUP(X264,'Base de dados'!A:B, 2, 0)*AA264, 2)</f>
        <v>3.29</v>
      </c>
      <c r="AC264" s="1">
        <f>ROUND((AA264*(Destino!AG264/100))*(W264/100),2)</f>
        <v>2.2999999999999998</v>
      </c>
      <c r="AD264" s="1">
        <f>ROUND(AA264*(Destino!AH264/100),2)</f>
        <v>3.04</v>
      </c>
      <c r="AE264" s="1">
        <f>ROUND((((AA264+AB264)*1.5039)*(Destino!AI264/100))-AC264,2)</f>
        <v>6.95</v>
      </c>
      <c r="AF264" s="1">
        <f>ROUND((AA264+AB264+AE264)*(J264/100),2)</f>
        <v>1.73</v>
      </c>
      <c r="AG264" s="1">
        <f>ROUND(AA264*T264,2)</f>
        <v>0</v>
      </c>
      <c r="AH264" s="1">
        <f>ROUND(AA264-AD264+AE264+AF264+AG264, 3)</f>
        <v>38.548999999999999</v>
      </c>
      <c r="AI264" s="1">
        <f>AH264*M264*K264</f>
        <v>38.548999999999999</v>
      </c>
      <c r="BA264" s="1" t="s">
        <v>11618</v>
      </c>
      <c r="BB264" s="1">
        <f>AI264</f>
        <v>38.548999999999999</v>
      </c>
      <c r="BD264" s="1">
        <f>N264</f>
        <v>0.75278199999999995</v>
      </c>
    </row>
    <row r="265" spans="1:56" x14ac:dyDescent="0.25">
      <c r="A265" s="1">
        <v>600001171</v>
      </c>
      <c r="B265" s="1">
        <v>1400</v>
      </c>
      <c r="C265" s="1">
        <v>2200001473</v>
      </c>
      <c r="D265" s="1" t="s">
        <v>303</v>
      </c>
      <c r="E265" s="1">
        <f>IF(AND(B265&lt;&gt;1110,B265&lt;&gt;1210,B265&lt;&gt;1510,B265&lt;&gt;1710),B265,IF(B265=1110,"1100",IF(B265=1210,"1200",IF(B265=1510,"1500",IF(B265=1710,"1700","X")))))</f>
        <v>1400</v>
      </c>
      <c r="F265" s="1" t="s">
        <v>11198</v>
      </c>
      <c r="G265" s="1" t="s">
        <v>302</v>
      </c>
      <c r="H265" s="1">
        <f>ROUND(P265/(1-((R265+S265))/100)*Q265, 3)</f>
        <v>84.19</v>
      </c>
      <c r="I265" s="1">
        <v>0.45</v>
      </c>
      <c r="J265" s="1">
        <v>1.5</v>
      </c>
      <c r="K265" s="1">
        <v>1</v>
      </c>
      <c r="L265" s="1" t="s">
        <v>292</v>
      </c>
      <c r="M265" s="1">
        <v>1</v>
      </c>
      <c r="N265" s="1">
        <v>1</v>
      </c>
      <c r="O265" s="1" t="s">
        <v>296</v>
      </c>
      <c r="P265" s="1">
        <v>61.247999999999998</v>
      </c>
      <c r="Q265" s="1">
        <v>1</v>
      </c>
      <c r="R265" s="1">
        <v>18</v>
      </c>
      <c r="S265" s="1">
        <v>9.25</v>
      </c>
      <c r="T265" s="1">
        <v>0</v>
      </c>
      <c r="V265" s="1" t="s">
        <v>11223</v>
      </c>
      <c r="W265" s="1">
        <v>100</v>
      </c>
      <c r="X265" s="1" t="s">
        <v>298</v>
      </c>
      <c r="Y265" s="1" t="s">
        <v>299</v>
      </c>
      <c r="Z265" s="1">
        <v>1</v>
      </c>
      <c r="AA265" s="1">
        <f>ROUND(H265*I265*Z265, 3)</f>
        <v>37.886000000000003</v>
      </c>
      <c r="AB265" s="1">
        <f>ROUND(VLOOKUP(X265,'Base de dados'!A:B, 2, 0)*AA265, 2)</f>
        <v>3.79</v>
      </c>
      <c r="AC265" s="1">
        <f>ROUND((AA265*(Destino!AG265/100))*(W265/100),2)</f>
        <v>6.82</v>
      </c>
      <c r="AD265" s="1">
        <f>ROUND(AA265*(Destino!AH265/100),2)</f>
        <v>3.5</v>
      </c>
      <c r="AF265" s="1">
        <f>ROUND((AA265+ AB265)*(J265/100),2)</f>
        <v>0.63</v>
      </c>
      <c r="AG265" s="1">
        <f>ROUND(AA265*T265,2)</f>
        <v>0</v>
      </c>
      <c r="AH265" s="1">
        <f>ROUND(AA265-(AC265+AD265)+AF265+AG265, 3)</f>
        <v>28.196000000000002</v>
      </c>
      <c r="AI265" s="1">
        <f>AH265*M265*K265</f>
        <v>28.196000000000002</v>
      </c>
      <c r="BA265" s="1" t="s">
        <v>11403</v>
      </c>
      <c r="BB265" s="1">
        <f>AI265</f>
        <v>28.196000000000002</v>
      </c>
      <c r="BD265" s="1">
        <f>N265</f>
        <v>1</v>
      </c>
    </row>
    <row r="266" spans="1:56" x14ac:dyDescent="0.25">
      <c r="A266" s="1">
        <v>600001171</v>
      </c>
      <c r="B266" s="1">
        <v>1700</v>
      </c>
      <c r="C266" s="1">
        <v>2200001421</v>
      </c>
      <c r="D266" s="1" t="s">
        <v>303</v>
      </c>
      <c r="E266" s="1">
        <f>IF(AND(B266&lt;&gt;1110,B266&lt;&gt;1210,B266&lt;&gt;1510,B266&lt;&gt;1710),B266,IF(B266=1110,"1100",IF(B266=1210,"1200",IF(B266=1510,"1500",IF(B266=1710,"1700","X")))))</f>
        <v>1700</v>
      </c>
      <c r="F266" s="1" t="s">
        <v>11238</v>
      </c>
      <c r="G266" s="1" t="s">
        <v>302</v>
      </c>
      <c r="H266" s="1">
        <f>ROUND(P266/(1-((R266+S266))/100)*Q266, 3)</f>
        <v>33.667000000000002</v>
      </c>
      <c r="I266" s="1">
        <v>0.25</v>
      </c>
      <c r="J266" s="1">
        <v>3</v>
      </c>
      <c r="K266" s="1">
        <v>1</v>
      </c>
      <c r="L266" s="1" t="s">
        <v>292</v>
      </c>
      <c r="M266" s="1">
        <v>4</v>
      </c>
      <c r="N266" s="1">
        <v>1</v>
      </c>
      <c r="O266" s="1" t="s">
        <v>296</v>
      </c>
      <c r="P266" s="1">
        <f>IFERROR(VLOOKUP(BC266, BA:BA:BB:BB, 2, 0),)</f>
        <v>28.196000000000002</v>
      </c>
      <c r="Q266" s="1">
        <f>IFERROR(VLOOKUP(BC266, BA:BA:BD:BD, 4, 0),1)</f>
        <v>1</v>
      </c>
      <c r="R266" s="1">
        <v>7</v>
      </c>
      <c r="S266" s="1">
        <v>9.25</v>
      </c>
      <c r="T266" s="1">
        <v>0</v>
      </c>
      <c r="V266" s="1" t="s">
        <v>11223</v>
      </c>
      <c r="W266" s="1">
        <v>100</v>
      </c>
      <c r="X266" s="1" t="s">
        <v>298</v>
      </c>
      <c r="Y266" s="1" t="s">
        <v>299</v>
      </c>
      <c r="Z266" s="1">
        <v>1</v>
      </c>
      <c r="AA266" s="1">
        <f>ROUND(H266*I266*Z266, 3)</f>
        <v>8.4169999999999998</v>
      </c>
      <c r="AB266" s="1">
        <f>ROUND(VLOOKUP(X266,'Base de dados'!A:B, 2, 0)*AA266, 2)</f>
        <v>0.84</v>
      </c>
      <c r="AC266" s="1">
        <f>ROUND((AA266*(Destino!AG266/100))*(W266/100),2)</f>
        <v>0.59</v>
      </c>
      <c r="AD266" s="1">
        <f>ROUND(AA266*(Destino!AH266/100),2)</f>
        <v>0</v>
      </c>
      <c r="AE266" s="1">
        <f>ROUND((((AA266+AB266)*1.48)*(Destino!AI266/100))-AC266,2)</f>
        <v>1.74</v>
      </c>
      <c r="AF266" s="1">
        <f>ROUND((AA266+AB266+AE266)*(J266/100),2)</f>
        <v>0.33</v>
      </c>
      <c r="AG266" s="1">
        <f>ROUND(AA266*T266,2)</f>
        <v>0</v>
      </c>
      <c r="AH266" s="1">
        <f>ROUND(AA266+AB266-AD266+AE266+AF266+AG266, 3)</f>
        <v>11.327</v>
      </c>
      <c r="AI266" s="1">
        <f>AH266*M266*K266</f>
        <v>45.308</v>
      </c>
      <c r="BA266" s="1" t="s">
        <v>11298</v>
      </c>
      <c r="BB266" s="1">
        <f>AI266</f>
        <v>45.308</v>
      </c>
      <c r="BC266" s="1" t="s">
        <v>11403</v>
      </c>
      <c r="BD266" s="1">
        <f>N266</f>
        <v>1</v>
      </c>
    </row>
    <row r="267" spans="1:56" x14ac:dyDescent="0.25">
      <c r="A267" s="1">
        <v>600001393</v>
      </c>
      <c r="B267" s="1">
        <v>1000</v>
      </c>
      <c r="C267" s="1">
        <v>2200001473</v>
      </c>
      <c r="D267" s="1" t="s">
        <v>303</v>
      </c>
      <c r="E267" s="1">
        <f>IF(AND(B267&lt;&gt;1110,B267&lt;&gt;1210,B267&lt;&gt;1510,B267&lt;&gt;1710),B267,IF(B267=1110,"1100",IF(B267=1210,"1200",IF(B267=1510,"1500",IF(B267=1710,"1700","X")))))</f>
        <v>1000</v>
      </c>
      <c r="F267" s="1" t="s">
        <v>11198</v>
      </c>
      <c r="G267" s="1" t="s">
        <v>302</v>
      </c>
      <c r="H267" s="1">
        <f>ROUND(P267/(1-((R267+S267))/100)*Q267, 3)</f>
        <v>95.602999999999994</v>
      </c>
      <c r="I267" s="1">
        <v>0.45</v>
      </c>
      <c r="J267" s="1">
        <v>1.5</v>
      </c>
      <c r="K267" s="1">
        <v>1</v>
      </c>
      <c r="L267" s="1" t="s">
        <v>292</v>
      </c>
      <c r="M267" s="1">
        <v>1</v>
      </c>
      <c r="N267" s="1">
        <v>1</v>
      </c>
      <c r="O267" s="1" t="s">
        <v>296</v>
      </c>
      <c r="P267" s="1">
        <v>75.287000000000006</v>
      </c>
      <c r="Q267" s="1">
        <v>1</v>
      </c>
      <c r="R267" s="1">
        <v>12</v>
      </c>
      <c r="S267" s="1">
        <v>9.25</v>
      </c>
      <c r="T267" s="1">
        <v>0</v>
      </c>
      <c r="V267" s="1" t="s">
        <v>11223</v>
      </c>
      <c r="W267" s="1">
        <v>100</v>
      </c>
      <c r="X267" s="1" t="s">
        <v>298</v>
      </c>
      <c r="Y267" s="1" t="s">
        <v>299</v>
      </c>
      <c r="Z267" s="1">
        <v>1</v>
      </c>
      <c r="AA267" s="1">
        <f>ROUND(H267*I267*Z267, 3)</f>
        <v>43.021000000000001</v>
      </c>
      <c r="AB267" s="1">
        <f>ROUND(VLOOKUP(X267,'Base de dados'!A:B, 2, 0)*AA267, 2)</f>
        <v>4.3</v>
      </c>
      <c r="AC267" s="1">
        <f>ROUND((AA267*(Destino!AG267/100))*(W267/100),2)</f>
        <v>5.16</v>
      </c>
      <c r="AD267" s="1">
        <f>ROUND(AA267*(Destino!AH267/100),2)</f>
        <v>3.98</v>
      </c>
      <c r="AF267" s="1">
        <f>ROUND((AA267+ AB267)*(J267/100),2)</f>
        <v>0.71</v>
      </c>
      <c r="AG267" s="1">
        <f>ROUND(AA267*T267,2)</f>
        <v>0</v>
      </c>
      <c r="AH267" s="1">
        <f>ROUND(AA267-(AC267+AD267)+AF267+AG267, 3)</f>
        <v>34.591000000000001</v>
      </c>
      <c r="AI267" s="1">
        <f>AH267*M267*K267</f>
        <v>34.591000000000001</v>
      </c>
      <c r="BA267" s="1" t="s">
        <v>11619</v>
      </c>
      <c r="BB267" s="1">
        <f>AI267</f>
        <v>34.591000000000001</v>
      </c>
      <c r="BD267" s="1">
        <f>N267</f>
        <v>1</v>
      </c>
    </row>
    <row r="268" spans="1:56" x14ac:dyDescent="0.25">
      <c r="A268" s="1">
        <v>600001393</v>
      </c>
      <c r="B268" s="1">
        <v>1100</v>
      </c>
      <c r="C268" s="1">
        <v>2200001473</v>
      </c>
      <c r="D268" s="1" t="s">
        <v>303</v>
      </c>
      <c r="E268" s="1">
        <f>IF(AND(B268&lt;&gt;1110,B268&lt;&gt;1210,B268&lt;&gt;1510,B268&lt;&gt;1710),B268,IF(B268=1110,"1100",IF(B268=1210,"1200",IF(B268=1510,"1500",IF(B268=1710,"1700","X")))))</f>
        <v>1100</v>
      </c>
      <c r="F268" s="1" t="s">
        <v>11198</v>
      </c>
      <c r="G268" s="1" t="s">
        <v>302</v>
      </c>
      <c r="H268" s="1">
        <f>ROUND(P268/(1-((R268+S268))/100)*Q268, 3)</f>
        <v>89.897000000000006</v>
      </c>
      <c r="I268" s="1">
        <v>0.45</v>
      </c>
      <c r="J268" s="1">
        <v>2</v>
      </c>
      <c r="K268" s="1">
        <v>1</v>
      </c>
      <c r="L268" s="1" t="s">
        <v>292</v>
      </c>
      <c r="M268" s="1">
        <v>1</v>
      </c>
      <c r="N268" s="1">
        <v>1</v>
      </c>
      <c r="O268" s="1" t="s">
        <v>296</v>
      </c>
      <c r="P268" s="1">
        <v>75.289000000000001</v>
      </c>
      <c r="Q268" s="1">
        <v>1</v>
      </c>
      <c r="R268" s="1">
        <v>7</v>
      </c>
      <c r="S268" s="1">
        <v>9.25</v>
      </c>
      <c r="T268" s="1">
        <v>0</v>
      </c>
      <c r="V268" s="1" t="s">
        <v>11223</v>
      </c>
      <c r="W268" s="1">
        <v>100</v>
      </c>
      <c r="X268" s="1" t="s">
        <v>298</v>
      </c>
      <c r="Y268" s="1" t="s">
        <v>299</v>
      </c>
      <c r="Z268" s="1">
        <v>1</v>
      </c>
      <c r="AA268" s="1">
        <f>ROUND(H268*I268*Z268, 3)</f>
        <v>40.454000000000001</v>
      </c>
      <c r="AB268" s="1">
        <f>ROUND(VLOOKUP(X268,'Base de dados'!A:B, 2, 0)*AA268, 2)</f>
        <v>4.05</v>
      </c>
      <c r="AC268" s="1">
        <f>ROUND((AA268*(Destino!AG268/100))*(W268/100),2)</f>
        <v>2.83</v>
      </c>
      <c r="AD268" s="1">
        <f>ROUND(AA268*(Destino!AH268/100),2)</f>
        <v>3.74</v>
      </c>
      <c r="AF268" s="1">
        <f>ROUND((AA268+ AB268)*(J268/100),2)</f>
        <v>0.89</v>
      </c>
      <c r="AG268" s="1">
        <f>ROUND(AA268*T268,2)</f>
        <v>0</v>
      </c>
      <c r="AH268" s="1">
        <f>ROUND(AA268-(AC268+AD268)+AF268+AG268, 3)</f>
        <v>34.774000000000001</v>
      </c>
      <c r="AI268" s="1">
        <f>AH268*M268*K268</f>
        <v>34.774000000000001</v>
      </c>
      <c r="BA268" s="1" t="s">
        <v>11620</v>
      </c>
      <c r="BB268" s="1">
        <f>AI268</f>
        <v>34.774000000000001</v>
      </c>
      <c r="BD268" s="1">
        <f>N268</f>
        <v>1</v>
      </c>
    </row>
    <row r="269" spans="1:56" x14ac:dyDescent="0.25">
      <c r="A269" s="1">
        <v>600001393</v>
      </c>
      <c r="B269" s="1">
        <v>1110</v>
      </c>
      <c r="C269" s="1">
        <v>2200001473</v>
      </c>
      <c r="D269" s="1" t="s">
        <v>303</v>
      </c>
      <c r="E269" s="1" t="str">
        <f>IF(AND(B269&lt;&gt;1110,B269&lt;&gt;1210,B269&lt;&gt;1510,B269&lt;&gt;1710),B269,IF(B269=1110,"1100",IF(B269=1210,"1200",IF(B269=1510,"1500",IF(B269=1710,"1700","X")))))</f>
        <v>1100</v>
      </c>
      <c r="F269" s="1" t="s">
        <v>447</v>
      </c>
      <c r="G269" s="1" t="s">
        <v>302</v>
      </c>
      <c r="H269" s="1">
        <f>ROUND(P269/(1-((R269+S269))/100)*Q269, 3)</f>
        <v>89.897000000000006</v>
      </c>
      <c r="I269" s="1">
        <v>0.45</v>
      </c>
      <c r="J269" s="1">
        <v>4</v>
      </c>
      <c r="K269" s="1">
        <v>1</v>
      </c>
      <c r="L269" s="1" t="s">
        <v>292</v>
      </c>
      <c r="M269" s="1">
        <v>1</v>
      </c>
      <c r="N269" s="1">
        <v>0.75281799999999999</v>
      </c>
      <c r="O269" s="1" t="s">
        <v>296</v>
      </c>
      <c r="P269" s="1">
        <v>75.289000000000001</v>
      </c>
      <c r="Q269" s="1">
        <v>1</v>
      </c>
      <c r="R269" s="1">
        <v>7</v>
      </c>
      <c r="S269" s="1">
        <v>9.25</v>
      </c>
      <c r="T269" s="1">
        <v>0</v>
      </c>
      <c r="V269" s="1" t="s">
        <v>11223</v>
      </c>
      <c r="W269" s="1">
        <v>100</v>
      </c>
      <c r="X269" s="1" t="s">
        <v>298</v>
      </c>
      <c r="Y269" s="1" t="s">
        <v>299</v>
      </c>
      <c r="Z269" s="1">
        <v>1</v>
      </c>
      <c r="AA269" s="1">
        <f>ROUND(H269*I269*Z269, 3)</f>
        <v>40.454000000000001</v>
      </c>
      <c r="AB269" s="1">
        <f>ROUND(VLOOKUP(X269,'Base de dados'!A:B, 2, 0)*AA269, 2)</f>
        <v>4.05</v>
      </c>
      <c r="AC269" s="1">
        <f>ROUND((AA269*(Destino!AG269/100))*(W269/100),2)</f>
        <v>2.83</v>
      </c>
      <c r="AD269" s="1">
        <f>ROUND(AA269*(Destino!AH269/100),2)</f>
        <v>3.74</v>
      </c>
      <c r="AE269" s="1">
        <f>ROUND((((AA269+AB269)*1.5039)*(Destino!AI269/100))-AC269,2)</f>
        <v>8.5500000000000007</v>
      </c>
      <c r="AF269" s="1">
        <f>ROUND((AA269+AB269+AE269)*(J269/100),2)</f>
        <v>2.12</v>
      </c>
      <c r="AG269" s="1">
        <f>ROUND(AA269*T269,2)</f>
        <v>0</v>
      </c>
      <c r="AH269" s="1">
        <f>ROUND(AA269-AD269+AE269+AF269+AG269, 3)</f>
        <v>47.384</v>
      </c>
      <c r="AI269" s="1">
        <f>AH269*M269*K269</f>
        <v>47.384</v>
      </c>
      <c r="BA269" s="1" t="s">
        <v>11621</v>
      </c>
      <c r="BB269" s="1">
        <f>AI269</f>
        <v>47.384</v>
      </c>
      <c r="BD269" s="1">
        <f>N269</f>
        <v>0.75281799999999999</v>
      </c>
    </row>
    <row r="270" spans="1:56" x14ac:dyDescent="0.25">
      <c r="A270" s="1">
        <v>600001393</v>
      </c>
      <c r="B270" s="1">
        <v>1400</v>
      </c>
      <c r="C270" s="1">
        <v>2200001473</v>
      </c>
      <c r="D270" s="1" t="s">
        <v>303</v>
      </c>
      <c r="E270" s="1">
        <f>IF(AND(B270&lt;&gt;1110,B270&lt;&gt;1210,B270&lt;&gt;1510,B270&lt;&gt;1710),B270,IF(B270=1110,"1100",IF(B270=1210,"1200",IF(B270=1510,"1500",IF(B270=1710,"1700","X")))))</f>
        <v>1400</v>
      </c>
      <c r="F270" s="1" t="s">
        <v>11198</v>
      </c>
      <c r="G270" s="1" t="s">
        <v>302</v>
      </c>
      <c r="H270" s="1">
        <f>ROUND(P270/(1-((R270+S270))/100)*Q270, 3)</f>
        <v>103.49</v>
      </c>
      <c r="I270" s="1">
        <v>0.45</v>
      </c>
      <c r="J270" s="1">
        <v>1.5</v>
      </c>
      <c r="K270" s="1">
        <v>1</v>
      </c>
      <c r="L270" s="1" t="s">
        <v>292</v>
      </c>
      <c r="M270" s="1">
        <v>1</v>
      </c>
      <c r="N270" s="1">
        <v>1</v>
      </c>
      <c r="O270" s="1" t="s">
        <v>296</v>
      </c>
      <c r="P270" s="1">
        <v>75.289000000000001</v>
      </c>
      <c r="Q270" s="1">
        <v>1</v>
      </c>
      <c r="R270" s="1">
        <v>18</v>
      </c>
      <c r="S270" s="1">
        <v>9.25</v>
      </c>
      <c r="T270" s="1">
        <v>0</v>
      </c>
      <c r="V270" s="1" t="s">
        <v>11223</v>
      </c>
      <c r="W270" s="1">
        <v>100</v>
      </c>
      <c r="X270" s="1" t="s">
        <v>298</v>
      </c>
      <c r="Y270" s="1" t="s">
        <v>299</v>
      </c>
      <c r="Z270" s="1">
        <v>1</v>
      </c>
      <c r="AA270" s="1">
        <f>ROUND(H270*I270*Z270, 3)</f>
        <v>46.570999999999998</v>
      </c>
      <c r="AB270" s="1">
        <f>ROUND(VLOOKUP(X270,'Base de dados'!A:B, 2, 0)*AA270, 2)</f>
        <v>4.66</v>
      </c>
      <c r="AC270" s="1">
        <f>ROUND((AA270*(Destino!AG270/100))*(W270/100),2)</f>
        <v>8.3800000000000008</v>
      </c>
      <c r="AD270" s="1">
        <f>ROUND(AA270*(Destino!AH270/100),2)</f>
        <v>4.3099999999999996</v>
      </c>
      <c r="AF270" s="1">
        <f>ROUND((AA270+ AB270)*(J270/100),2)</f>
        <v>0.77</v>
      </c>
      <c r="AG270" s="1">
        <f>ROUND(AA270*T270,2)</f>
        <v>0</v>
      </c>
      <c r="AH270" s="1">
        <f>ROUND(AA270-(AC270+AD270)+AF270+AG270, 3)</f>
        <v>34.651000000000003</v>
      </c>
      <c r="AI270" s="1">
        <f>AH270*M270*K270</f>
        <v>34.651000000000003</v>
      </c>
      <c r="BA270" s="1" t="s">
        <v>11404</v>
      </c>
      <c r="BB270" s="1">
        <f>AI270</f>
        <v>34.651000000000003</v>
      </c>
      <c r="BD270" s="1">
        <f>N270</f>
        <v>1</v>
      </c>
    </row>
    <row r="271" spans="1:56" x14ac:dyDescent="0.25">
      <c r="A271" s="1">
        <v>600001393</v>
      </c>
      <c r="B271" s="1">
        <v>1700</v>
      </c>
      <c r="C271" s="1">
        <v>2200001421</v>
      </c>
      <c r="D271" s="1" t="s">
        <v>303</v>
      </c>
      <c r="E271" s="1">
        <f>IF(AND(B271&lt;&gt;1110,B271&lt;&gt;1210,B271&lt;&gt;1510,B271&lt;&gt;1710),B271,IF(B271=1110,"1100",IF(B271=1210,"1200",IF(B271=1510,"1500",IF(B271=1710,"1700","X")))))</f>
        <v>1700</v>
      </c>
      <c r="F271" s="1" t="s">
        <v>11238</v>
      </c>
      <c r="G271" s="1" t="s">
        <v>302</v>
      </c>
      <c r="H271" s="1">
        <f>ROUND(P271/(1-((R271+S271))/100)*Q271, 3)</f>
        <v>41.374000000000002</v>
      </c>
      <c r="I271" s="1">
        <v>0.25</v>
      </c>
      <c r="J271" s="1">
        <v>3</v>
      </c>
      <c r="K271" s="1">
        <v>1</v>
      </c>
      <c r="L271" s="1" t="s">
        <v>292</v>
      </c>
      <c r="M271" s="1">
        <v>4</v>
      </c>
      <c r="N271" s="1">
        <v>1</v>
      </c>
      <c r="O271" s="1" t="s">
        <v>296</v>
      </c>
      <c r="P271" s="1">
        <f>IFERROR(VLOOKUP(BC271, BA:BA:BB:BB, 2, 0),)</f>
        <v>34.651000000000003</v>
      </c>
      <c r="Q271" s="1">
        <f>IFERROR(VLOOKUP(BC271, BA:BA:BD:BD, 4, 0),1)</f>
        <v>1</v>
      </c>
      <c r="R271" s="1">
        <v>7</v>
      </c>
      <c r="S271" s="1">
        <v>9.25</v>
      </c>
      <c r="T271" s="1">
        <v>0</v>
      </c>
      <c r="V271" s="1" t="s">
        <v>11223</v>
      </c>
      <c r="W271" s="1">
        <v>100</v>
      </c>
      <c r="X271" s="1" t="s">
        <v>298</v>
      </c>
      <c r="Y271" s="1" t="s">
        <v>299</v>
      </c>
      <c r="Z271" s="1">
        <v>1</v>
      </c>
      <c r="AA271" s="1">
        <f>ROUND(H271*I271*Z271, 3)</f>
        <v>10.343999999999999</v>
      </c>
      <c r="AB271" s="1">
        <f>ROUND(VLOOKUP(X271,'Base de dados'!A:B, 2, 0)*AA271, 2)</f>
        <v>1.03</v>
      </c>
      <c r="AC271" s="1">
        <f>ROUND((AA271*(Destino!AG271/100))*(W271/100),2)</f>
        <v>0.72</v>
      </c>
      <c r="AD271" s="1">
        <f>ROUND(AA271*(Destino!AH271/100),2)</f>
        <v>0</v>
      </c>
      <c r="AE271" s="1">
        <f>ROUND((((AA271+AB271)*1.48)*(Destino!AI271/100))-AC271,2)</f>
        <v>2.14</v>
      </c>
      <c r="AF271" s="1">
        <f>ROUND((AA271+AB271+AE271)*(J271/100),2)</f>
        <v>0.41</v>
      </c>
      <c r="AG271" s="1">
        <f>ROUND(AA271*T271,2)</f>
        <v>0</v>
      </c>
      <c r="AH271" s="1">
        <f>ROUND(AA271+AB271-AD271+AE271+AF271+AG271, 3)</f>
        <v>13.923999999999999</v>
      </c>
      <c r="AI271" s="1">
        <f>AH271*M271*K271</f>
        <v>55.695999999999998</v>
      </c>
      <c r="BA271" s="1" t="s">
        <v>11299</v>
      </c>
      <c r="BB271" s="1">
        <f>AI271</f>
        <v>55.695999999999998</v>
      </c>
      <c r="BC271" s="1" t="s">
        <v>11404</v>
      </c>
      <c r="BD271" s="1">
        <f>N271</f>
        <v>1</v>
      </c>
    </row>
    <row r="272" spans="1:56" x14ac:dyDescent="0.25">
      <c r="A272" s="1">
        <v>600001394</v>
      </c>
      <c r="B272" s="1">
        <v>1000</v>
      </c>
      <c r="C272" s="1">
        <v>2200001473</v>
      </c>
      <c r="D272" s="1" t="s">
        <v>303</v>
      </c>
      <c r="E272" s="1">
        <f>IF(AND(B272&lt;&gt;1110,B272&lt;&gt;1210,B272&lt;&gt;1510,B272&lt;&gt;1710),B272,IF(B272=1110,"1100",IF(B272=1210,"1200",IF(B272=1510,"1500",IF(B272=1710,"1700","X")))))</f>
        <v>1000</v>
      </c>
      <c r="F272" s="1" t="s">
        <v>11198</v>
      </c>
      <c r="G272" s="1" t="s">
        <v>302</v>
      </c>
      <c r="H272" s="1">
        <f>ROUND(P272/(1-((R272+S272))/100)*Q272, 3)</f>
        <v>99.182000000000002</v>
      </c>
      <c r="I272" s="1">
        <v>0.45</v>
      </c>
      <c r="J272" s="1">
        <v>1.5</v>
      </c>
      <c r="K272" s="1">
        <v>1</v>
      </c>
      <c r="L272" s="1" t="s">
        <v>292</v>
      </c>
      <c r="M272" s="1">
        <v>1</v>
      </c>
      <c r="N272" s="1">
        <v>1</v>
      </c>
      <c r="O272" s="1" t="s">
        <v>296</v>
      </c>
      <c r="P272" s="1">
        <v>78.105999999999995</v>
      </c>
      <c r="Q272" s="1">
        <v>1</v>
      </c>
      <c r="R272" s="1">
        <v>12</v>
      </c>
      <c r="S272" s="1">
        <v>9.25</v>
      </c>
      <c r="T272" s="1">
        <v>0</v>
      </c>
      <c r="V272" s="1" t="s">
        <v>11223</v>
      </c>
      <c r="W272" s="1">
        <v>100</v>
      </c>
      <c r="X272" s="1" t="s">
        <v>298</v>
      </c>
      <c r="Y272" s="1" t="s">
        <v>299</v>
      </c>
      <c r="Z272" s="1">
        <v>1</v>
      </c>
      <c r="AA272" s="1">
        <f>ROUND(H272*I272*Z272, 3)</f>
        <v>44.631999999999998</v>
      </c>
      <c r="AB272" s="1">
        <f>ROUND(VLOOKUP(X272,'Base de dados'!A:B, 2, 0)*AA272, 2)</f>
        <v>4.46</v>
      </c>
      <c r="AC272" s="1">
        <f>ROUND((AA272*(Destino!AG272/100))*(W272/100),2)</f>
        <v>5.36</v>
      </c>
      <c r="AD272" s="1">
        <f>ROUND(AA272*(Destino!AH272/100),2)</f>
        <v>4.13</v>
      </c>
      <c r="AF272" s="1">
        <f>ROUND((AA272+ AB272)*(J272/100),2)</f>
        <v>0.74</v>
      </c>
      <c r="AG272" s="1">
        <f>ROUND(AA272*T272,2)</f>
        <v>0</v>
      </c>
      <c r="AH272" s="1">
        <f>ROUND(AA272-(AC272+AD272)+AF272+AG272, 3)</f>
        <v>35.881999999999998</v>
      </c>
      <c r="AI272" s="1">
        <f>AH272*M272*K272</f>
        <v>35.881999999999998</v>
      </c>
      <c r="BA272" s="1" t="s">
        <v>11622</v>
      </c>
      <c r="BB272" s="1">
        <f>AI272</f>
        <v>35.881999999999998</v>
      </c>
      <c r="BD272" s="1">
        <f>N272</f>
        <v>1</v>
      </c>
    </row>
    <row r="273" spans="1:56" x14ac:dyDescent="0.25">
      <c r="A273" s="1">
        <v>600001394</v>
      </c>
      <c r="B273" s="1">
        <v>1100</v>
      </c>
      <c r="C273" s="1">
        <v>2200001473</v>
      </c>
      <c r="D273" s="1" t="s">
        <v>303</v>
      </c>
      <c r="E273" s="1">
        <f>IF(AND(B273&lt;&gt;1110,B273&lt;&gt;1210,B273&lt;&gt;1510,B273&lt;&gt;1710),B273,IF(B273=1110,"1100",IF(B273=1210,"1200",IF(B273=1510,"1500",IF(B273=1710,"1700","X")))))</f>
        <v>1100</v>
      </c>
      <c r="F273" s="1" t="s">
        <v>11198</v>
      </c>
      <c r="G273" s="1" t="s">
        <v>302</v>
      </c>
      <c r="H273" s="1">
        <f>ROUND(P273/(1-((R273+S273))/100)*Q273, 3)</f>
        <v>93.259</v>
      </c>
      <c r="I273" s="1">
        <v>0.45</v>
      </c>
      <c r="J273" s="1">
        <v>2</v>
      </c>
      <c r="K273" s="1">
        <v>1</v>
      </c>
      <c r="L273" s="1" t="s">
        <v>292</v>
      </c>
      <c r="M273" s="1">
        <v>1</v>
      </c>
      <c r="N273" s="1">
        <v>1</v>
      </c>
      <c r="O273" s="1" t="s">
        <v>296</v>
      </c>
      <c r="P273" s="1">
        <v>78.103999999999999</v>
      </c>
      <c r="Q273" s="1">
        <v>1</v>
      </c>
      <c r="R273" s="1">
        <v>7</v>
      </c>
      <c r="S273" s="1">
        <v>9.25</v>
      </c>
      <c r="T273" s="1">
        <v>0</v>
      </c>
      <c r="V273" s="1" t="s">
        <v>11223</v>
      </c>
      <c r="W273" s="1">
        <v>100</v>
      </c>
      <c r="X273" s="1" t="s">
        <v>298</v>
      </c>
      <c r="Y273" s="1" t="s">
        <v>299</v>
      </c>
      <c r="Z273" s="1">
        <v>1</v>
      </c>
      <c r="AA273" s="1">
        <f>ROUND(H273*I273*Z273, 3)</f>
        <v>41.966999999999999</v>
      </c>
      <c r="AB273" s="1">
        <f>ROUND(VLOOKUP(X273,'Base de dados'!A:B, 2, 0)*AA273, 2)</f>
        <v>4.2</v>
      </c>
      <c r="AC273" s="1">
        <f>ROUND((AA273*(Destino!AG273/100))*(W273/100),2)</f>
        <v>2.94</v>
      </c>
      <c r="AD273" s="1">
        <f>ROUND(AA273*(Destino!AH273/100),2)</f>
        <v>3.88</v>
      </c>
      <c r="AF273" s="1">
        <f>ROUND((AA273+ AB273)*(J273/100),2)</f>
        <v>0.92</v>
      </c>
      <c r="AG273" s="1">
        <f>ROUND(AA273*T273,2)</f>
        <v>0</v>
      </c>
      <c r="AH273" s="1">
        <f>ROUND(AA273-(AC273+AD273)+AF273+AG273, 3)</f>
        <v>36.067</v>
      </c>
      <c r="AI273" s="1">
        <f>AH273*M273*K273</f>
        <v>36.067</v>
      </c>
      <c r="BA273" s="1" t="s">
        <v>11623</v>
      </c>
      <c r="BB273" s="1">
        <f>AI273</f>
        <v>36.067</v>
      </c>
      <c r="BD273" s="1">
        <f>N273</f>
        <v>1</v>
      </c>
    </row>
    <row r="274" spans="1:56" x14ac:dyDescent="0.25">
      <c r="A274" s="1">
        <v>600001394</v>
      </c>
      <c r="B274" s="1">
        <v>1110</v>
      </c>
      <c r="C274" s="1">
        <v>2200001473</v>
      </c>
      <c r="D274" s="1" t="s">
        <v>303</v>
      </c>
      <c r="E274" s="1" t="str">
        <f>IF(AND(B274&lt;&gt;1110,B274&lt;&gt;1210,B274&lt;&gt;1510,B274&lt;&gt;1710),B274,IF(B274=1110,"1100",IF(B274=1210,"1200",IF(B274=1510,"1500",IF(B274=1710,"1700","X")))))</f>
        <v>1100</v>
      </c>
      <c r="F274" s="1" t="s">
        <v>447</v>
      </c>
      <c r="G274" s="1" t="s">
        <v>302</v>
      </c>
      <c r="H274" s="1">
        <f>ROUND(P274/(1-((R274+S274))/100)*Q274, 3)</f>
        <v>93.259</v>
      </c>
      <c r="I274" s="1">
        <v>0.45</v>
      </c>
      <c r="J274" s="1">
        <v>4</v>
      </c>
      <c r="K274" s="1">
        <v>1</v>
      </c>
      <c r="L274" s="1" t="s">
        <v>292</v>
      </c>
      <c r="M274" s="1">
        <v>1</v>
      </c>
      <c r="N274" s="1">
        <v>0.75262899999999999</v>
      </c>
      <c r="O274" s="1" t="s">
        <v>296</v>
      </c>
      <c r="P274" s="1">
        <v>78.103999999999999</v>
      </c>
      <c r="Q274" s="1">
        <v>1</v>
      </c>
      <c r="R274" s="1">
        <v>7</v>
      </c>
      <c r="S274" s="1">
        <v>9.25</v>
      </c>
      <c r="T274" s="1">
        <v>0</v>
      </c>
      <c r="V274" s="1" t="s">
        <v>11223</v>
      </c>
      <c r="W274" s="1">
        <v>100</v>
      </c>
      <c r="X274" s="1" t="s">
        <v>298</v>
      </c>
      <c r="Y274" s="1" t="s">
        <v>299</v>
      </c>
      <c r="Z274" s="1">
        <v>1</v>
      </c>
      <c r="AA274" s="1">
        <f>ROUND(H274*I274*Z274, 3)</f>
        <v>41.966999999999999</v>
      </c>
      <c r="AB274" s="1">
        <f>ROUND(VLOOKUP(X274,'Base de dados'!A:B, 2, 0)*AA274, 2)</f>
        <v>4.2</v>
      </c>
      <c r="AC274" s="1">
        <f>ROUND((AA274*(Destino!AG274/100))*(W274/100),2)</f>
        <v>2.94</v>
      </c>
      <c r="AD274" s="1">
        <f>ROUND(AA274*(Destino!AH274/100),2)</f>
        <v>3.88</v>
      </c>
      <c r="AE274" s="1">
        <f>ROUND((((AA274+AB274)*1.5039)*(Destino!AI274/100))-AC274,2)</f>
        <v>8.86</v>
      </c>
      <c r="AF274" s="1">
        <f>ROUND((AA274+AB274+AE274)*(J274/100),2)</f>
        <v>2.2000000000000002</v>
      </c>
      <c r="AG274" s="1">
        <f>ROUND(AA274*T274,2)</f>
        <v>0</v>
      </c>
      <c r="AH274" s="1">
        <f>ROUND(AA274-AD274+AE274+AF274+AG274, 3)</f>
        <v>49.146999999999998</v>
      </c>
      <c r="AI274" s="1">
        <f>AH274*M274*K274</f>
        <v>49.146999999999998</v>
      </c>
      <c r="BA274" s="1" t="s">
        <v>11624</v>
      </c>
      <c r="BB274" s="1">
        <f>AI274</f>
        <v>49.146999999999998</v>
      </c>
      <c r="BD274" s="1">
        <f>N274</f>
        <v>0.75262899999999999</v>
      </c>
    </row>
    <row r="275" spans="1:56" x14ac:dyDescent="0.25">
      <c r="A275" s="1">
        <v>600001394</v>
      </c>
      <c r="B275" s="1">
        <v>1400</v>
      </c>
      <c r="C275" s="1">
        <v>2200001473</v>
      </c>
      <c r="D275" s="1" t="s">
        <v>303</v>
      </c>
      <c r="E275" s="1">
        <f>IF(AND(B275&lt;&gt;1110,B275&lt;&gt;1210,B275&lt;&gt;1510,B275&lt;&gt;1710),B275,IF(B275=1110,"1100",IF(B275=1210,"1200",IF(B275=1510,"1500",IF(B275=1710,"1700","X")))))</f>
        <v>1400</v>
      </c>
      <c r="F275" s="1" t="s">
        <v>11198</v>
      </c>
      <c r="G275" s="1" t="s">
        <v>302</v>
      </c>
      <c r="H275" s="1">
        <f>ROUND(P275/(1-((R275+S275))/100)*Q275, 3)</f>
        <v>107.35899999999999</v>
      </c>
      <c r="I275" s="1">
        <v>0.45</v>
      </c>
      <c r="J275" s="1">
        <v>1.5</v>
      </c>
      <c r="K275" s="1">
        <v>1</v>
      </c>
      <c r="L275" s="1" t="s">
        <v>292</v>
      </c>
      <c r="M275" s="1">
        <v>1</v>
      </c>
      <c r="N275" s="1">
        <v>1</v>
      </c>
      <c r="O275" s="1" t="s">
        <v>296</v>
      </c>
      <c r="P275" s="1">
        <v>78.103999999999999</v>
      </c>
      <c r="Q275" s="1">
        <v>1</v>
      </c>
      <c r="R275" s="1">
        <v>18</v>
      </c>
      <c r="S275" s="1">
        <v>9.25</v>
      </c>
      <c r="T275" s="1">
        <v>0</v>
      </c>
      <c r="V275" s="1" t="s">
        <v>11223</v>
      </c>
      <c r="W275" s="1">
        <v>100</v>
      </c>
      <c r="X275" s="1" t="s">
        <v>298</v>
      </c>
      <c r="Y275" s="1" t="s">
        <v>299</v>
      </c>
      <c r="Z275" s="1">
        <v>1</v>
      </c>
      <c r="AA275" s="1">
        <f>ROUND(H275*I275*Z275, 3)</f>
        <v>48.311999999999998</v>
      </c>
      <c r="AB275" s="1">
        <f>ROUND(VLOOKUP(X275,'Base de dados'!A:B, 2, 0)*AA275, 2)</f>
        <v>4.83</v>
      </c>
      <c r="AC275" s="1">
        <f>ROUND((AA275*(Destino!AG275/100))*(W275/100),2)</f>
        <v>8.6999999999999993</v>
      </c>
      <c r="AD275" s="1">
        <f>ROUND(AA275*(Destino!AH275/100),2)</f>
        <v>4.47</v>
      </c>
      <c r="AF275" s="1">
        <f>ROUND((AA275+ AB275)*(J275/100),2)</f>
        <v>0.8</v>
      </c>
      <c r="AG275" s="1">
        <f>ROUND(AA275*T275,2)</f>
        <v>0</v>
      </c>
      <c r="AH275" s="1">
        <f>ROUND(AA275-(AC275+AD275)+AF275+AG275, 3)</f>
        <v>35.942</v>
      </c>
      <c r="AI275" s="1">
        <f>AH275*M275*K275</f>
        <v>35.942</v>
      </c>
      <c r="BA275" s="1" t="s">
        <v>11405</v>
      </c>
      <c r="BB275" s="1">
        <f>AI275</f>
        <v>35.942</v>
      </c>
      <c r="BD275" s="1">
        <f>N275</f>
        <v>1</v>
      </c>
    </row>
    <row r="276" spans="1:56" x14ac:dyDescent="0.25">
      <c r="A276" s="1">
        <v>600001394</v>
      </c>
      <c r="B276" s="1">
        <v>1700</v>
      </c>
      <c r="C276" s="1">
        <v>2200001421</v>
      </c>
      <c r="D276" s="1" t="s">
        <v>303</v>
      </c>
      <c r="E276" s="1">
        <f>IF(AND(B276&lt;&gt;1110,B276&lt;&gt;1210,B276&lt;&gt;1510,B276&lt;&gt;1710),B276,IF(B276=1110,"1100",IF(B276=1210,"1200",IF(B276=1510,"1500",IF(B276=1710,"1700","X")))))</f>
        <v>1700</v>
      </c>
      <c r="F276" s="1" t="s">
        <v>11238</v>
      </c>
      <c r="G276" s="1" t="s">
        <v>302</v>
      </c>
      <c r="H276" s="1">
        <f>ROUND(P276/(1-((R276+S276))/100)*Q276, 3)</f>
        <v>42.915999999999997</v>
      </c>
      <c r="I276" s="1">
        <v>0.25</v>
      </c>
      <c r="J276" s="1">
        <v>3</v>
      </c>
      <c r="K276" s="1">
        <v>1</v>
      </c>
      <c r="L276" s="1" t="s">
        <v>292</v>
      </c>
      <c r="M276" s="1">
        <v>4</v>
      </c>
      <c r="N276" s="1">
        <v>1</v>
      </c>
      <c r="O276" s="1" t="s">
        <v>296</v>
      </c>
      <c r="P276" s="1">
        <f>IFERROR(VLOOKUP(BC276, BA:BA:BB:BB, 2, 0),)</f>
        <v>35.942</v>
      </c>
      <c r="Q276" s="1">
        <f>IFERROR(VLOOKUP(BC276, BA:BA:BD:BD, 4, 0),1)</f>
        <v>1</v>
      </c>
      <c r="R276" s="1">
        <v>7</v>
      </c>
      <c r="S276" s="1">
        <v>9.25</v>
      </c>
      <c r="T276" s="1">
        <v>0</v>
      </c>
      <c r="V276" s="1" t="s">
        <v>11223</v>
      </c>
      <c r="W276" s="1">
        <v>100</v>
      </c>
      <c r="X276" s="1" t="s">
        <v>298</v>
      </c>
      <c r="Y276" s="1" t="s">
        <v>299</v>
      </c>
      <c r="Z276" s="1">
        <v>1</v>
      </c>
      <c r="AA276" s="1">
        <f>ROUND(H276*I276*Z276, 3)</f>
        <v>10.728999999999999</v>
      </c>
      <c r="AB276" s="1">
        <f>ROUND(VLOOKUP(X276,'Base de dados'!A:B, 2, 0)*AA276, 2)</f>
        <v>1.07</v>
      </c>
      <c r="AC276" s="1">
        <f>ROUND((AA276*(Destino!AG276/100))*(W276/100),2)</f>
        <v>0.75</v>
      </c>
      <c r="AD276" s="1">
        <f>ROUND(AA276*(Destino!AH276/100),2)</f>
        <v>0</v>
      </c>
      <c r="AE276" s="1">
        <f>ROUND((((AA276+AB276)*1.48)*(Destino!AI276/100))-AC276,2)</f>
        <v>2.2200000000000002</v>
      </c>
      <c r="AF276" s="1">
        <f>ROUND((AA276+AB276+AE276)*(J276/100),2)</f>
        <v>0.42</v>
      </c>
      <c r="AG276" s="1">
        <f>ROUND(AA276*T276,2)</f>
        <v>0</v>
      </c>
      <c r="AH276" s="1">
        <f>ROUND(AA276+AB276-AD276+AE276+AF276+AG276, 3)</f>
        <v>14.439</v>
      </c>
      <c r="AI276" s="1">
        <f>AH276*M276*K276</f>
        <v>57.756</v>
      </c>
      <c r="BA276" s="1" t="s">
        <v>11300</v>
      </c>
      <c r="BB276" s="1">
        <f>AI276</f>
        <v>57.756</v>
      </c>
      <c r="BC276" s="1" t="s">
        <v>11405</v>
      </c>
      <c r="BD276" s="1">
        <f>N276</f>
        <v>1</v>
      </c>
    </row>
    <row r="277" spans="1:56" x14ac:dyDescent="0.25">
      <c r="A277" s="1">
        <v>600001395</v>
      </c>
      <c r="B277" s="1">
        <v>1000</v>
      </c>
      <c r="C277" s="1">
        <v>2200001473</v>
      </c>
      <c r="D277" s="1" t="s">
        <v>303</v>
      </c>
      <c r="E277" s="1">
        <f>IF(AND(B277&lt;&gt;1110,B277&lt;&gt;1210,B277&lt;&gt;1510,B277&lt;&gt;1710),B277,IF(B277=1110,"1100",IF(B277=1210,"1200",IF(B277=1510,"1500",IF(B277=1710,"1700","X")))))</f>
        <v>1000</v>
      </c>
      <c r="F277" s="1" t="s">
        <v>11198</v>
      </c>
      <c r="G277" s="1" t="s">
        <v>302</v>
      </c>
      <c r="H277" s="1">
        <f>ROUND(P277/(1-((R277+S277))/100)*Q277, 3)</f>
        <v>113.364</v>
      </c>
      <c r="I277" s="1">
        <v>0.45</v>
      </c>
      <c r="J277" s="1">
        <v>1.5</v>
      </c>
      <c r="K277" s="1">
        <v>1</v>
      </c>
      <c r="L277" s="1" t="s">
        <v>292</v>
      </c>
      <c r="M277" s="1">
        <v>1</v>
      </c>
      <c r="N277" s="1">
        <v>1</v>
      </c>
      <c r="O277" s="1" t="s">
        <v>296</v>
      </c>
      <c r="P277" s="1">
        <v>89.274000000000001</v>
      </c>
      <c r="Q277" s="1">
        <v>1</v>
      </c>
      <c r="R277" s="1">
        <v>12</v>
      </c>
      <c r="S277" s="1">
        <v>9.25</v>
      </c>
      <c r="T277" s="1">
        <v>0</v>
      </c>
      <c r="V277" s="1" t="s">
        <v>11223</v>
      </c>
      <c r="W277" s="1">
        <v>100</v>
      </c>
      <c r="X277" s="1" t="s">
        <v>298</v>
      </c>
      <c r="Y277" s="1" t="s">
        <v>299</v>
      </c>
      <c r="Z277" s="1">
        <v>1</v>
      </c>
      <c r="AA277" s="1">
        <f>ROUND(H277*I277*Z277, 3)</f>
        <v>51.014000000000003</v>
      </c>
      <c r="AB277" s="1">
        <f>ROUND(VLOOKUP(X277,'Base de dados'!A:B, 2, 0)*AA277, 2)</f>
        <v>5.0999999999999996</v>
      </c>
      <c r="AC277" s="1">
        <f>ROUND((AA277*(Destino!AG277/100))*(W277/100),2)</f>
        <v>6.12</v>
      </c>
      <c r="AD277" s="1">
        <f>ROUND(AA277*(Destino!AH277/100),2)</f>
        <v>4.72</v>
      </c>
      <c r="AF277" s="1">
        <f>ROUND((AA277+ AB277)*(J277/100),2)</f>
        <v>0.84</v>
      </c>
      <c r="AG277" s="1">
        <f>ROUND(AA277*T277,2)</f>
        <v>0</v>
      </c>
      <c r="AH277" s="1">
        <f>ROUND(AA277-(AC277+AD277)+AF277+AG277, 3)</f>
        <v>41.014000000000003</v>
      </c>
      <c r="AI277" s="1">
        <f>AH277*M277*K277</f>
        <v>41.014000000000003</v>
      </c>
      <c r="BA277" s="1" t="s">
        <v>11625</v>
      </c>
      <c r="BB277" s="1">
        <f>AI277</f>
        <v>41.014000000000003</v>
      </c>
      <c r="BD277" s="1">
        <f>N277</f>
        <v>1</v>
      </c>
    </row>
    <row r="278" spans="1:56" x14ac:dyDescent="0.25">
      <c r="A278" s="1">
        <v>600001395</v>
      </c>
      <c r="B278" s="1">
        <v>1100</v>
      </c>
      <c r="C278" s="1">
        <v>2200001473</v>
      </c>
      <c r="D278" s="1" t="s">
        <v>303</v>
      </c>
      <c r="E278" s="1">
        <f>IF(AND(B278&lt;&gt;1110,B278&lt;&gt;1210,B278&lt;&gt;1510,B278&lt;&gt;1710),B278,IF(B278=1110,"1100",IF(B278=1210,"1200",IF(B278=1510,"1500",IF(B278=1710,"1700","X")))))</f>
        <v>1100</v>
      </c>
      <c r="F278" s="1" t="s">
        <v>11198</v>
      </c>
      <c r="G278" s="1" t="s">
        <v>302</v>
      </c>
      <c r="H278" s="1">
        <f>ROUND(P278/(1-((R278+S278))/100)*Q278, 3)</f>
        <v>106.593</v>
      </c>
      <c r="I278" s="1">
        <v>0.45</v>
      </c>
      <c r="J278" s="1">
        <v>2</v>
      </c>
      <c r="K278" s="1">
        <v>1</v>
      </c>
      <c r="L278" s="1" t="s">
        <v>292</v>
      </c>
      <c r="M278" s="1">
        <v>1</v>
      </c>
      <c r="N278" s="1">
        <v>1</v>
      </c>
      <c r="O278" s="1" t="s">
        <v>296</v>
      </c>
      <c r="P278" s="1">
        <v>89.272000000000006</v>
      </c>
      <c r="Q278" s="1">
        <v>1</v>
      </c>
      <c r="R278" s="1">
        <v>7</v>
      </c>
      <c r="S278" s="1">
        <v>9.25</v>
      </c>
      <c r="T278" s="1">
        <v>0</v>
      </c>
      <c r="V278" s="1" t="s">
        <v>11223</v>
      </c>
      <c r="W278" s="1">
        <v>100</v>
      </c>
      <c r="X278" s="1" t="s">
        <v>298</v>
      </c>
      <c r="Y278" s="1" t="s">
        <v>299</v>
      </c>
      <c r="Z278" s="1">
        <v>1</v>
      </c>
      <c r="AA278" s="1">
        <f>ROUND(H278*I278*Z278, 3)</f>
        <v>47.966999999999999</v>
      </c>
      <c r="AB278" s="1">
        <f>ROUND(VLOOKUP(X278,'Base de dados'!A:B, 2, 0)*AA278, 2)</f>
        <v>4.8</v>
      </c>
      <c r="AC278" s="1">
        <f>ROUND((AA278*(Destino!AG278/100))*(W278/100),2)</f>
        <v>3.36</v>
      </c>
      <c r="AD278" s="1">
        <f>ROUND(AA278*(Destino!AH278/100),2)</f>
        <v>4.4400000000000004</v>
      </c>
      <c r="AF278" s="1">
        <f>ROUND((AA278+ AB278)*(J278/100),2)</f>
        <v>1.06</v>
      </c>
      <c r="AG278" s="1">
        <f>ROUND(AA278*T278,2)</f>
        <v>0</v>
      </c>
      <c r="AH278" s="1">
        <f>ROUND(AA278-(AC278+AD278)+AF278+AG278, 3)</f>
        <v>41.226999999999997</v>
      </c>
      <c r="AI278" s="1">
        <f>AH278*M278*K278</f>
        <v>41.226999999999997</v>
      </c>
      <c r="BA278" s="1" t="s">
        <v>11626</v>
      </c>
      <c r="BB278" s="1">
        <f>AI278</f>
        <v>41.226999999999997</v>
      </c>
      <c r="BD278" s="1">
        <f>N278</f>
        <v>1</v>
      </c>
    </row>
    <row r="279" spans="1:56" x14ac:dyDescent="0.25">
      <c r="A279" s="1">
        <v>600001395</v>
      </c>
      <c r="B279" s="1">
        <v>1110</v>
      </c>
      <c r="C279" s="1">
        <v>2200001473</v>
      </c>
      <c r="D279" s="1" t="s">
        <v>303</v>
      </c>
      <c r="E279" s="1" t="str">
        <f>IF(AND(B279&lt;&gt;1110,B279&lt;&gt;1210,B279&lt;&gt;1510,B279&lt;&gt;1710),B279,IF(B279=1110,"1100",IF(B279=1210,"1200",IF(B279=1510,"1500",IF(B279=1710,"1700","X")))))</f>
        <v>1100</v>
      </c>
      <c r="F279" s="1" t="s">
        <v>447</v>
      </c>
      <c r="G279" s="1" t="s">
        <v>302</v>
      </c>
      <c r="H279" s="1">
        <f>ROUND(P279/(1-((R279+S279))/100)*Q279, 3)</f>
        <v>106.593</v>
      </c>
      <c r="I279" s="1">
        <v>0.45</v>
      </c>
      <c r="J279" s="1">
        <v>4</v>
      </c>
      <c r="K279" s="1">
        <v>1</v>
      </c>
      <c r="L279" s="1" t="s">
        <v>292</v>
      </c>
      <c r="M279" s="1">
        <v>1</v>
      </c>
      <c r="N279" s="1">
        <v>0.75256800000000001</v>
      </c>
      <c r="O279" s="1" t="s">
        <v>296</v>
      </c>
      <c r="P279" s="1">
        <v>89.272000000000006</v>
      </c>
      <c r="Q279" s="1">
        <v>1</v>
      </c>
      <c r="R279" s="1">
        <v>7</v>
      </c>
      <c r="S279" s="1">
        <v>9.25</v>
      </c>
      <c r="T279" s="1">
        <v>0</v>
      </c>
      <c r="V279" s="1" t="s">
        <v>11223</v>
      </c>
      <c r="W279" s="1">
        <v>100</v>
      </c>
      <c r="X279" s="1" t="s">
        <v>298</v>
      </c>
      <c r="Y279" s="1" t="s">
        <v>299</v>
      </c>
      <c r="Z279" s="1">
        <v>1</v>
      </c>
      <c r="AA279" s="1">
        <f>ROUND(H279*I279*Z279, 3)</f>
        <v>47.966999999999999</v>
      </c>
      <c r="AB279" s="1">
        <f>ROUND(VLOOKUP(X279,'Base de dados'!A:B, 2, 0)*AA279, 2)</f>
        <v>4.8</v>
      </c>
      <c r="AC279" s="1">
        <f>ROUND((AA279*(Destino!AG279/100))*(W279/100),2)</f>
        <v>3.36</v>
      </c>
      <c r="AD279" s="1">
        <f>ROUND(AA279*(Destino!AH279/100),2)</f>
        <v>4.4400000000000004</v>
      </c>
      <c r="AE279" s="1">
        <f>ROUND((((AA279+AB279)*1.5039)*(Destino!AI279/100))-AC279,2)</f>
        <v>10.130000000000001</v>
      </c>
      <c r="AF279" s="1">
        <f>ROUND((AA279+AB279+AE279)*(J279/100),2)</f>
        <v>2.52</v>
      </c>
      <c r="AG279" s="1">
        <f>ROUND(AA279*T279,2)</f>
        <v>0</v>
      </c>
      <c r="AH279" s="1">
        <f>ROUND(AA279-AD279+AE279+AF279+AG279, 3)</f>
        <v>56.177</v>
      </c>
      <c r="AI279" s="1">
        <f>AH279*M279*K279</f>
        <v>56.177</v>
      </c>
      <c r="BA279" s="1" t="s">
        <v>11627</v>
      </c>
      <c r="BB279" s="1">
        <f>AI279</f>
        <v>56.177</v>
      </c>
      <c r="BD279" s="1">
        <f>N279</f>
        <v>0.75256800000000001</v>
      </c>
    </row>
    <row r="280" spans="1:56" x14ac:dyDescent="0.25">
      <c r="A280" s="1">
        <v>600001395</v>
      </c>
      <c r="B280" s="1">
        <v>1400</v>
      </c>
      <c r="C280" s="1">
        <v>2200001473</v>
      </c>
      <c r="D280" s="1" t="s">
        <v>303</v>
      </c>
      <c r="E280" s="1">
        <f>IF(AND(B280&lt;&gt;1110,B280&lt;&gt;1210,B280&lt;&gt;1510,B280&lt;&gt;1710),B280,IF(B280=1110,"1100",IF(B280=1210,"1200",IF(B280=1510,"1500",IF(B280=1710,"1700","X")))))</f>
        <v>1400</v>
      </c>
      <c r="F280" s="1" t="s">
        <v>11198</v>
      </c>
      <c r="G280" s="1" t="s">
        <v>302</v>
      </c>
      <c r="H280" s="1">
        <f>ROUND(P280/(1-((R280+S280))/100)*Q280, 3)</f>
        <v>122.711</v>
      </c>
      <c r="I280" s="1">
        <v>0.45</v>
      </c>
      <c r="J280" s="1">
        <v>1.5</v>
      </c>
      <c r="K280" s="1">
        <v>1</v>
      </c>
      <c r="L280" s="1" t="s">
        <v>292</v>
      </c>
      <c r="M280" s="1">
        <v>1</v>
      </c>
      <c r="N280" s="1">
        <v>1</v>
      </c>
      <c r="O280" s="1" t="s">
        <v>296</v>
      </c>
      <c r="P280" s="1">
        <v>89.272000000000006</v>
      </c>
      <c r="Q280" s="1">
        <v>1</v>
      </c>
      <c r="R280" s="1">
        <v>18</v>
      </c>
      <c r="S280" s="1">
        <v>9.25</v>
      </c>
      <c r="T280" s="1">
        <v>0</v>
      </c>
      <c r="V280" s="1" t="s">
        <v>11223</v>
      </c>
      <c r="W280" s="1">
        <v>100</v>
      </c>
      <c r="X280" s="1" t="s">
        <v>298</v>
      </c>
      <c r="Y280" s="1" t="s">
        <v>299</v>
      </c>
      <c r="Z280" s="1">
        <v>1</v>
      </c>
      <c r="AA280" s="1">
        <f>ROUND(H280*I280*Z280, 3)</f>
        <v>55.22</v>
      </c>
      <c r="AB280" s="1">
        <f>ROUND(VLOOKUP(X280,'Base de dados'!A:B, 2, 0)*AA280, 2)</f>
        <v>5.52</v>
      </c>
      <c r="AC280" s="1">
        <f>ROUND((AA280*(Destino!AG280/100))*(W280/100),2)</f>
        <v>9.94</v>
      </c>
      <c r="AD280" s="1">
        <f>ROUND(AA280*(Destino!AH280/100),2)</f>
        <v>5.1100000000000003</v>
      </c>
      <c r="AF280" s="1">
        <f>ROUND((AA280+ AB280)*(J280/100),2)</f>
        <v>0.91</v>
      </c>
      <c r="AG280" s="1">
        <f>ROUND(AA280*T280,2)</f>
        <v>0</v>
      </c>
      <c r="AH280" s="1">
        <f>ROUND(AA280-(AC280+AD280)+AF280+AG280, 3)</f>
        <v>41.08</v>
      </c>
      <c r="AI280" s="1">
        <f>AH280*M280*K280</f>
        <v>41.08</v>
      </c>
      <c r="BA280" s="1" t="s">
        <v>11406</v>
      </c>
      <c r="BB280" s="1">
        <f>AI280</f>
        <v>41.08</v>
      </c>
      <c r="BD280" s="1">
        <f>N280</f>
        <v>1</v>
      </c>
    </row>
    <row r="281" spans="1:56" x14ac:dyDescent="0.25">
      <c r="A281" s="1">
        <v>600001395</v>
      </c>
      <c r="B281" s="1">
        <v>1700</v>
      </c>
      <c r="C281" s="1">
        <v>2200001421</v>
      </c>
      <c r="D281" s="1" t="s">
        <v>303</v>
      </c>
      <c r="E281" s="1">
        <f>IF(AND(B281&lt;&gt;1110,B281&lt;&gt;1210,B281&lt;&gt;1510,B281&lt;&gt;1710),B281,IF(B281=1110,"1100",IF(B281=1210,"1200",IF(B281=1510,"1500",IF(B281=1710,"1700","X")))))</f>
        <v>1700</v>
      </c>
      <c r="F281" s="1" t="s">
        <v>11238</v>
      </c>
      <c r="G281" s="1" t="s">
        <v>302</v>
      </c>
      <c r="H281" s="1">
        <f>ROUND(P281/(1-((R281+S281))/100)*Q281, 3)</f>
        <v>49.051000000000002</v>
      </c>
      <c r="I281" s="1">
        <v>0.25</v>
      </c>
      <c r="J281" s="1">
        <v>3</v>
      </c>
      <c r="K281" s="1">
        <v>1</v>
      </c>
      <c r="L281" s="1" t="s">
        <v>292</v>
      </c>
      <c r="M281" s="1">
        <v>4</v>
      </c>
      <c r="N281" s="1">
        <v>1</v>
      </c>
      <c r="O281" s="1" t="s">
        <v>296</v>
      </c>
      <c r="P281" s="1">
        <f>IFERROR(VLOOKUP(BC281, BA:BA:BB:BB, 2, 0),)</f>
        <v>41.08</v>
      </c>
      <c r="Q281" s="1">
        <f>IFERROR(VLOOKUP(BC281, BA:BA:BD:BD, 4, 0),1)</f>
        <v>1</v>
      </c>
      <c r="R281" s="1">
        <v>7</v>
      </c>
      <c r="S281" s="1">
        <v>9.25</v>
      </c>
      <c r="T281" s="1">
        <v>0</v>
      </c>
      <c r="V281" s="1" t="s">
        <v>11223</v>
      </c>
      <c r="W281" s="1">
        <v>100</v>
      </c>
      <c r="X281" s="1" t="s">
        <v>298</v>
      </c>
      <c r="Y281" s="1" t="s">
        <v>299</v>
      </c>
      <c r="Z281" s="1">
        <v>1</v>
      </c>
      <c r="AA281" s="1">
        <f>ROUND(H281*I281*Z281, 3)</f>
        <v>12.263</v>
      </c>
      <c r="AB281" s="1">
        <f>ROUND(VLOOKUP(X281,'Base de dados'!A:B, 2, 0)*AA281, 2)</f>
        <v>1.23</v>
      </c>
      <c r="AC281" s="1">
        <f>ROUND((AA281*(Destino!AG281/100))*(W281/100),2)</f>
        <v>0.86</v>
      </c>
      <c r="AD281" s="1">
        <f>ROUND(AA281*(Destino!AH281/100),2)</f>
        <v>0</v>
      </c>
      <c r="AE281" s="1">
        <f>ROUND((((AA281+AB281)*1.48)*(Destino!AI281/100))-AC281,2)</f>
        <v>2.5299999999999998</v>
      </c>
      <c r="AF281" s="1">
        <f>ROUND((AA281+AB281+AE281)*(J281/100),2)</f>
        <v>0.48</v>
      </c>
      <c r="AG281" s="1">
        <f>ROUND(AA281*T281,2)</f>
        <v>0</v>
      </c>
      <c r="AH281" s="1">
        <f>ROUND(AA281+AB281-AD281+AE281+AF281+AG281, 3)</f>
        <v>16.503</v>
      </c>
      <c r="AI281" s="1">
        <f>AH281*M281*K281</f>
        <v>66.012</v>
      </c>
      <c r="BA281" s="1" t="s">
        <v>11301</v>
      </c>
      <c r="BB281" s="1">
        <f>AI281</f>
        <v>66.012</v>
      </c>
      <c r="BC281" s="1" t="s">
        <v>11406</v>
      </c>
      <c r="BD281" s="1">
        <f>N281</f>
        <v>1</v>
      </c>
    </row>
    <row r="282" spans="1:56" x14ac:dyDescent="0.25">
      <c r="A282" s="1">
        <v>600001427</v>
      </c>
      <c r="B282" s="1">
        <v>1000</v>
      </c>
      <c r="C282" s="1">
        <v>2200001473</v>
      </c>
      <c r="D282" s="1" t="s">
        <v>303</v>
      </c>
      <c r="E282" s="1">
        <f>IF(AND(B282&lt;&gt;1110,B282&lt;&gt;1210,B282&lt;&gt;1510,B282&lt;&gt;1710),B282,IF(B282=1110,"1100",IF(B282=1210,"1200",IF(B282=1510,"1500",IF(B282=1710,"1700","X")))))</f>
        <v>1000</v>
      </c>
      <c r="F282" s="1" t="s">
        <v>11198</v>
      </c>
      <c r="G282" s="1" t="s">
        <v>302</v>
      </c>
      <c r="H282" s="1">
        <f>ROUND(P282/(1-((R282+S282))/100)*Q282, 3)</f>
        <v>137.73099999999999</v>
      </c>
      <c r="I282" s="1">
        <v>0.45</v>
      </c>
      <c r="J282" s="1">
        <v>1.5</v>
      </c>
      <c r="K282" s="1">
        <v>1</v>
      </c>
      <c r="L282" s="1" t="s">
        <v>292</v>
      </c>
      <c r="M282" s="1">
        <v>1</v>
      </c>
      <c r="N282" s="1">
        <v>1</v>
      </c>
      <c r="O282" s="1" t="s">
        <v>296</v>
      </c>
      <c r="P282" s="1">
        <v>108.46299999999999</v>
      </c>
      <c r="Q282" s="1">
        <v>1</v>
      </c>
      <c r="R282" s="1">
        <v>12</v>
      </c>
      <c r="S282" s="1">
        <v>9.25</v>
      </c>
      <c r="T282" s="1">
        <v>0</v>
      </c>
      <c r="V282" s="1" t="s">
        <v>11223</v>
      </c>
      <c r="W282" s="1">
        <v>100</v>
      </c>
      <c r="X282" s="1" t="s">
        <v>298</v>
      </c>
      <c r="Y282" s="1" t="s">
        <v>322</v>
      </c>
      <c r="Z282" s="1">
        <v>1</v>
      </c>
      <c r="AA282" s="1">
        <f>ROUND(H282*I282*Z282, 3)</f>
        <v>61.978999999999999</v>
      </c>
      <c r="AB282" s="1">
        <f>ROUND(VLOOKUP(X282,'Base de dados'!A:B, 2, 0)*AA282, 2)</f>
        <v>6.2</v>
      </c>
      <c r="AC282" s="1">
        <f>ROUND((AA282*(Destino!AG282/100))*(W282/100),2)</f>
        <v>7.44</v>
      </c>
      <c r="AD282" s="1">
        <f>ROUND(AA282*(Destino!AH282/100),2)</f>
        <v>5.73</v>
      </c>
      <c r="AF282" s="1">
        <f>ROUND((AA282+ AB282)*(J282/100),2)</f>
        <v>1.02</v>
      </c>
      <c r="AG282" s="1">
        <f>ROUND(AA282*T282,2)</f>
        <v>0</v>
      </c>
      <c r="AH282" s="1">
        <f>ROUND(AA282-(AC282+AD282)+AF282+AG282, 3)</f>
        <v>49.829000000000001</v>
      </c>
      <c r="AI282" s="1">
        <f>AH282*M282*K282</f>
        <v>49.829000000000001</v>
      </c>
      <c r="BA282" s="1" t="s">
        <v>11407</v>
      </c>
      <c r="BB282" s="1">
        <f>AI282</f>
        <v>49.829000000000001</v>
      </c>
      <c r="BD282" s="1">
        <f>N282</f>
        <v>1</v>
      </c>
    </row>
    <row r="283" spans="1:56" x14ac:dyDescent="0.25">
      <c r="A283" s="1">
        <v>600001427</v>
      </c>
      <c r="B283" s="1">
        <v>1110</v>
      </c>
      <c r="C283" s="1">
        <v>2000005105</v>
      </c>
      <c r="D283" s="1" t="s">
        <v>303</v>
      </c>
      <c r="E283" s="1" t="str">
        <f>IF(AND(B283&lt;&gt;1110,B283&lt;&gt;1210,B283&lt;&gt;1510,B283&lt;&gt;1710),B283,IF(B283=1110,"1100",IF(B283=1210,"1200",IF(B283=1510,"1500",IF(B283=1710,"1700","X")))))</f>
        <v>1100</v>
      </c>
      <c r="F283" s="1" t="s">
        <v>447</v>
      </c>
      <c r="G283" s="1" t="s">
        <v>302</v>
      </c>
      <c r="H283" s="1">
        <f>ROUND(P283/(1-((R283+S283))/100)*Q283, 3)</f>
        <v>59.497</v>
      </c>
      <c r="I283" s="1">
        <v>1</v>
      </c>
      <c r="J283" s="1">
        <v>4</v>
      </c>
      <c r="K283" s="1">
        <v>1</v>
      </c>
      <c r="L283" s="1" t="s">
        <v>292</v>
      </c>
      <c r="M283" s="1">
        <v>1</v>
      </c>
      <c r="N283" s="1">
        <v>0.75260800000000005</v>
      </c>
      <c r="O283" s="1" t="s">
        <v>292</v>
      </c>
      <c r="P283" s="1">
        <f>IFERROR(VLOOKUP(BC283, BA:BA:BB:BB, 2, 0),)</f>
        <v>49.829000000000001</v>
      </c>
      <c r="Q283" s="1">
        <f>IFERROR(VLOOKUP(BC283, BA:BA:BD:BD, 4, 0),1)</f>
        <v>1</v>
      </c>
      <c r="R283" s="1">
        <v>7</v>
      </c>
      <c r="S283" s="1">
        <v>9.25</v>
      </c>
      <c r="T283" s="1">
        <v>0</v>
      </c>
      <c r="V283" s="1" t="s">
        <v>11223</v>
      </c>
      <c r="W283" s="1">
        <v>100</v>
      </c>
      <c r="X283" s="1" t="s">
        <v>298</v>
      </c>
      <c r="Y283" s="1" t="s">
        <v>322</v>
      </c>
      <c r="Z283" s="1">
        <v>1</v>
      </c>
      <c r="AA283" s="1">
        <f>ROUND(H283*I283*Z283, 3)</f>
        <v>59.497</v>
      </c>
      <c r="AB283" s="1">
        <f>ROUND(VLOOKUP(X283,'Base de dados'!A:B, 2, 0)*AA283, 2)</f>
        <v>5.95</v>
      </c>
      <c r="AC283" s="1">
        <f>ROUND((AA283*(Destino!AG283/100))*(W283/100),2)</f>
        <v>4.16</v>
      </c>
      <c r="AD283" s="1">
        <f>ROUND(AA283*(Destino!AH283/100),2)</f>
        <v>5.5</v>
      </c>
      <c r="AE283" s="1">
        <f>ROUND((((AA283+AB283)*1.5039)*(Destino!AI283/100))-AC283,2)</f>
        <v>12.57</v>
      </c>
      <c r="AF283" s="1">
        <f>ROUND((AA283+AB283+AE283)*(J283/100),2)</f>
        <v>3.12</v>
      </c>
      <c r="AG283" s="1">
        <f>ROUND(AA283*T283,2)</f>
        <v>0</v>
      </c>
      <c r="AH283" s="1">
        <f>ROUND(AA283-AD283+AE283+AF283+AG283, 3)</f>
        <v>69.686999999999998</v>
      </c>
      <c r="AI283" s="1">
        <f>AH283*M283*K283</f>
        <v>69.686999999999998</v>
      </c>
      <c r="BB283" s="1">
        <f>AI283</f>
        <v>69.686999999999998</v>
      </c>
      <c r="BC283" s="1" t="s">
        <v>11407</v>
      </c>
      <c r="BD283" s="1">
        <f>N283</f>
        <v>0.75260800000000005</v>
      </c>
    </row>
    <row r="284" spans="1:56" x14ac:dyDescent="0.25">
      <c r="A284" s="1">
        <v>600001427</v>
      </c>
      <c r="B284" s="1">
        <v>1110</v>
      </c>
      <c r="C284" s="1">
        <v>2200001473</v>
      </c>
      <c r="D284" s="1" t="s">
        <v>303</v>
      </c>
      <c r="E284" s="1" t="str">
        <f>IF(AND(B284&lt;&gt;1110,B284&lt;&gt;1210,B284&lt;&gt;1510,B284&lt;&gt;1710),B284,IF(B284=1110,"1100",IF(B284=1210,"1200",IF(B284=1510,"1500",IF(B284=1710,"1700","X")))))</f>
        <v>1100</v>
      </c>
      <c r="F284" s="1" t="s">
        <v>447</v>
      </c>
      <c r="G284" s="1" t="s">
        <v>302</v>
      </c>
      <c r="H284" s="1">
        <f>ROUND(P284/(1-((R284+S284))/100)*Q284, 3)</f>
        <v>129.50800000000001</v>
      </c>
      <c r="I284" s="1">
        <v>0.45</v>
      </c>
      <c r="J284" s="1">
        <v>4</v>
      </c>
      <c r="K284" s="1">
        <v>1</v>
      </c>
      <c r="L284" s="1" t="s">
        <v>292</v>
      </c>
      <c r="M284" s="1">
        <v>1</v>
      </c>
      <c r="N284" s="1">
        <v>0.75256000000000001</v>
      </c>
      <c r="O284" s="1" t="s">
        <v>296</v>
      </c>
      <c r="P284" s="1">
        <v>108.46299999999999</v>
      </c>
      <c r="Q284" s="1">
        <v>1</v>
      </c>
      <c r="R284" s="1">
        <v>7</v>
      </c>
      <c r="S284" s="1">
        <v>9.25</v>
      </c>
      <c r="T284" s="1">
        <v>0</v>
      </c>
      <c r="V284" s="1" t="s">
        <v>11223</v>
      </c>
      <c r="W284" s="1">
        <v>100</v>
      </c>
      <c r="X284" s="1" t="s">
        <v>298</v>
      </c>
      <c r="Y284" s="1" t="s">
        <v>322</v>
      </c>
      <c r="Z284" s="1">
        <v>1</v>
      </c>
      <c r="AA284" s="1">
        <f>ROUND(H284*I284*Z284, 3)</f>
        <v>58.279000000000003</v>
      </c>
      <c r="AB284" s="1">
        <f>ROUND(VLOOKUP(X284,'Base de dados'!A:B, 2, 0)*AA284, 2)</f>
        <v>5.83</v>
      </c>
      <c r="AC284" s="1">
        <f>ROUND((AA284*(Destino!AG284/100))*(W284/100),2)</f>
        <v>4.08</v>
      </c>
      <c r="AD284" s="1">
        <f>ROUND(AA284*(Destino!AH284/100),2)</f>
        <v>5.39</v>
      </c>
      <c r="AE284" s="1">
        <f>ROUND((((AA284+AB284)*1.5039)*(Destino!AI284/100))-AC284,2)</f>
        <v>12.31</v>
      </c>
      <c r="AF284" s="1">
        <f>ROUND((AA284+AB284+AE284)*(J284/100),2)</f>
        <v>3.06</v>
      </c>
      <c r="AG284" s="1">
        <f>ROUND(AA284*T284,2)</f>
        <v>0</v>
      </c>
      <c r="AH284" s="1">
        <f>ROUND(AA284-AD284+AE284+AF284+AG284, 3)</f>
        <v>68.259</v>
      </c>
      <c r="AI284" s="1">
        <f>AH284*M284*K284</f>
        <v>68.259</v>
      </c>
      <c r="BA284" s="1" t="s">
        <v>11408</v>
      </c>
      <c r="BB284" s="1">
        <f>AI284</f>
        <v>68.259</v>
      </c>
      <c r="BD284" s="1">
        <f>N284</f>
        <v>0.75256000000000001</v>
      </c>
    </row>
    <row r="285" spans="1:56" x14ac:dyDescent="0.25">
      <c r="A285" s="1">
        <v>600001583</v>
      </c>
      <c r="B285" s="1">
        <v>1000</v>
      </c>
      <c r="C285" s="1">
        <v>2200001473</v>
      </c>
      <c r="D285" s="1" t="s">
        <v>303</v>
      </c>
      <c r="E285" s="1">
        <f>IF(AND(B285&lt;&gt;1110,B285&lt;&gt;1210,B285&lt;&gt;1510,B285&lt;&gt;1710),B285,IF(B285=1110,"1100",IF(B285=1210,"1200",IF(B285=1510,"1500",IF(B285=1710,"1700","X")))))</f>
        <v>1000</v>
      </c>
      <c r="F285" s="1" t="s">
        <v>11198</v>
      </c>
      <c r="G285" s="1" t="s">
        <v>302</v>
      </c>
      <c r="H285" s="1">
        <f>ROUND(P285/(1-((R285+S285))/100)*Q285, 3)</f>
        <v>98.522999999999996</v>
      </c>
      <c r="I285" s="1">
        <v>0.45</v>
      </c>
      <c r="J285" s="1">
        <v>1.5</v>
      </c>
      <c r="K285" s="1">
        <v>1</v>
      </c>
      <c r="L285" s="1" t="s">
        <v>292</v>
      </c>
      <c r="M285" s="1">
        <v>1</v>
      </c>
      <c r="N285" s="1">
        <v>1</v>
      </c>
      <c r="O285" s="1" t="s">
        <v>296</v>
      </c>
      <c r="P285" s="1">
        <v>77.587000000000003</v>
      </c>
      <c r="Q285" s="1">
        <v>1</v>
      </c>
      <c r="R285" s="1">
        <v>12</v>
      </c>
      <c r="S285" s="1">
        <v>9.25</v>
      </c>
      <c r="T285" s="1">
        <v>0</v>
      </c>
      <c r="V285" s="1" t="s">
        <v>11223</v>
      </c>
      <c r="W285" s="1">
        <v>100</v>
      </c>
      <c r="X285" s="1" t="s">
        <v>298</v>
      </c>
      <c r="Y285" s="1" t="s">
        <v>299</v>
      </c>
      <c r="Z285" s="1">
        <v>1</v>
      </c>
      <c r="AA285" s="1">
        <f>ROUND(H285*I285*Z285, 3)</f>
        <v>44.335000000000001</v>
      </c>
      <c r="AB285" s="1">
        <f>ROUND(VLOOKUP(X285,'Base de dados'!A:B, 2, 0)*AA285, 2)</f>
        <v>4.43</v>
      </c>
      <c r="AC285" s="1">
        <f>ROUND((AA285*(Destino!AG285/100))*(W285/100),2)</f>
        <v>5.32</v>
      </c>
      <c r="AD285" s="1">
        <f>ROUND(AA285*(Destino!AH285/100),2)</f>
        <v>4.0999999999999996</v>
      </c>
      <c r="AF285" s="1">
        <f>ROUND((AA285+ AB285)*(J285/100),2)</f>
        <v>0.73</v>
      </c>
      <c r="AG285" s="1">
        <f>ROUND(AA285*T285,2)</f>
        <v>0</v>
      </c>
      <c r="AH285" s="1">
        <f>ROUND(AA285-(AC285+AD285)+AF285+AG285, 3)</f>
        <v>35.645000000000003</v>
      </c>
      <c r="AI285" s="1">
        <f>AH285*M285*K285</f>
        <v>35.645000000000003</v>
      </c>
      <c r="BA285" s="1" t="s">
        <v>11628</v>
      </c>
      <c r="BB285" s="1">
        <f>AI285</f>
        <v>35.645000000000003</v>
      </c>
      <c r="BD285" s="1">
        <f>N285</f>
        <v>1</v>
      </c>
    </row>
    <row r="286" spans="1:56" x14ac:dyDescent="0.25">
      <c r="A286" s="1">
        <v>600001583</v>
      </c>
      <c r="B286" s="1">
        <v>1100</v>
      </c>
      <c r="C286" s="1">
        <v>2200001473</v>
      </c>
      <c r="D286" s="1" t="s">
        <v>303</v>
      </c>
      <c r="E286" s="1">
        <f>IF(AND(B286&lt;&gt;1110,B286&lt;&gt;1210,B286&lt;&gt;1510,B286&lt;&gt;1710),B286,IF(B286=1110,"1100",IF(B286=1210,"1200",IF(B286=1510,"1500",IF(B286=1710,"1700","X")))))</f>
        <v>1100</v>
      </c>
      <c r="F286" s="1" t="s">
        <v>11198</v>
      </c>
      <c r="G286" s="1" t="s">
        <v>302</v>
      </c>
      <c r="H286" s="1">
        <f>ROUND(P286/(1-((R286+S286))/100)*Q286, 3)</f>
        <v>92.641999999999996</v>
      </c>
      <c r="I286" s="1">
        <v>0.45</v>
      </c>
      <c r="J286" s="1">
        <v>2</v>
      </c>
      <c r="K286" s="1">
        <v>1</v>
      </c>
      <c r="L286" s="1" t="s">
        <v>292</v>
      </c>
      <c r="M286" s="1">
        <v>1</v>
      </c>
      <c r="N286" s="1">
        <v>1</v>
      </c>
      <c r="O286" s="1" t="s">
        <v>296</v>
      </c>
      <c r="P286" s="1">
        <v>77.587999999999994</v>
      </c>
      <c r="Q286" s="1">
        <v>1</v>
      </c>
      <c r="R286" s="1">
        <v>7</v>
      </c>
      <c r="S286" s="1">
        <v>9.25</v>
      </c>
      <c r="T286" s="1">
        <v>0</v>
      </c>
      <c r="V286" s="1" t="s">
        <v>11223</v>
      </c>
      <c r="W286" s="1">
        <v>100</v>
      </c>
      <c r="X286" s="1" t="s">
        <v>298</v>
      </c>
      <c r="Y286" s="1" t="s">
        <v>299</v>
      </c>
      <c r="Z286" s="1">
        <v>1</v>
      </c>
      <c r="AA286" s="1">
        <f>ROUND(H286*I286*Z286, 3)</f>
        <v>41.689</v>
      </c>
      <c r="AB286" s="1">
        <f>ROUND(VLOOKUP(X286,'Base de dados'!A:B, 2, 0)*AA286, 2)</f>
        <v>4.17</v>
      </c>
      <c r="AC286" s="1">
        <f>ROUND((AA286*(Destino!AG286/100))*(W286/100),2)</f>
        <v>2.92</v>
      </c>
      <c r="AD286" s="1">
        <f>ROUND(AA286*(Destino!AH286/100),2)</f>
        <v>3.86</v>
      </c>
      <c r="AF286" s="1">
        <f>ROUND((AA286+ AB286)*(J286/100),2)</f>
        <v>0.92</v>
      </c>
      <c r="AG286" s="1">
        <f>ROUND(AA286*T286,2)</f>
        <v>0</v>
      </c>
      <c r="AH286" s="1">
        <f>ROUND(AA286-(AC286+AD286)+AF286+AG286, 3)</f>
        <v>35.829000000000001</v>
      </c>
      <c r="AI286" s="1">
        <f>AH286*M286*K286</f>
        <v>35.829000000000001</v>
      </c>
      <c r="BA286" s="1" t="s">
        <v>11629</v>
      </c>
      <c r="BB286" s="1">
        <f>AI286</f>
        <v>35.829000000000001</v>
      </c>
      <c r="BD286" s="1">
        <f>N286</f>
        <v>1</v>
      </c>
    </row>
    <row r="287" spans="1:56" x14ac:dyDescent="0.25">
      <c r="A287" s="1">
        <v>600001583</v>
      </c>
      <c r="B287" s="1">
        <v>1110</v>
      </c>
      <c r="C287" s="1">
        <v>2200001473</v>
      </c>
      <c r="D287" s="1" t="s">
        <v>303</v>
      </c>
      <c r="E287" s="1" t="str">
        <f>IF(AND(B287&lt;&gt;1110,B287&lt;&gt;1210,B287&lt;&gt;1510,B287&lt;&gt;1710),B287,IF(B287=1110,"1100",IF(B287=1210,"1200",IF(B287=1510,"1500",IF(B287=1710,"1700","X")))))</f>
        <v>1100</v>
      </c>
      <c r="F287" s="1" t="s">
        <v>447</v>
      </c>
      <c r="G287" s="1" t="s">
        <v>302</v>
      </c>
      <c r="H287" s="1">
        <f>ROUND(P287/(1-((R287+S287))/100)*Q287, 3)</f>
        <v>92.641999999999996</v>
      </c>
      <c r="I287" s="1">
        <v>0.45</v>
      </c>
      <c r="J287" s="1">
        <v>4</v>
      </c>
      <c r="K287" s="1">
        <v>1</v>
      </c>
      <c r="L287" s="1" t="s">
        <v>292</v>
      </c>
      <c r="M287" s="1">
        <v>1</v>
      </c>
      <c r="N287" s="1">
        <v>0.75240099999999999</v>
      </c>
      <c r="O287" s="1" t="s">
        <v>296</v>
      </c>
      <c r="P287" s="1">
        <v>77.587999999999994</v>
      </c>
      <c r="Q287" s="1">
        <v>1</v>
      </c>
      <c r="R287" s="1">
        <v>7</v>
      </c>
      <c r="S287" s="1">
        <v>9.25</v>
      </c>
      <c r="T287" s="1">
        <v>0</v>
      </c>
      <c r="V287" s="1" t="s">
        <v>11223</v>
      </c>
      <c r="W287" s="1">
        <v>100</v>
      </c>
      <c r="X287" s="1" t="s">
        <v>298</v>
      </c>
      <c r="Y287" s="1" t="s">
        <v>299</v>
      </c>
      <c r="Z287" s="1">
        <v>1</v>
      </c>
      <c r="AA287" s="1">
        <f>ROUND(H287*I287*Z287, 3)</f>
        <v>41.689</v>
      </c>
      <c r="AB287" s="1">
        <f>ROUND(VLOOKUP(X287,'Base de dados'!A:B, 2, 0)*AA287, 2)</f>
        <v>4.17</v>
      </c>
      <c r="AC287" s="1">
        <f>ROUND((AA287*(Destino!AG287/100))*(W287/100),2)</f>
        <v>2.92</v>
      </c>
      <c r="AD287" s="1">
        <f>ROUND(AA287*(Destino!AH287/100),2)</f>
        <v>3.86</v>
      </c>
      <c r="AE287" s="1">
        <f>ROUND((((AA287+AB287)*1.5039)*(Destino!AI287/100))-AC287,2)</f>
        <v>8.8000000000000007</v>
      </c>
      <c r="AF287" s="1">
        <f>ROUND((AA287+AB287+AE287)*(J287/100),2)</f>
        <v>2.19</v>
      </c>
      <c r="AG287" s="1">
        <f>ROUND(AA287*T287,2)</f>
        <v>0</v>
      </c>
      <c r="AH287" s="1">
        <f>ROUND(AA287-AD287+AE287+AF287+AG287, 3)</f>
        <v>48.819000000000003</v>
      </c>
      <c r="AI287" s="1">
        <f>AH287*M287*K287</f>
        <v>48.819000000000003</v>
      </c>
      <c r="BA287" s="1" t="s">
        <v>11630</v>
      </c>
      <c r="BB287" s="1">
        <f>AI287</f>
        <v>48.819000000000003</v>
      </c>
      <c r="BD287" s="1">
        <f>N287</f>
        <v>0.75240099999999999</v>
      </c>
    </row>
    <row r="288" spans="1:56" x14ac:dyDescent="0.25">
      <c r="A288" s="1">
        <v>600001583</v>
      </c>
      <c r="B288" s="1">
        <v>1400</v>
      </c>
      <c r="C288" s="1">
        <v>2200001473</v>
      </c>
      <c r="D288" s="1" t="s">
        <v>303</v>
      </c>
      <c r="E288" s="1">
        <f>IF(AND(B288&lt;&gt;1110,B288&lt;&gt;1210,B288&lt;&gt;1510,B288&lt;&gt;1710),B288,IF(B288=1110,"1100",IF(B288=1210,"1200",IF(B288=1510,"1500",IF(B288=1710,"1700","X")))))</f>
        <v>1400</v>
      </c>
      <c r="F288" s="1" t="s">
        <v>11198</v>
      </c>
      <c r="G288" s="1" t="s">
        <v>302</v>
      </c>
      <c r="H288" s="1">
        <f>ROUND(P288/(1-((R288+S288))/100)*Q288, 3)</f>
        <v>106.65</v>
      </c>
      <c r="I288" s="1">
        <v>0.45</v>
      </c>
      <c r="J288" s="1">
        <v>1.5</v>
      </c>
      <c r="K288" s="1">
        <v>1</v>
      </c>
      <c r="L288" s="1" t="s">
        <v>292</v>
      </c>
      <c r="M288" s="1">
        <v>1</v>
      </c>
      <c r="N288" s="1">
        <v>1</v>
      </c>
      <c r="O288" s="1" t="s">
        <v>296</v>
      </c>
      <c r="P288" s="1">
        <v>77.587999999999994</v>
      </c>
      <c r="Q288" s="1">
        <v>1</v>
      </c>
      <c r="R288" s="1">
        <v>18</v>
      </c>
      <c r="S288" s="1">
        <v>9.25</v>
      </c>
      <c r="T288" s="1">
        <v>0</v>
      </c>
      <c r="V288" s="1" t="s">
        <v>11223</v>
      </c>
      <c r="W288" s="1">
        <v>100</v>
      </c>
      <c r="X288" s="1" t="s">
        <v>298</v>
      </c>
      <c r="Y288" s="1" t="s">
        <v>299</v>
      </c>
      <c r="Z288" s="1">
        <v>1</v>
      </c>
      <c r="AA288" s="1">
        <f>ROUND(H288*I288*Z288, 3)</f>
        <v>47.993000000000002</v>
      </c>
      <c r="AB288" s="1">
        <f>ROUND(VLOOKUP(X288,'Base de dados'!A:B, 2, 0)*AA288, 2)</f>
        <v>4.8</v>
      </c>
      <c r="AC288" s="1">
        <f>ROUND((AA288*(Destino!AG288/100))*(W288/100),2)</f>
        <v>8.64</v>
      </c>
      <c r="AD288" s="1">
        <f>ROUND(AA288*(Destino!AH288/100),2)</f>
        <v>4.4400000000000004</v>
      </c>
      <c r="AF288" s="1">
        <f>ROUND((AA288+ AB288)*(J288/100),2)</f>
        <v>0.79</v>
      </c>
      <c r="AG288" s="1">
        <f>ROUND(AA288*T288,2)</f>
        <v>0</v>
      </c>
      <c r="AH288" s="1">
        <f>ROUND(AA288-(AC288+AD288)+AF288+AG288, 3)</f>
        <v>35.703000000000003</v>
      </c>
      <c r="AI288" s="1">
        <f>AH288*M288*K288</f>
        <v>35.703000000000003</v>
      </c>
      <c r="BA288" s="1" t="s">
        <v>11409</v>
      </c>
      <c r="BB288" s="1">
        <f>AI288</f>
        <v>35.703000000000003</v>
      </c>
      <c r="BD288" s="1">
        <f>N288</f>
        <v>1</v>
      </c>
    </row>
    <row r="289" spans="1:56" x14ac:dyDescent="0.25">
      <c r="A289" s="1">
        <v>600001583</v>
      </c>
      <c r="B289" s="1">
        <v>1700</v>
      </c>
      <c r="C289" s="1">
        <v>2200001421</v>
      </c>
      <c r="D289" s="1" t="s">
        <v>303</v>
      </c>
      <c r="E289" s="1">
        <f>IF(AND(B289&lt;&gt;1110,B289&lt;&gt;1210,B289&lt;&gt;1510,B289&lt;&gt;1710),B289,IF(B289=1110,"1100",IF(B289=1210,"1200",IF(B289=1510,"1500",IF(B289=1710,"1700","X")))))</f>
        <v>1700</v>
      </c>
      <c r="F289" s="1" t="s">
        <v>11238</v>
      </c>
      <c r="G289" s="1" t="s">
        <v>302</v>
      </c>
      <c r="H289" s="1">
        <f>ROUND(P289/(1-((R289+S289))/100)*Q289, 3)</f>
        <v>42.63</v>
      </c>
      <c r="I289" s="1">
        <v>0.25</v>
      </c>
      <c r="J289" s="1">
        <v>3</v>
      </c>
      <c r="K289" s="1">
        <v>1</v>
      </c>
      <c r="L289" s="1" t="s">
        <v>292</v>
      </c>
      <c r="M289" s="1">
        <v>4</v>
      </c>
      <c r="N289" s="1">
        <v>1</v>
      </c>
      <c r="O289" s="1" t="s">
        <v>296</v>
      </c>
      <c r="P289" s="1">
        <f>IFERROR(VLOOKUP(BC289, BA:BA:BB:BB, 2, 0),)</f>
        <v>35.703000000000003</v>
      </c>
      <c r="Q289" s="1">
        <f>IFERROR(VLOOKUP(BC289, BA:BA:BD:BD, 4, 0),1)</f>
        <v>1</v>
      </c>
      <c r="R289" s="1">
        <v>7</v>
      </c>
      <c r="S289" s="1">
        <v>9.25</v>
      </c>
      <c r="T289" s="1">
        <v>0</v>
      </c>
      <c r="V289" s="1" t="s">
        <v>11223</v>
      </c>
      <c r="W289" s="1">
        <v>100</v>
      </c>
      <c r="X289" s="1" t="s">
        <v>298</v>
      </c>
      <c r="Y289" s="1" t="s">
        <v>299</v>
      </c>
      <c r="Z289" s="1">
        <v>1</v>
      </c>
      <c r="AA289" s="1">
        <f>ROUND(H289*I289*Z289, 3)</f>
        <v>10.657999999999999</v>
      </c>
      <c r="AB289" s="1">
        <f>ROUND(VLOOKUP(X289,'Base de dados'!A:B, 2, 0)*AA289, 2)</f>
        <v>1.07</v>
      </c>
      <c r="AC289" s="1">
        <f>ROUND((AA289*(Destino!AG289/100))*(W289/100),2)</f>
        <v>0.75</v>
      </c>
      <c r="AD289" s="1">
        <f>ROUND(AA289*(Destino!AH289/100),2)</f>
        <v>0</v>
      </c>
      <c r="AE289" s="1">
        <f>ROUND((((AA289+AB289)*1.48)*(Destino!AI289/100))-AC289,2)</f>
        <v>2.2000000000000002</v>
      </c>
      <c r="AF289" s="1">
        <f>ROUND((AA289+AB289+AE289)*(J289/100),2)</f>
        <v>0.42</v>
      </c>
      <c r="AG289" s="1">
        <f>ROUND(AA289*T289,2)</f>
        <v>0</v>
      </c>
      <c r="AH289" s="1">
        <f>ROUND(AA289+AB289-AD289+AE289+AF289+AG289, 3)</f>
        <v>14.348000000000001</v>
      </c>
      <c r="AI289" s="1">
        <f>AH289*M289*K289</f>
        <v>57.392000000000003</v>
      </c>
      <c r="BA289" s="1" t="s">
        <v>11302</v>
      </c>
      <c r="BB289" s="1">
        <f>AI289</f>
        <v>57.392000000000003</v>
      </c>
      <c r="BC289" s="1" t="s">
        <v>11409</v>
      </c>
      <c r="BD289" s="1">
        <f>N289</f>
        <v>1</v>
      </c>
    </row>
    <row r="290" spans="1:56" x14ac:dyDescent="0.25">
      <c r="A290" s="1">
        <v>600001596</v>
      </c>
      <c r="B290" s="1">
        <v>1000</v>
      </c>
      <c r="C290" s="1">
        <v>2200001473</v>
      </c>
      <c r="D290" s="1" t="s">
        <v>303</v>
      </c>
      <c r="E290" s="1">
        <f>IF(AND(B290&lt;&gt;1110,B290&lt;&gt;1210,B290&lt;&gt;1510,B290&lt;&gt;1710),B290,IF(B290=1110,"1100",IF(B290=1210,"1200",IF(B290=1510,"1500",IF(B290=1710,"1700","X")))))</f>
        <v>1000</v>
      </c>
      <c r="F290" s="1" t="s">
        <v>11198</v>
      </c>
      <c r="G290" s="1" t="s">
        <v>302</v>
      </c>
      <c r="H290" s="1">
        <f>ROUND(P290/(1-((R290+S290))/100)*Q290, 3)</f>
        <v>119.199</v>
      </c>
      <c r="I290" s="1">
        <v>0.45</v>
      </c>
      <c r="J290" s="1">
        <v>1.5</v>
      </c>
      <c r="K290" s="1">
        <v>1</v>
      </c>
      <c r="L290" s="1" t="s">
        <v>292</v>
      </c>
      <c r="M290" s="1">
        <v>1</v>
      </c>
      <c r="N290" s="1">
        <v>1</v>
      </c>
      <c r="O290" s="1" t="s">
        <v>296</v>
      </c>
      <c r="P290" s="1">
        <v>93.869</v>
      </c>
      <c r="Q290" s="1">
        <v>1</v>
      </c>
      <c r="R290" s="1">
        <v>12</v>
      </c>
      <c r="S290" s="1">
        <v>9.25</v>
      </c>
      <c r="T290" s="1">
        <v>0</v>
      </c>
      <c r="V290" s="1" t="s">
        <v>11223</v>
      </c>
      <c r="W290" s="1">
        <v>100</v>
      </c>
      <c r="X290" s="1" t="s">
        <v>298</v>
      </c>
      <c r="Y290" s="1" t="s">
        <v>299</v>
      </c>
      <c r="Z290" s="1">
        <v>1</v>
      </c>
      <c r="AA290" s="1">
        <f>ROUND(H290*I290*Z290, 3)</f>
        <v>53.64</v>
      </c>
      <c r="AB290" s="1">
        <f>ROUND(VLOOKUP(X290,'Base de dados'!A:B, 2, 0)*AA290, 2)</f>
        <v>5.36</v>
      </c>
      <c r="AC290" s="1">
        <f>ROUND((AA290*(Destino!AG290/100))*(W290/100),2)</f>
        <v>6.44</v>
      </c>
      <c r="AD290" s="1">
        <f>ROUND(AA290*(Destino!AH290/100),2)</f>
        <v>4.96</v>
      </c>
      <c r="AF290" s="1">
        <f>ROUND((AA290+ AB290)*(J290/100),2)</f>
        <v>0.89</v>
      </c>
      <c r="AG290" s="1">
        <f>ROUND(AA290*T290,2)</f>
        <v>0</v>
      </c>
      <c r="AH290" s="1">
        <f>ROUND(AA290-(AC290+AD290)+AF290+AG290, 3)</f>
        <v>43.13</v>
      </c>
      <c r="AI290" s="1">
        <f>AH290*M290*K290</f>
        <v>43.13</v>
      </c>
      <c r="BA290" s="1" t="s">
        <v>11631</v>
      </c>
      <c r="BB290" s="1">
        <f>AI290</f>
        <v>43.13</v>
      </c>
      <c r="BD290" s="1">
        <f>N290</f>
        <v>1</v>
      </c>
    </row>
    <row r="291" spans="1:56" x14ac:dyDescent="0.25">
      <c r="A291" s="1">
        <v>600001596</v>
      </c>
      <c r="B291" s="1">
        <v>1100</v>
      </c>
      <c r="C291" s="1">
        <v>2200001473</v>
      </c>
      <c r="D291" s="1" t="s">
        <v>303</v>
      </c>
      <c r="E291" s="1">
        <f>IF(AND(B291&lt;&gt;1110,B291&lt;&gt;1210,B291&lt;&gt;1510,B291&lt;&gt;1710),B291,IF(B291=1110,"1100",IF(B291=1210,"1200",IF(B291=1510,"1500",IF(B291=1710,"1700","X")))))</f>
        <v>1100</v>
      </c>
      <c r="F291" s="1" t="s">
        <v>11198</v>
      </c>
      <c r="G291" s="1" t="s">
        <v>302</v>
      </c>
      <c r="H291" s="1">
        <f>ROUND(P291/(1-((R291+S291))/100)*Q291, 3)</f>
        <v>112.08199999999999</v>
      </c>
      <c r="I291" s="1">
        <v>0.45</v>
      </c>
      <c r="J291" s="1">
        <v>2</v>
      </c>
      <c r="K291" s="1">
        <v>1</v>
      </c>
      <c r="L291" s="1" t="s">
        <v>292</v>
      </c>
      <c r="M291" s="1">
        <v>1</v>
      </c>
      <c r="N291" s="1">
        <v>1</v>
      </c>
      <c r="O291" s="1" t="s">
        <v>296</v>
      </c>
      <c r="P291" s="1">
        <v>93.869</v>
      </c>
      <c r="Q291" s="1">
        <v>1</v>
      </c>
      <c r="R291" s="1">
        <v>7</v>
      </c>
      <c r="S291" s="1">
        <v>9.25</v>
      </c>
      <c r="T291" s="1">
        <v>0</v>
      </c>
      <c r="V291" s="1" t="s">
        <v>11223</v>
      </c>
      <c r="W291" s="1">
        <v>100</v>
      </c>
      <c r="X291" s="1" t="s">
        <v>298</v>
      </c>
      <c r="Y291" s="1" t="s">
        <v>299</v>
      </c>
      <c r="Z291" s="1">
        <v>1</v>
      </c>
      <c r="AA291" s="1">
        <f>ROUND(H291*I291*Z291, 3)</f>
        <v>50.436999999999998</v>
      </c>
      <c r="AB291" s="1">
        <f>ROUND(VLOOKUP(X291,'Base de dados'!A:B, 2, 0)*AA291, 2)</f>
        <v>5.04</v>
      </c>
      <c r="AC291" s="1">
        <f>ROUND((AA291*(Destino!AG291/100))*(W291/100),2)</f>
        <v>3.53</v>
      </c>
      <c r="AD291" s="1">
        <f>ROUND(AA291*(Destino!AH291/100),2)</f>
        <v>4.67</v>
      </c>
      <c r="AF291" s="1">
        <f>ROUND((AA291+ AB291)*(J291/100),2)</f>
        <v>1.1100000000000001</v>
      </c>
      <c r="AG291" s="1">
        <f>ROUND(AA291*T291,2)</f>
        <v>0</v>
      </c>
      <c r="AH291" s="1">
        <f>ROUND(AA291-(AC291+AD291)+AF291+AG291, 3)</f>
        <v>43.347000000000001</v>
      </c>
      <c r="AI291" s="1">
        <f>AH291*M291*K291</f>
        <v>43.347000000000001</v>
      </c>
      <c r="BA291" s="1" t="s">
        <v>11632</v>
      </c>
      <c r="BB291" s="1">
        <f>AI291</f>
        <v>43.347000000000001</v>
      </c>
      <c r="BD291" s="1">
        <f>N291</f>
        <v>1</v>
      </c>
    </row>
    <row r="292" spans="1:56" x14ac:dyDescent="0.25">
      <c r="A292" s="1">
        <v>600001596</v>
      </c>
      <c r="B292" s="1">
        <v>1110</v>
      </c>
      <c r="C292" s="1">
        <v>2200001473</v>
      </c>
      <c r="D292" s="1" t="s">
        <v>303</v>
      </c>
      <c r="E292" s="1" t="str">
        <f>IF(AND(B292&lt;&gt;1110,B292&lt;&gt;1210,B292&lt;&gt;1510,B292&lt;&gt;1710),B292,IF(B292=1110,"1100",IF(B292=1210,"1200",IF(B292=1510,"1500",IF(B292=1710,"1700","X")))))</f>
        <v>1100</v>
      </c>
      <c r="F292" s="1" t="s">
        <v>447</v>
      </c>
      <c r="G292" s="1" t="s">
        <v>302</v>
      </c>
      <c r="H292" s="1">
        <f>ROUND(P292/(1-((R292+S292))/100)*Q292, 3)</f>
        <v>112.08199999999999</v>
      </c>
      <c r="I292" s="1">
        <v>0.45</v>
      </c>
      <c r="J292" s="1">
        <v>4</v>
      </c>
      <c r="K292" s="1">
        <v>1</v>
      </c>
      <c r="L292" s="1" t="s">
        <v>292</v>
      </c>
      <c r="M292" s="1">
        <v>1</v>
      </c>
      <c r="N292" s="1">
        <v>0.75269600000000003</v>
      </c>
      <c r="O292" s="1" t="s">
        <v>296</v>
      </c>
      <c r="P292" s="1">
        <v>93.869</v>
      </c>
      <c r="Q292" s="1">
        <v>1</v>
      </c>
      <c r="R292" s="1">
        <v>7</v>
      </c>
      <c r="S292" s="1">
        <v>9.25</v>
      </c>
      <c r="T292" s="1">
        <v>0</v>
      </c>
      <c r="V292" s="1" t="s">
        <v>11223</v>
      </c>
      <c r="W292" s="1">
        <v>100</v>
      </c>
      <c r="X292" s="1" t="s">
        <v>298</v>
      </c>
      <c r="Y292" s="1" t="s">
        <v>299</v>
      </c>
      <c r="Z292" s="1">
        <v>1</v>
      </c>
      <c r="AA292" s="1">
        <f>ROUND(H292*I292*Z292, 3)</f>
        <v>50.436999999999998</v>
      </c>
      <c r="AB292" s="1">
        <f>ROUND(VLOOKUP(X292,'Base de dados'!A:B, 2, 0)*AA292, 2)</f>
        <v>5.04</v>
      </c>
      <c r="AC292" s="1">
        <f>ROUND((AA292*(Destino!AG292/100))*(W292/100),2)</f>
        <v>3.53</v>
      </c>
      <c r="AD292" s="1">
        <f>ROUND(AA292*(Destino!AH292/100),2)</f>
        <v>4.67</v>
      </c>
      <c r="AE292" s="1">
        <f>ROUND((((AA292+AB292)*1.5039)*(Destino!AI292/100))-AC292,2)</f>
        <v>10.65</v>
      </c>
      <c r="AF292" s="1">
        <f>ROUND((AA292+AB292+AE292)*(J292/100),2)</f>
        <v>2.65</v>
      </c>
      <c r="AG292" s="1">
        <f>ROUND(AA292*T292,2)</f>
        <v>0</v>
      </c>
      <c r="AH292" s="1">
        <f>ROUND(AA292-AD292+AE292+AF292+AG292, 3)</f>
        <v>59.067</v>
      </c>
      <c r="AI292" s="1">
        <f>AH292*M292*K292</f>
        <v>59.067</v>
      </c>
      <c r="BA292" s="1" t="s">
        <v>11633</v>
      </c>
      <c r="BB292" s="1">
        <f>AI292</f>
        <v>59.067</v>
      </c>
      <c r="BD292" s="1">
        <f>N292</f>
        <v>0.75269600000000003</v>
      </c>
    </row>
    <row r="293" spans="1:56" x14ac:dyDescent="0.25">
      <c r="A293" s="1">
        <v>600001596</v>
      </c>
      <c r="B293" s="1">
        <v>1400</v>
      </c>
      <c r="C293" s="1">
        <v>2200001473</v>
      </c>
      <c r="D293" s="1" t="s">
        <v>303</v>
      </c>
      <c r="E293" s="1">
        <f>IF(AND(B293&lt;&gt;1110,B293&lt;&gt;1210,B293&lt;&gt;1510,B293&lt;&gt;1710),B293,IF(B293=1110,"1100",IF(B293=1210,"1200",IF(B293=1510,"1500",IF(B293=1710,"1700","X")))))</f>
        <v>1400</v>
      </c>
      <c r="F293" s="1" t="s">
        <v>11198</v>
      </c>
      <c r="G293" s="1" t="s">
        <v>302</v>
      </c>
      <c r="H293" s="1">
        <f>ROUND(P293/(1-((R293+S293))/100)*Q293, 3)</f>
        <v>129.03</v>
      </c>
      <c r="I293" s="1">
        <v>0.45</v>
      </c>
      <c r="J293" s="1">
        <v>1.5</v>
      </c>
      <c r="K293" s="1">
        <v>1</v>
      </c>
      <c r="L293" s="1" t="s">
        <v>292</v>
      </c>
      <c r="M293" s="1">
        <v>1</v>
      </c>
      <c r="N293" s="1">
        <v>1</v>
      </c>
      <c r="O293" s="1" t="s">
        <v>296</v>
      </c>
      <c r="P293" s="1">
        <v>93.869</v>
      </c>
      <c r="Q293" s="1">
        <v>1</v>
      </c>
      <c r="R293" s="1">
        <v>18</v>
      </c>
      <c r="S293" s="1">
        <v>9.25</v>
      </c>
      <c r="T293" s="1">
        <v>0</v>
      </c>
      <c r="V293" s="1" t="s">
        <v>11223</v>
      </c>
      <c r="W293" s="1">
        <v>100</v>
      </c>
      <c r="X293" s="1" t="s">
        <v>298</v>
      </c>
      <c r="Y293" s="1" t="s">
        <v>299</v>
      </c>
      <c r="Z293" s="1">
        <v>1</v>
      </c>
      <c r="AA293" s="1">
        <f>ROUND(H293*I293*Z293, 3)</f>
        <v>58.064</v>
      </c>
      <c r="AB293" s="1">
        <f>ROUND(VLOOKUP(X293,'Base de dados'!A:B, 2, 0)*AA293, 2)</f>
        <v>5.81</v>
      </c>
      <c r="AC293" s="1">
        <f>ROUND((AA293*(Destino!AG293/100))*(W293/100),2)</f>
        <v>10.45</v>
      </c>
      <c r="AD293" s="1">
        <f>ROUND(AA293*(Destino!AH293/100),2)</f>
        <v>5.37</v>
      </c>
      <c r="AF293" s="1">
        <f>ROUND((AA293+ AB293)*(J293/100),2)</f>
        <v>0.96</v>
      </c>
      <c r="AG293" s="1">
        <f>ROUND(AA293*T293,2)</f>
        <v>0</v>
      </c>
      <c r="AH293" s="1">
        <f>ROUND(AA293-(AC293+AD293)+AF293+AG293, 3)</f>
        <v>43.204000000000001</v>
      </c>
      <c r="AI293" s="1">
        <f>AH293*M293*K293</f>
        <v>43.204000000000001</v>
      </c>
      <c r="BA293" s="1" t="s">
        <v>11410</v>
      </c>
      <c r="BB293" s="1">
        <f>AI293</f>
        <v>43.204000000000001</v>
      </c>
      <c r="BD293" s="1">
        <f>N293</f>
        <v>1</v>
      </c>
    </row>
    <row r="294" spans="1:56" x14ac:dyDescent="0.25">
      <c r="A294" s="1">
        <v>600001596</v>
      </c>
      <c r="B294" s="1">
        <v>1700</v>
      </c>
      <c r="C294" s="1">
        <v>2200001421</v>
      </c>
      <c r="D294" s="1" t="s">
        <v>303</v>
      </c>
      <c r="E294" s="1">
        <f>IF(AND(B294&lt;&gt;1110,B294&lt;&gt;1210,B294&lt;&gt;1510,B294&lt;&gt;1710),B294,IF(B294=1110,"1100",IF(B294=1210,"1200",IF(B294=1510,"1500",IF(B294=1710,"1700","X")))))</f>
        <v>1700</v>
      </c>
      <c r="F294" s="1" t="s">
        <v>11238</v>
      </c>
      <c r="G294" s="1" t="s">
        <v>302</v>
      </c>
      <c r="H294" s="1">
        <f>ROUND(P294/(1-((R294+S294))/100)*Q294, 3)</f>
        <v>51.587000000000003</v>
      </c>
      <c r="I294" s="1">
        <v>0.25</v>
      </c>
      <c r="J294" s="1">
        <v>3</v>
      </c>
      <c r="K294" s="1">
        <v>1</v>
      </c>
      <c r="L294" s="1" t="s">
        <v>292</v>
      </c>
      <c r="M294" s="1">
        <v>4</v>
      </c>
      <c r="N294" s="1">
        <v>1</v>
      </c>
      <c r="O294" s="1" t="s">
        <v>296</v>
      </c>
      <c r="P294" s="1">
        <f>IFERROR(VLOOKUP(BC294, BA:BA:BB:BB, 2, 0),)</f>
        <v>43.204000000000001</v>
      </c>
      <c r="Q294" s="1">
        <f>IFERROR(VLOOKUP(BC294, BA:BA:BD:BD, 4, 0),1)</f>
        <v>1</v>
      </c>
      <c r="R294" s="1">
        <v>7</v>
      </c>
      <c r="S294" s="1">
        <v>9.25</v>
      </c>
      <c r="T294" s="1">
        <v>0</v>
      </c>
      <c r="V294" s="1" t="s">
        <v>11223</v>
      </c>
      <c r="W294" s="1">
        <v>100</v>
      </c>
      <c r="X294" s="1" t="s">
        <v>298</v>
      </c>
      <c r="Y294" s="1" t="s">
        <v>299</v>
      </c>
      <c r="Z294" s="1">
        <v>1</v>
      </c>
      <c r="AA294" s="1">
        <f>ROUND(H294*I294*Z294, 3)</f>
        <v>12.897</v>
      </c>
      <c r="AB294" s="1">
        <f>ROUND(VLOOKUP(X294,'Base de dados'!A:B, 2, 0)*AA294, 2)</f>
        <v>1.29</v>
      </c>
      <c r="AC294" s="1">
        <f>ROUND((AA294*(Destino!AG294/100))*(W294/100),2)</f>
        <v>0.9</v>
      </c>
      <c r="AD294" s="1">
        <f>ROUND(AA294*(Destino!AH294/100),2)</f>
        <v>0</v>
      </c>
      <c r="AE294" s="1">
        <f>ROUND((((AA294+AB294)*1.48)*(Destino!AI294/100))-AC294,2)</f>
        <v>2.67</v>
      </c>
      <c r="AF294" s="1">
        <f>ROUND((AA294+AB294+AE294)*(J294/100),2)</f>
        <v>0.51</v>
      </c>
      <c r="AG294" s="1">
        <f>ROUND(AA294*T294,2)</f>
        <v>0</v>
      </c>
      <c r="AH294" s="1">
        <f>ROUND(AA294+AB294-AD294+AE294+AF294+AG294, 3)</f>
        <v>17.367000000000001</v>
      </c>
      <c r="AI294" s="1">
        <f>AH294*M294*K294</f>
        <v>69.468000000000004</v>
      </c>
      <c r="BA294" s="1" t="s">
        <v>11303</v>
      </c>
      <c r="BB294" s="1">
        <f>AI294</f>
        <v>69.468000000000004</v>
      </c>
      <c r="BC294" s="1" t="s">
        <v>11410</v>
      </c>
      <c r="BD294" s="1">
        <f>N294</f>
        <v>1</v>
      </c>
    </row>
    <row r="295" spans="1:56" x14ac:dyDescent="0.25">
      <c r="A295" s="1">
        <v>600001598</v>
      </c>
      <c r="B295" s="1">
        <v>1000</v>
      </c>
      <c r="C295" s="1">
        <v>2200001473</v>
      </c>
      <c r="D295" s="1" t="s">
        <v>303</v>
      </c>
      <c r="E295" s="1">
        <f>IF(AND(B295&lt;&gt;1110,B295&lt;&gt;1210,B295&lt;&gt;1510,B295&lt;&gt;1710),B295,IF(B295=1110,"1100",IF(B295=1210,"1200",IF(B295=1510,"1500",IF(B295=1710,"1700","X")))))</f>
        <v>1000</v>
      </c>
      <c r="F295" s="1" t="s">
        <v>11198</v>
      </c>
      <c r="G295" s="1" t="s">
        <v>302</v>
      </c>
      <c r="H295" s="1">
        <f>ROUND(P295/(1-((R295+S295))/100)*Q295, 3)</f>
        <v>128.399</v>
      </c>
      <c r="I295" s="1">
        <v>0.45</v>
      </c>
      <c r="J295" s="1">
        <v>1.5</v>
      </c>
      <c r="K295" s="1">
        <v>1</v>
      </c>
      <c r="L295" s="1" t="s">
        <v>292</v>
      </c>
      <c r="M295" s="1">
        <v>1</v>
      </c>
      <c r="N295" s="1">
        <v>1</v>
      </c>
      <c r="O295" s="1" t="s">
        <v>296</v>
      </c>
      <c r="P295" s="1">
        <v>101.114</v>
      </c>
      <c r="Q295" s="1">
        <v>1</v>
      </c>
      <c r="R295" s="1">
        <v>12</v>
      </c>
      <c r="S295" s="1">
        <v>9.25</v>
      </c>
      <c r="T295" s="1">
        <v>0</v>
      </c>
      <c r="V295" s="1" t="s">
        <v>11223</v>
      </c>
      <c r="W295" s="1">
        <v>100</v>
      </c>
      <c r="X295" s="1" t="s">
        <v>298</v>
      </c>
      <c r="Y295" s="1" t="s">
        <v>299</v>
      </c>
      <c r="Z295" s="1">
        <v>1</v>
      </c>
      <c r="AA295" s="1">
        <f>ROUND(H295*I295*Z295, 3)</f>
        <v>57.78</v>
      </c>
      <c r="AB295" s="1">
        <f>ROUND(VLOOKUP(X295,'Base de dados'!A:B, 2, 0)*AA295, 2)</f>
        <v>5.78</v>
      </c>
      <c r="AC295" s="1">
        <f>ROUND((AA295*(Destino!AG295/100))*(W295/100),2)</f>
        <v>6.93</v>
      </c>
      <c r="AD295" s="1">
        <f>ROUND(AA295*(Destino!AH295/100),2)</f>
        <v>5.34</v>
      </c>
      <c r="AF295" s="1">
        <f>ROUND((AA295+ AB295)*(J295/100),2)</f>
        <v>0.95</v>
      </c>
      <c r="AG295" s="1">
        <f>ROUND(AA295*T295,2)</f>
        <v>0</v>
      </c>
      <c r="AH295" s="1">
        <f>ROUND(AA295-(AC295+AD295)+AF295+AG295, 3)</f>
        <v>46.46</v>
      </c>
      <c r="AI295" s="1">
        <f>AH295*M295*K295</f>
        <v>46.46</v>
      </c>
      <c r="BA295" s="1" t="s">
        <v>11634</v>
      </c>
      <c r="BB295" s="1">
        <f>AI295</f>
        <v>46.46</v>
      </c>
      <c r="BD295" s="1">
        <f>N295</f>
        <v>1</v>
      </c>
    </row>
    <row r="296" spans="1:56" x14ac:dyDescent="0.25">
      <c r="A296" s="1">
        <v>600001598</v>
      </c>
      <c r="B296" s="1">
        <v>1100</v>
      </c>
      <c r="C296" s="1">
        <v>2200001473</v>
      </c>
      <c r="D296" s="1" t="s">
        <v>303</v>
      </c>
      <c r="E296" s="1">
        <f>IF(AND(B296&lt;&gt;1110,B296&lt;&gt;1210,B296&lt;&gt;1510,B296&lt;&gt;1710),B296,IF(B296=1110,"1100",IF(B296=1210,"1200",IF(B296=1510,"1500",IF(B296=1710,"1700","X")))))</f>
        <v>1100</v>
      </c>
      <c r="F296" s="1" t="s">
        <v>11198</v>
      </c>
      <c r="G296" s="1" t="s">
        <v>302</v>
      </c>
      <c r="H296" s="1">
        <f>ROUND(P296/(1-((R296+S296))/100)*Q296, 3)</f>
        <v>120.73399999999999</v>
      </c>
      <c r="I296" s="1">
        <v>0.45</v>
      </c>
      <c r="J296" s="1">
        <v>2</v>
      </c>
      <c r="K296" s="1">
        <v>1</v>
      </c>
      <c r="L296" s="1" t="s">
        <v>292</v>
      </c>
      <c r="M296" s="1">
        <v>1</v>
      </c>
      <c r="N296" s="1">
        <v>1</v>
      </c>
      <c r="O296" s="1" t="s">
        <v>296</v>
      </c>
      <c r="P296" s="1">
        <v>101.11499999999999</v>
      </c>
      <c r="Q296" s="1">
        <v>1</v>
      </c>
      <c r="R296" s="1">
        <v>7</v>
      </c>
      <c r="S296" s="1">
        <v>9.25</v>
      </c>
      <c r="T296" s="1">
        <v>0</v>
      </c>
      <c r="V296" s="1" t="s">
        <v>11223</v>
      </c>
      <c r="W296" s="1">
        <v>100</v>
      </c>
      <c r="X296" s="1" t="s">
        <v>298</v>
      </c>
      <c r="Y296" s="1" t="s">
        <v>299</v>
      </c>
      <c r="Z296" s="1">
        <v>1</v>
      </c>
      <c r="AA296" s="1">
        <f>ROUND(H296*I296*Z296, 3)</f>
        <v>54.33</v>
      </c>
      <c r="AB296" s="1">
        <f>ROUND(VLOOKUP(X296,'Base de dados'!A:B, 2, 0)*AA296, 2)</f>
        <v>5.43</v>
      </c>
      <c r="AC296" s="1">
        <f>ROUND((AA296*(Destino!AG296/100))*(W296/100),2)</f>
        <v>3.8</v>
      </c>
      <c r="AD296" s="1">
        <f>ROUND(AA296*(Destino!AH296/100),2)</f>
        <v>5.03</v>
      </c>
      <c r="AF296" s="1">
        <f>ROUND((AA296+ AB296)*(J296/100),2)</f>
        <v>1.2</v>
      </c>
      <c r="AG296" s="1">
        <f>ROUND(AA296*T296,2)</f>
        <v>0</v>
      </c>
      <c r="AH296" s="1">
        <f>ROUND(AA296-(AC296+AD296)+AF296+AG296, 3)</f>
        <v>46.7</v>
      </c>
      <c r="AI296" s="1">
        <f>AH296*M296*K296</f>
        <v>46.7</v>
      </c>
      <c r="BA296" s="1" t="s">
        <v>11635</v>
      </c>
      <c r="BB296" s="1">
        <f>AI296</f>
        <v>46.7</v>
      </c>
      <c r="BD296" s="1">
        <f>N296</f>
        <v>1</v>
      </c>
    </row>
    <row r="297" spans="1:56" x14ac:dyDescent="0.25">
      <c r="A297" s="1">
        <v>600001598</v>
      </c>
      <c r="B297" s="1">
        <v>1110</v>
      </c>
      <c r="C297" s="1">
        <v>2200001473</v>
      </c>
      <c r="D297" s="1" t="s">
        <v>303</v>
      </c>
      <c r="E297" s="1" t="str">
        <f>IF(AND(B297&lt;&gt;1110,B297&lt;&gt;1210,B297&lt;&gt;1510,B297&lt;&gt;1710),B297,IF(B297=1110,"1100",IF(B297=1210,"1200",IF(B297=1510,"1500",IF(B297=1710,"1700","X")))))</f>
        <v>1100</v>
      </c>
      <c r="F297" s="1" t="s">
        <v>447</v>
      </c>
      <c r="G297" s="1" t="s">
        <v>302</v>
      </c>
      <c r="H297" s="1">
        <f>ROUND(P297/(1-((R297+S297))/100)*Q297, 3)</f>
        <v>120.73399999999999</v>
      </c>
      <c r="I297" s="1">
        <v>0.45</v>
      </c>
      <c r="J297" s="1">
        <v>4</v>
      </c>
      <c r="K297" s="1">
        <v>1</v>
      </c>
      <c r="L297" s="1" t="s">
        <v>292</v>
      </c>
      <c r="M297" s="1">
        <v>1</v>
      </c>
      <c r="N297" s="1">
        <v>0.75263199999999997</v>
      </c>
      <c r="O297" s="1" t="s">
        <v>296</v>
      </c>
      <c r="P297" s="1">
        <v>101.11499999999999</v>
      </c>
      <c r="Q297" s="1">
        <v>1</v>
      </c>
      <c r="R297" s="1">
        <v>7</v>
      </c>
      <c r="S297" s="1">
        <v>9.25</v>
      </c>
      <c r="T297" s="1">
        <v>0</v>
      </c>
      <c r="V297" s="1" t="s">
        <v>11223</v>
      </c>
      <c r="W297" s="1">
        <v>100</v>
      </c>
      <c r="X297" s="1" t="s">
        <v>298</v>
      </c>
      <c r="Y297" s="1" t="s">
        <v>299</v>
      </c>
      <c r="Z297" s="1">
        <v>1</v>
      </c>
      <c r="AA297" s="1">
        <f>ROUND(H297*I297*Z297, 3)</f>
        <v>54.33</v>
      </c>
      <c r="AB297" s="1">
        <f>ROUND(VLOOKUP(X297,'Base de dados'!A:B, 2, 0)*AA297, 2)</f>
        <v>5.43</v>
      </c>
      <c r="AC297" s="1">
        <f>ROUND((AA297*(Destino!AG297/100))*(W297/100),2)</f>
        <v>3.8</v>
      </c>
      <c r="AD297" s="1">
        <f>ROUND(AA297*(Destino!AH297/100),2)</f>
        <v>5.03</v>
      </c>
      <c r="AE297" s="1">
        <f>ROUND((((AA297+AB297)*1.5039)*(Destino!AI297/100))-AC297,2)</f>
        <v>11.48</v>
      </c>
      <c r="AF297" s="1">
        <f>ROUND((AA297+AB297+AE297)*(J297/100),2)</f>
        <v>2.85</v>
      </c>
      <c r="AG297" s="1">
        <f>ROUND(AA297*T297,2)</f>
        <v>0</v>
      </c>
      <c r="AH297" s="1">
        <f>ROUND(AA297-AD297+AE297+AF297+AG297, 3)</f>
        <v>63.63</v>
      </c>
      <c r="AI297" s="1">
        <f>AH297*M297*K297</f>
        <v>63.63</v>
      </c>
      <c r="BA297" s="1" t="s">
        <v>11636</v>
      </c>
      <c r="BB297" s="1">
        <f>AI297</f>
        <v>63.63</v>
      </c>
      <c r="BD297" s="1">
        <f>N297</f>
        <v>0.75263199999999997</v>
      </c>
    </row>
    <row r="298" spans="1:56" x14ac:dyDescent="0.25">
      <c r="A298" s="1">
        <v>600001598</v>
      </c>
      <c r="B298" s="1">
        <v>1400</v>
      </c>
      <c r="C298" s="1">
        <v>2200001473</v>
      </c>
      <c r="D298" s="1" t="s">
        <v>303</v>
      </c>
      <c r="E298" s="1">
        <f>IF(AND(B298&lt;&gt;1110,B298&lt;&gt;1210,B298&lt;&gt;1510,B298&lt;&gt;1710),B298,IF(B298=1110,"1100",IF(B298=1210,"1200",IF(B298=1510,"1500",IF(B298=1710,"1700","X")))))</f>
        <v>1400</v>
      </c>
      <c r="F298" s="1" t="s">
        <v>11198</v>
      </c>
      <c r="G298" s="1" t="s">
        <v>302</v>
      </c>
      <c r="H298" s="1">
        <f>ROUND(P298/(1-((R298+S298))/100)*Q298, 3)</f>
        <v>138.99</v>
      </c>
      <c r="I298" s="1">
        <v>0.45</v>
      </c>
      <c r="J298" s="1">
        <v>1.5</v>
      </c>
      <c r="K298" s="1">
        <v>1</v>
      </c>
      <c r="L298" s="1" t="s">
        <v>292</v>
      </c>
      <c r="M298" s="1">
        <v>1</v>
      </c>
      <c r="N298" s="1">
        <v>1</v>
      </c>
      <c r="O298" s="1" t="s">
        <v>296</v>
      </c>
      <c r="P298" s="1">
        <v>101.11499999999999</v>
      </c>
      <c r="Q298" s="1">
        <v>1</v>
      </c>
      <c r="R298" s="1">
        <v>18</v>
      </c>
      <c r="S298" s="1">
        <v>9.25</v>
      </c>
      <c r="T298" s="1">
        <v>0</v>
      </c>
      <c r="V298" s="1" t="s">
        <v>11223</v>
      </c>
      <c r="W298" s="1">
        <v>100</v>
      </c>
      <c r="X298" s="1" t="s">
        <v>298</v>
      </c>
      <c r="Y298" s="1" t="s">
        <v>299</v>
      </c>
      <c r="Z298" s="1">
        <v>1</v>
      </c>
      <c r="AA298" s="1">
        <f>ROUND(H298*I298*Z298, 3)</f>
        <v>62.545999999999999</v>
      </c>
      <c r="AB298" s="1">
        <f>ROUND(VLOOKUP(X298,'Base de dados'!A:B, 2, 0)*AA298, 2)</f>
        <v>6.25</v>
      </c>
      <c r="AC298" s="1">
        <f>ROUND((AA298*(Destino!AG298/100))*(W298/100),2)</f>
        <v>11.26</v>
      </c>
      <c r="AD298" s="1">
        <f>ROUND(AA298*(Destino!AH298/100),2)</f>
        <v>5.79</v>
      </c>
      <c r="AF298" s="1">
        <f>ROUND((AA298+ AB298)*(J298/100),2)</f>
        <v>1.03</v>
      </c>
      <c r="AG298" s="1">
        <f>ROUND(AA298*T298,2)</f>
        <v>0</v>
      </c>
      <c r="AH298" s="1">
        <f>ROUND(AA298-(AC298+AD298)+AF298+AG298, 3)</f>
        <v>46.526000000000003</v>
      </c>
      <c r="AI298" s="1">
        <f>AH298*M298*K298</f>
        <v>46.526000000000003</v>
      </c>
      <c r="BA298" s="1" t="s">
        <v>11411</v>
      </c>
      <c r="BB298" s="1">
        <f>AI298</f>
        <v>46.526000000000003</v>
      </c>
      <c r="BD298" s="1">
        <f>N298</f>
        <v>1</v>
      </c>
    </row>
    <row r="299" spans="1:56" x14ac:dyDescent="0.25">
      <c r="A299" s="1">
        <v>600001598</v>
      </c>
      <c r="B299" s="1">
        <v>1700</v>
      </c>
      <c r="C299" s="1">
        <v>2200001421</v>
      </c>
      <c r="D299" s="1" t="s">
        <v>303</v>
      </c>
      <c r="E299" s="1">
        <f>IF(AND(B299&lt;&gt;1110,B299&lt;&gt;1210,B299&lt;&gt;1510,B299&lt;&gt;1710),B299,IF(B299=1110,"1100",IF(B299=1210,"1200",IF(B299=1510,"1500",IF(B299=1710,"1700","X")))))</f>
        <v>1700</v>
      </c>
      <c r="F299" s="1" t="s">
        <v>11238</v>
      </c>
      <c r="G299" s="1" t="s">
        <v>302</v>
      </c>
      <c r="H299" s="1">
        <f>ROUND(P299/(1-((R299+S299))/100)*Q299, 3)</f>
        <v>55.552999999999997</v>
      </c>
      <c r="I299" s="1">
        <v>0.25</v>
      </c>
      <c r="J299" s="1">
        <v>3</v>
      </c>
      <c r="K299" s="1">
        <v>1</v>
      </c>
      <c r="L299" s="1" t="s">
        <v>292</v>
      </c>
      <c r="M299" s="1">
        <v>4</v>
      </c>
      <c r="N299" s="1">
        <v>1</v>
      </c>
      <c r="O299" s="1" t="s">
        <v>296</v>
      </c>
      <c r="P299" s="1">
        <f>IFERROR(VLOOKUP(BC299, BA:BA:BB:BB, 2, 0),)</f>
        <v>46.526000000000003</v>
      </c>
      <c r="Q299" s="1">
        <f>IFERROR(VLOOKUP(BC299, BA:BA:BD:BD, 4, 0),1)</f>
        <v>1</v>
      </c>
      <c r="R299" s="1">
        <v>7</v>
      </c>
      <c r="S299" s="1">
        <v>9.25</v>
      </c>
      <c r="T299" s="1">
        <v>0</v>
      </c>
      <c r="V299" s="1" t="s">
        <v>11223</v>
      </c>
      <c r="W299" s="1">
        <v>100</v>
      </c>
      <c r="X299" s="1" t="s">
        <v>298</v>
      </c>
      <c r="Y299" s="1" t="s">
        <v>299</v>
      </c>
      <c r="Z299" s="1">
        <v>1</v>
      </c>
      <c r="AA299" s="1">
        <f>ROUND(H299*I299*Z299, 3)</f>
        <v>13.888</v>
      </c>
      <c r="AB299" s="1">
        <f>ROUND(VLOOKUP(X299,'Base de dados'!A:B, 2, 0)*AA299, 2)</f>
        <v>1.39</v>
      </c>
      <c r="AC299" s="1">
        <f>ROUND((AA299*(Destino!AG299/100))*(W299/100),2)</f>
        <v>0.97</v>
      </c>
      <c r="AD299" s="1">
        <f>ROUND(AA299*(Destino!AH299/100),2)</f>
        <v>0</v>
      </c>
      <c r="AE299" s="1">
        <f>ROUND((((AA299+AB299)*1.48)*(Destino!AI299/100))-AC299,2)</f>
        <v>2.87</v>
      </c>
      <c r="AF299" s="1">
        <f>ROUND((AA299+AB299+AE299)*(J299/100),2)</f>
        <v>0.54</v>
      </c>
      <c r="AG299" s="1">
        <f>ROUND(AA299*T299,2)</f>
        <v>0</v>
      </c>
      <c r="AH299" s="1">
        <f>ROUND(AA299+AB299-AD299+AE299+AF299+AG299, 3)</f>
        <v>18.687999999999999</v>
      </c>
      <c r="AI299" s="1">
        <f>AH299*M299*K299</f>
        <v>74.751999999999995</v>
      </c>
      <c r="BA299" s="1" t="s">
        <v>11304</v>
      </c>
      <c r="BB299" s="1">
        <f>AI299</f>
        <v>74.751999999999995</v>
      </c>
      <c r="BC299" s="1" t="s">
        <v>11411</v>
      </c>
      <c r="BD299" s="1">
        <f>N299</f>
        <v>1</v>
      </c>
    </row>
    <row r="300" spans="1:56" x14ac:dyDescent="0.25">
      <c r="A300" s="1">
        <v>600001599</v>
      </c>
      <c r="B300" s="1">
        <v>1000</v>
      </c>
      <c r="C300" s="1">
        <v>2200001473</v>
      </c>
      <c r="D300" s="1" t="s">
        <v>303</v>
      </c>
      <c r="E300" s="1">
        <f>IF(AND(B300&lt;&gt;1110,B300&lt;&gt;1210,B300&lt;&gt;1510,B300&lt;&gt;1710),B300,IF(B300=1110,"1100",IF(B300=1210,"1200",IF(B300=1510,"1500",IF(B300=1710,"1700","X")))))</f>
        <v>1000</v>
      </c>
      <c r="F300" s="1" t="s">
        <v>11198</v>
      </c>
      <c r="G300" s="1" t="s">
        <v>302</v>
      </c>
      <c r="H300" s="1">
        <f>ROUND(P300/(1-((R300+S300))/100)*Q300, 3)</f>
        <v>141.018</v>
      </c>
      <c r="I300" s="1">
        <v>0.45</v>
      </c>
      <c r="J300" s="1">
        <v>1.5</v>
      </c>
      <c r="K300" s="1">
        <v>1</v>
      </c>
      <c r="L300" s="1" t="s">
        <v>292</v>
      </c>
      <c r="M300" s="1">
        <v>1</v>
      </c>
      <c r="N300" s="1">
        <v>1</v>
      </c>
      <c r="O300" s="1" t="s">
        <v>296</v>
      </c>
      <c r="P300" s="1">
        <v>111.05200000000001</v>
      </c>
      <c r="Q300" s="1">
        <v>1</v>
      </c>
      <c r="R300" s="1">
        <v>12</v>
      </c>
      <c r="S300" s="1">
        <v>9.25</v>
      </c>
      <c r="T300" s="1">
        <v>0</v>
      </c>
      <c r="V300" s="1" t="s">
        <v>11223</v>
      </c>
      <c r="W300" s="1">
        <v>100</v>
      </c>
      <c r="X300" s="1" t="s">
        <v>298</v>
      </c>
      <c r="Y300" s="1" t="s">
        <v>299</v>
      </c>
      <c r="Z300" s="1">
        <v>1</v>
      </c>
      <c r="AA300" s="1">
        <f>ROUND(H300*I300*Z300, 3)</f>
        <v>63.457999999999998</v>
      </c>
      <c r="AB300" s="1">
        <f>ROUND(VLOOKUP(X300,'Base de dados'!A:B, 2, 0)*AA300, 2)</f>
        <v>6.35</v>
      </c>
      <c r="AC300" s="1">
        <f>ROUND((AA300*(Destino!AG300/100))*(W300/100),2)</f>
        <v>7.61</v>
      </c>
      <c r="AD300" s="1">
        <f>ROUND(AA300*(Destino!AH300/100),2)</f>
        <v>5.87</v>
      </c>
      <c r="AF300" s="1">
        <f>ROUND((AA300+ AB300)*(J300/100),2)</f>
        <v>1.05</v>
      </c>
      <c r="AG300" s="1">
        <f>ROUND(AA300*T300,2)</f>
        <v>0</v>
      </c>
      <c r="AH300" s="1">
        <f>ROUND(AA300-(AC300+AD300)+AF300+AG300, 3)</f>
        <v>51.027999999999999</v>
      </c>
      <c r="AI300" s="1">
        <f>AH300*M300*K300</f>
        <v>51.027999999999999</v>
      </c>
      <c r="BA300" s="1" t="s">
        <v>11637</v>
      </c>
      <c r="BB300" s="1">
        <f>AI300</f>
        <v>51.027999999999999</v>
      </c>
      <c r="BD300" s="1">
        <f>N300</f>
        <v>1</v>
      </c>
    </row>
    <row r="301" spans="1:56" x14ac:dyDescent="0.25">
      <c r="A301" s="1">
        <v>600001599</v>
      </c>
      <c r="B301" s="1">
        <v>1100</v>
      </c>
      <c r="C301" s="1">
        <v>2200001473</v>
      </c>
      <c r="D301" s="1" t="s">
        <v>303</v>
      </c>
      <c r="E301" s="1">
        <f>IF(AND(B301&lt;&gt;1110,B301&lt;&gt;1210,B301&lt;&gt;1510,B301&lt;&gt;1710),B301,IF(B301=1110,"1100",IF(B301=1210,"1200",IF(B301=1510,"1500",IF(B301=1710,"1700","X")))))</f>
        <v>1100</v>
      </c>
      <c r="F301" s="1" t="s">
        <v>11198</v>
      </c>
      <c r="G301" s="1" t="s">
        <v>302</v>
      </c>
      <c r="H301" s="1">
        <f>ROUND(P301/(1-((R301+S301))/100)*Q301, 3)</f>
        <v>132.601</v>
      </c>
      <c r="I301" s="1">
        <v>0.45</v>
      </c>
      <c r="J301" s="1">
        <v>2</v>
      </c>
      <c r="K301" s="1">
        <v>1</v>
      </c>
      <c r="L301" s="1" t="s">
        <v>292</v>
      </c>
      <c r="M301" s="1">
        <v>1</v>
      </c>
      <c r="N301" s="1">
        <v>1</v>
      </c>
      <c r="O301" s="1" t="s">
        <v>296</v>
      </c>
      <c r="P301" s="1">
        <v>111.053</v>
      </c>
      <c r="Q301" s="1">
        <v>1</v>
      </c>
      <c r="R301" s="1">
        <v>7</v>
      </c>
      <c r="S301" s="1">
        <v>9.25</v>
      </c>
      <c r="T301" s="1">
        <v>0</v>
      </c>
      <c r="V301" s="1" t="s">
        <v>11223</v>
      </c>
      <c r="W301" s="1">
        <v>100</v>
      </c>
      <c r="X301" s="1" t="s">
        <v>298</v>
      </c>
      <c r="Y301" s="1" t="s">
        <v>299</v>
      </c>
      <c r="Z301" s="1">
        <v>1</v>
      </c>
      <c r="AA301" s="1">
        <f>ROUND(H301*I301*Z301, 3)</f>
        <v>59.67</v>
      </c>
      <c r="AB301" s="1">
        <f>ROUND(VLOOKUP(X301,'Base de dados'!A:B, 2, 0)*AA301, 2)</f>
        <v>5.97</v>
      </c>
      <c r="AC301" s="1">
        <f>ROUND((AA301*(Destino!AG301/100))*(W301/100),2)</f>
        <v>4.18</v>
      </c>
      <c r="AD301" s="1">
        <f>ROUND(AA301*(Destino!AH301/100),2)</f>
        <v>5.52</v>
      </c>
      <c r="AF301" s="1">
        <f>ROUND((AA301+ AB301)*(J301/100),2)</f>
        <v>1.31</v>
      </c>
      <c r="AG301" s="1">
        <f>ROUND(AA301*T301,2)</f>
        <v>0</v>
      </c>
      <c r="AH301" s="1">
        <f>ROUND(AA301-(AC301+AD301)+AF301+AG301, 3)</f>
        <v>51.28</v>
      </c>
      <c r="AI301" s="1">
        <f>AH301*M301*K301</f>
        <v>51.28</v>
      </c>
      <c r="BA301" s="1" t="s">
        <v>11638</v>
      </c>
      <c r="BB301" s="1">
        <f>AI301</f>
        <v>51.28</v>
      </c>
      <c r="BD301" s="1">
        <f>N301</f>
        <v>1</v>
      </c>
    </row>
    <row r="302" spans="1:56" x14ac:dyDescent="0.25">
      <c r="A302" s="1">
        <v>600001599</v>
      </c>
      <c r="B302" s="1">
        <v>1110</v>
      </c>
      <c r="C302" s="1">
        <v>2200001473</v>
      </c>
      <c r="D302" s="1" t="s">
        <v>303</v>
      </c>
      <c r="E302" s="1" t="str">
        <f>IF(AND(B302&lt;&gt;1110,B302&lt;&gt;1210,B302&lt;&gt;1510,B302&lt;&gt;1710),B302,IF(B302=1110,"1100",IF(B302=1210,"1200",IF(B302=1510,"1500",IF(B302=1710,"1700","X")))))</f>
        <v>1100</v>
      </c>
      <c r="F302" s="1" t="s">
        <v>447</v>
      </c>
      <c r="G302" s="1" t="s">
        <v>302</v>
      </c>
      <c r="H302" s="1">
        <f>ROUND(P302/(1-((R302+S302))/100)*Q302, 3)</f>
        <v>132.601</v>
      </c>
      <c r="I302" s="1">
        <v>0.45</v>
      </c>
      <c r="J302" s="1">
        <v>4</v>
      </c>
      <c r="K302" s="1">
        <v>1</v>
      </c>
      <c r="L302" s="1" t="s">
        <v>292</v>
      </c>
      <c r="M302" s="1">
        <v>1</v>
      </c>
      <c r="N302" s="1">
        <v>0.75275400000000003</v>
      </c>
      <c r="O302" s="1" t="s">
        <v>296</v>
      </c>
      <c r="P302" s="1">
        <v>111.053</v>
      </c>
      <c r="Q302" s="1">
        <v>1</v>
      </c>
      <c r="R302" s="1">
        <v>7</v>
      </c>
      <c r="S302" s="1">
        <v>9.25</v>
      </c>
      <c r="T302" s="1">
        <v>0</v>
      </c>
      <c r="V302" s="1" t="s">
        <v>11223</v>
      </c>
      <c r="W302" s="1">
        <v>100</v>
      </c>
      <c r="X302" s="1" t="s">
        <v>298</v>
      </c>
      <c r="Y302" s="1" t="s">
        <v>299</v>
      </c>
      <c r="Z302" s="1">
        <v>1</v>
      </c>
      <c r="AA302" s="1">
        <f>ROUND(H302*I302*Z302, 3)</f>
        <v>59.67</v>
      </c>
      <c r="AB302" s="1">
        <f>ROUND(VLOOKUP(X302,'Base de dados'!A:B, 2, 0)*AA302, 2)</f>
        <v>5.97</v>
      </c>
      <c r="AC302" s="1">
        <f>ROUND((AA302*(Destino!AG302/100))*(W302/100),2)</f>
        <v>4.18</v>
      </c>
      <c r="AD302" s="1">
        <f>ROUND(AA302*(Destino!AH302/100),2)</f>
        <v>5.52</v>
      </c>
      <c r="AE302" s="1">
        <f>ROUND((((AA302+AB302)*1.5039)*(Destino!AI302/100))-AC302,2)</f>
        <v>12.6</v>
      </c>
      <c r="AF302" s="1">
        <f>ROUND((AA302+AB302+AE302)*(J302/100),2)</f>
        <v>3.13</v>
      </c>
      <c r="AG302" s="1">
        <f>ROUND(AA302*T302,2)</f>
        <v>0</v>
      </c>
      <c r="AH302" s="1">
        <f>ROUND(AA302-AD302+AE302+AF302+AG302, 3)</f>
        <v>69.88</v>
      </c>
      <c r="AI302" s="1">
        <f>AH302*M302*K302</f>
        <v>69.88</v>
      </c>
      <c r="BA302" s="1" t="s">
        <v>11639</v>
      </c>
      <c r="BB302" s="1">
        <f>AI302</f>
        <v>69.88</v>
      </c>
      <c r="BD302" s="1">
        <f>N302</f>
        <v>0.75275400000000003</v>
      </c>
    </row>
    <row r="303" spans="1:56" x14ac:dyDescent="0.25">
      <c r="A303" s="1">
        <v>600001599</v>
      </c>
      <c r="B303" s="1">
        <v>1400</v>
      </c>
      <c r="C303" s="1">
        <v>2200001473</v>
      </c>
      <c r="D303" s="1" t="s">
        <v>303</v>
      </c>
      <c r="E303" s="1">
        <f>IF(AND(B303&lt;&gt;1110,B303&lt;&gt;1210,B303&lt;&gt;1510,B303&lt;&gt;1710),B303,IF(B303=1110,"1100",IF(B303=1210,"1200",IF(B303=1510,"1500",IF(B303=1710,"1700","X")))))</f>
        <v>1400</v>
      </c>
      <c r="F303" s="1" t="s">
        <v>11198</v>
      </c>
      <c r="G303" s="1" t="s">
        <v>302</v>
      </c>
      <c r="H303" s="1">
        <f>ROUND(P303/(1-((R303+S303))/100)*Q303, 3)</f>
        <v>152.65</v>
      </c>
      <c r="I303" s="1">
        <v>0.45</v>
      </c>
      <c r="J303" s="1">
        <v>1.5</v>
      </c>
      <c r="K303" s="1">
        <v>1</v>
      </c>
      <c r="L303" s="1" t="s">
        <v>292</v>
      </c>
      <c r="M303" s="1">
        <v>1</v>
      </c>
      <c r="N303" s="1">
        <v>1</v>
      </c>
      <c r="O303" s="1" t="s">
        <v>296</v>
      </c>
      <c r="P303" s="1">
        <v>111.053</v>
      </c>
      <c r="Q303" s="1">
        <v>1</v>
      </c>
      <c r="R303" s="1">
        <v>18</v>
      </c>
      <c r="S303" s="1">
        <v>9.25</v>
      </c>
      <c r="T303" s="1">
        <v>0</v>
      </c>
      <c r="V303" s="1" t="s">
        <v>11223</v>
      </c>
      <c r="W303" s="1">
        <v>100</v>
      </c>
      <c r="X303" s="1" t="s">
        <v>298</v>
      </c>
      <c r="Y303" s="1" t="s">
        <v>299</v>
      </c>
      <c r="Z303" s="1">
        <v>1</v>
      </c>
      <c r="AA303" s="1">
        <f>ROUND(H303*I303*Z303, 3)</f>
        <v>68.692999999999998</v>
      </c>
      <c r="AB303" s="1">
        <f>ROUND(VLOOKUP(X303,'Base de dados'!A:B, 2, 0)*AA303, 2)</f>
        <v>6.87</v>
      </c>
      <c r="AC303" s="1">
        <f>ROUND((AA303*(Destino!AG303/100))*(W303/100),2)</f>
        <v>12.36</v>
      </c>
      <c r="AD303" s="1">
        <f>ROUND(AA303*(Destino!AH303/100),2)</f>
        <v>6.35</v>
      </c>
      <c r="AF303" s="1">
        <f>ROUND((AA303+ AB303)*(J303/100),2)</f>
        <v>1.1299999999999999</v>
      </c>
      <c r="AG303" s="1">
        <f>ROUND(AA303*T303,2)</f>
        <v>0</v>
      </c>
      <c r="AH303" s="1">
        <f>ROUND(AA303-(AC303+AD303)+AF303+AG303, 3)</f>
        <v>51.113</v>
      </c>
      <c r="AI303" s="1">
        <f>AH303*M303*K303</f>
        <v>51.113</v>
      </c>
      <c r="BA303" s="1" t="s">
        <v>11412</v>
      </c>
      <c r="BB303" s="1">
        <f>AI303</f>
        <v>51.113</v>
      </c>
      <c r="BD303" s="1">
        <f>N303</f>
        <v>1</v>
      </c>
    </row>
    <row r="304" spans="1:56" x14ac:dyDescent="0.25">
      <c r="A304" s="1">
        <v>600001599</v>
      </c>
      <c r="B304" s="1">
        <v>1700</v>
      </c>
      <c r="C304" s="1">
        <v>2200001421</v>
      </c>
      <c r="D304" s="1" t="s">
        <v>303</v>
      </c>
      <c r="E304" s="1">
        <f>IF(AND(B304&lt;&gt;1110,B304&lt;&gt;1210,B304&lt;&gt;1510,B304&lt;&gt;1710),B304,IF(B304=1110,"1100",IF(B304=1210,"1200",IF(B304=1510,"1500",IF(B304=1710,"1700","X")))))</f>
        <v>1700</v>
      </c>
      <c r="F304" s="1" t="s">
        <v>11238</v>
      </c>
      <c r="G304" s="1" t="s">
        <v>302</v>
      </c>
      <c r="H304" s="1">
        <f>ROUND(P304/(1-((R304+S304))/100)*Q304, 3)</f>
        <v>61.03</v>
      </c>
      <c r="I304" s="1">
        <v>0.25</v>
      </c>
      <c r="J304" s="1">
        <v>3</v>
      </c>
      <c r="K304" s="1">
        <v>1</v>
      </c>
      <c r="L304" s="1" t="s">
        <v>292</v>
      </c>
      <c r="M304" s="1">
        <v>4</v>
      </c>
      <c r="N304" s="1">
        <v>1</v>
      </c>
      <c r="O304" s="1" t="s">
        <v>296</v>
      </c>
      <c r="P304" s="1">
        <f>IFERROR(VLOOKUP(BC304, BA:BA:BB:BB, 2, 0),)</f>
        <v>51.113</v>
      </c>
      <c r="Q304" s="1">
        <f>IFERROR(VLOOKUP(BC304, BA:BA:BD:BD, 4, 0),1)</f>
        <v>1</v>
      </c>
      <c r="R304" s="1">
        <v>7</v>
      </c>
      <c r="S304" s="1">
        <v>9.25</v>
      </c>
      <c r="T304" s="1">
        <v>0</v>
      </c>
      <c r="V304" s="1" t="s">
        <v>11223</v>
      </c>
      <c r="W304" s="1">
        <v>100</v>
      </c>
      <c r="X304" s="1" t="s">
        <v>298</v>
      </c>
      <c r="Y304" s="1" t="s">
        <v>299</v>
      </c>
      <c r="Z304" s="1">
        <v>1</v>
      </c>
      <c r="AA304" s="1">
        <f>ROUND(H304*I304*Z304, 3)</f>
        <v>15.257999999999999</v>
      </c>
      <c r="AB304" s="1">
        <f>ROUND(VLOOKUP(X304,'Base de dados'!A:B, 2, 0)*AA304, 2)</f>
        <v>1.53</v>
      </c>
      <c r="AC304" s="1">
        <f>ROUND((AA304*(Destino!AG304/100))*(W304/100),2)</f>
        <v>1.07</v>
      </c>
      <c r="AD304" s="1">
        <f>ROUND(AA304*(Destino!AH304/100),2)</f>
        <v>0</v>
      </c>
      <c r="AE304" s="1">
        <f>ROUND((((AA304+AB304)*1.48)*(Destino!AI304/100))-AC304,2)</f>
        <v>3.15</v>
      </c>
      <c r="AF304" s="1">
        <f>ROUND((AA304+AB304+AE304)*(J304/100),2)</f>
        <v>0.6</v>
      </c>
      <c r="AG304" s="1">
        <f>ROUND(AA304*T304,2)</f>
        <v>0</v>
      </c>
      <c r="AH304" s="1">
        <f>ROUND(AA304+AB304-AD304+AE304+AF304+AG304, 3)</f>
        <v>20.538</v>
      </c>
      <c r="AI304" s="1">
        <f>AH304*M304*K304</f>
        <v>82.152000000000001</v>
      </c>
      <c r="BA304" s="1" t="s">
        <v>11305</v>
      </c>
      <c r="BB304" s="1">
        <f>AI304</f>
        <v>82.152000000000001</v>
      </c>
      <c r="BC304" s="1" t="s">
        <v>11412</v>
      </c>
      <c r="BD304" s="1">
        <f>N304</f>
        <v>1</v>
      </c>
    </row>
    <row r="305" spans="1:56" x14ac:dyDescent="0.25">
      <c r="A305" s="1">
        <v>600001753</v>
      </c>
      <c r="B305" s="1">
        <v>1100</v>
      </c>
      <c r="C305" s="1">
        <v>2200001473</v>
      </c>
      <c r="D305" s="1" t="s">
        <v>303</v>
      </c>
      <c r="E305" s="1">
        <f>IF(AND(B305&lt;&gt;1110,B305&lt;&gt;1210,B305&lt;&gt;1510,B305&lt;&gt;1710),B305,IF(B305=1110,"1100",IF(B305=1210,"1200",IF(B305=1510,"1500",IF(B305=1710,"1700","X")))))</f>
        <v>1100</v>
      </c>
      <c r="F305" s="1" t="s">
        <v>11198</v>
      </c>
      <c r="G305" s="1" t="s">
        <v>302</v>
      </c>
      <c r="H305" s="1">
        <v>13.45</v>
      </c>
      <c r="I305" s="1">
        <v>0.39089600000000002</v>
      </c>
      <c r="J305" s="1">
        <v>2</v>
      </c>
      <c r="K305" s="1">
        <v>1</v>
      </c>
      <c r="L305" s="1" t="s">
        <v>292</v>
      </c>
      <c r="M305" s="1">
        <v>1</v>
      </c>
      <c r="N305" s="1">
        <v>1</v>
      </c>
      <c r="O305" s="1" t="s">
        <v>296</v>
      </c>
      <c r="P305" s="1">
        <v>0</v>
      </c>
      <c r="Q305" s="1">
        <v>1</v>
      </c>
      <c r="R305" s="1">
        <v>7</v>
      </c>
      <c r="S305" s="1">
        <v>9.25</v>
      </c>
      <c r="T305" s="1">
        <v>0</v>
      </c>
      <c r="V305" s="1" t="s">
        <v>11223</v>
      </c>
      <c r="W305" s="1">
        <v>100</v>
      </c>
      <c r="X305" s="1" t="s">
        <v>298</v>
      </c>
      <c r="Y305" s="1" t="s">
        <v>322</v>
      </c>
      <c r="Z305" s="1">
        <v>1</v>
      </c>
      <c r="AA305" s="1">
        <f>ROUND(H305*I305*Z305, 3)</f>
        <v>5.258</v>
      </c>
      <c r="AB305" s="1">
        <f>ROUND(VLOOKUP(X305,'Base de dados'!A:B, 2, 0)*AA305, 2)</f>
        <v>0.53</v>
      </c>
      <c r="AC305" s="1">
        <f>ROUND((AA305*(Destino!AG305/100))*(W305/100),2)</f>
        <v>0.37</v>
      </c>
      <c r="AD305" s="1">
        <f>ROUND(AA305*(Destino!AH305/100),2)</f>
        <v>0.49</v>
      </c>
      <c r="AF305" s="1">
        <f>ROUND((AA305+ AB305)*(J305/100),2)</f>
        <v>0.12</v>
      </c>
      <c r="AG305" s="1">
        <f>ROUND(AA305*T305,2)</f>
        <v>0</v>
      </c>
      <c r="AH305" s="1">
        <f>ROUND(AA305-(AC305+AD305)+AF305+AG305, 3)</f>
        <v>4.5179999999999998</v>
      </c>
      <c r="AI305" s="1">
        <f>AH305*M305*K305</f>
        <v>4.5179999999999998</v>
      </c>
      <c r="BA305" s="1" t="s">
        <v>11413</v>
      </c>
      <c r="BB305" s="1">
        <f>AI305</f>
        <v>4.5179999999999998</v>
      </c>
      <c r="BD305" s="1">
        <f>N305</f>
        <v>1</v>
      </c>
    </row>
    <row r="306" spans="1:56" x14ac:dyDescent="0.25">
      <c r="A306" s="1">
        <v>600001769</v>
      </c>
      <c r="B306" s="1">
        <v>1000</v>
      </c>
      <c r="C306" s="1">
        <v>2200001473</v>
      </c>
      <c r="D306" s="1" t="s">
        <v>303</v>
      </c>
      <c r="E306" s="1">
        <f>IF(AND(B306&lt;&gt;1110,B306&lt;&gt;1210,B306&lt;&gt;1510,B306&lt;&gt;1710),B306,IF(B306=1110,"1100",IF(B306=1210,"1200",IF(B306=1510,"1500",IF(B306=1710,"1700","X")))))</f>
        <v>1000</v>
      </c>
      <c r="F306" s="1" t="s">
        <v>11198</v>
      </c>
      <c r="G306" s="1" t="s">
        <v>302</v>
      </c>
      <c r="H306" s="1">
        <f>ROUND(P306/(1-((R306+S306))/100)*Q306, 3)</f>
        <v>125.093</v>
      </c>
      <c r="I306" s="1">
        <v>0.45</v>
      </c>
      <c r="J306" s="1">
        <v>1.5</v>
      </c>
      <c r="K306" s="1">
        <v>1</v>
      </c>
      <c r="L306" s="1" t="s">
        <v>292</v>
      </c>
      <c r="M306" s="1">
        <v>1</v>
      </c>
      <c r="N306" s="1">
        <v>1</v>
      </c>
      <c r="O306" s="1" t="s">
        <v>296</v>
      </c>
      <c r="P306" s="1">
        <v>98.510999999999996</v>
      </c>
      <c r="Q306" s="1">
        <v>1</v>
      </c>
      <c r="R306" s="1">
        <v>12</v>
      </c>
      <c r="S306" s="1">
        <v>9.25</v>
      </c>
      <c r="T306" s="1">
        <v>0</v>
      </c>
      <c r="V306" s="1" t="s">
        <v>11223</v>
      </c>
      <c r="W306" s="1">
        <v>100</v>
      </c>
      <c r="X306" s="1" t="s">
        <v>298</v>
      </c>
      <c r="Y306" s="1" t="s">
        <v>299</v>
      </c>
      <c r="Z306" s="1">
        <v>1</v>
      </c>
      <c r="AA306" s="1">
        <f>ROUND(H306*I306*Z306, 3)</f>
        <v>56.292000000000002</v>
      </c>
      <c r="AB306" s="1">
        <f>ROUND(VLOOKUP(X306,'Base de dados'!A:B, 2, 0)*AA306, 2)</f>
        <v>5.63</v>
      </c>
      <c r="AC306" s="1">
        <f>ROUND((AA306*(Destino!AG306/100))*(W306/100),2)</f>
        <v>6.76</v>
      </c>
      <c r="AD306" s="1">
        <f>ROUND(AA306*(Destino!AH306/100),2)</f>
        <v>5.21</v>
      </c>
      <c r="AF306" s="1">
        <f>ROUND((AA306+ AB306)*(J306/100),2)</f>
        <v>0.93</v>
      </c>
      <c r="AG306" s="1">
        <f>ROUND(AA306*T306,2)</f>
        <v>0</v>
      </c>
      <c r="AH306" s="1">
        <f>ROUND(AA306-(AC306+AD306)+AF306+AG306, 3)</f>
        <v>45.252000000000002</v>
      </c>
      <c r="AI306" s="1">
        <f>AH306*M306*K306</f>
        <v>45.252000000000002</v>
      </c>
      <c r="BA306" s="1" t="s">
        <v>11640</v>
      </c>
      <c r="BB306" s="1">
        <f>AI306</f>
        <v>45.252000000000002</v>
      </c>
      <c r="BD306" s="1">
        <f>N306</f>
        <v>1</v>
      </c>
    </row>
    <row r="307" spans="1:56" x14ac:dyDescent="0.25">
      <c r="A307" s="1">
        <v>600001769</v>
      </c>
      <c r="B307" s="1">
        <v>1100</v>
      </c>
      <c r="C307" s="1">
        <v>2200001473</v>
      </c>
      <c r="D307" s="1" t="s">
        <v>303</v>
      </c>
      <c r="E307" s="1">
        <f>IF(AND(B307&lt;&gt;1110,B307&lt;&gt;1210,B307&lt;&gt;1510,B307&lt;&gt;1710),B307,IF(B307=1110,"1100",IF(B307=1210,"1200",IF(B307=1510,"1500",IF(B307=1710,"1700","X")))))</f>
        <v>1100</v>
      </c>
      <c r="F307" s="1" t="s">
        <v>11198</v>
      </c>
      <c r="G307" s="1" t="s">
        <v>302</v>
      </c>
      <c r="H307" s="1">
        <f>ROUND(P307/(1-((R307+S307))/100)*Q307, 3)</f>
        <v>117.625</v>
      </c>
      <c r="I307" s="1">
        <v>0.45</v>
      </c>
      <c r="J307" s="1">
        <v>2</v>
      </c>
      <c r="K307" s="1">
        <v>1</v>
      </c>
      <c r="L307" s="1" t="s">
        <v>292</v>
      </c>
      <c r="M307" s="1">
        <v>1</v>
      </c>
      <c r="N307" s="1">
        <v>1</v>
      </c>
      <c r="O307" s="1" t="s">
        <v>296</v>
      </c>
      <c r="P307" s="1">
        <v>98.510999999999996</v>
      </c>
      <c r="Q307" s="1">
        <v>1</v>
      </c>
      <c r="R307" s="1">
        <v>7</v>
      </c>
      <c r="S307" s="1">
        <v>9.25</v>
      </c>
      <c r="T307" s="1">
        <v>0</v>
      </c>
      <c r="V307" s="1" t="s">
        <v>11223</v>
      </c>
      <c r="W307" s="1">
        <v>100</v>
      </c>
      <c r="X307" s="1" t="s">
        <v>298</v>
      </c>
      <c r="Y307" s="1" t="s">
        <v>299</v>
      </c>
      <c r="Z307" s="1">
        <v>1</v>
      </c>
      <c r="AA307" s="1">
        <f>ROUND(H307*I307*Z307, 3)</f>
        <v>52.930999999999997</v>
      </c>
      <c r="AB307" s="1">
        <f>ROUND(VLOOKUP(X307,'Base de dados'!A:B, 2, 0)*AA307, 2)</f>
        <v>5.29</v>
      </c>
      <c r="AC307" s="1">
        <f>ROUND((AA307*(Destino!AG307/100))*(W307/100),2)</f>
        <v>3.71</v>
      </c>
      <c r="AD307" s="1">
        <f>ROUND(AA307*(Destino!AH307/100),2)</f>
        <v>4.9000000000000004</v>
      </c>
      <c r="AF307" s="1">
        <f>ROUND((AA307+ AB307)*(J307/100),2)</f>
        <v>1.1599999999999999</v>
      </c>
      <c r="AG307" s="1">
        <f>ROUND(AA307*T307,2)</f>
        <v>0</v>
      </c>
      <c r="AH307" s="1">
        <f>ROUND(AA307-(AC307+AD307)+AF307+AG307, 3)</f>
        <v>45.481000000000002</v>
      </c>
      <c r="AI307" s="1">
        <f>AH307*M307*K307</f>
        <v>45.481000000000002</v>
      </c>
      <c r="BA307" s="1" t="s">
        <v>11641</v>
      </c>
      <c r="BB307" s="1">
        <f>AI307</f>
        <v>45.481000000000002</v>
      </c>
      <c r="BD307" s="1">
        <f>N307</f>
        <v>1</v>
      </c>
    </row>
    <row r="308" spans="1:56" x14ac:dyDescent="0.25">
      <c r="A308" s="1">
        <v>600001769</v>
      </c>
      <c r="B308" s="1">
        <v>1110</v>
      </c>
      <c r="C308" s="1">
        <v>2200001473</v>
      </c>
      <c r="D308" s="1" t="s">
        <v>303</v>
      </c>
      <c r="E308" s="1" t="str">
        <f>IF(AND(B308&lt;&gt;1110,B308&lt;&gt;1210,B308&lt;&gt;1510,B308&lt;&gt;1710),B308,IF(B308=1110,"1100",IF(B308=1210,"1200",IF(B308=1510,"1500",IF(B308=1710,"1700","X")))))</f>
        <v>1100</v>
      </c>
      <c r="F308" s="1" t="s">
        <v>447</v>
      </c>
      <c r="G308" s="1" t="s">
        <v>302</v>
      </c>
      <c r="H308" s="1">
        <f>ROUND(P308/(1-((R308+S308))/100)*Q308, 3)</f>
        <v>117.625</v>
      </c>
      <c r="I308" s="1">
        <v>0.45</v>
      </c>
      <c r="J308" s="1">
        <v>4</v>
      </c>
      <c r="K308" s="1">
        <v>1</v>
      </c>
      <c r="L308" s="1" t="s">
        <v>292</v>
      </c>
      <c r="M308" s="1">
        <v>1</v>
      </c>
      <c r="N308" s="1">
        <v>0.75274600000000003</v>
      </c>
      <c r="O308" s="1" t="s">
        <v>296</v>
      </c>
      <c r="P308" s="1">
        <v>98.510999999999996</v>
      </c>
      <c r="Q308" s="1">
        <v>1</v>
      </c>
      <c r="R308" s="1">
        <v>7</v>
      </c>
      <c r="S308" s="1">
        <v>9.25</v>
      </c>
      <c r="T308" s="1">
        <v>0</v>
      </c>
      <c r="V308" s="1" t="s">
        <v>11223</v>
      </c>
      <c r="W308" s="1">
        <v>100</v>
      </c>
      <c r="X308" s="1" t="s">
        <v>298</v>
      </c>
      <c r="Y308" s="1" t="s">
        <v>299</v>
      </c>
      <c r="Z308" s="1">
        <v>1</v>
      </c>
      <c r="AA308" s="1">
        <f>ROUND(H308*I308*Z308, 3)</f>
        <v>52.930999999999997</v>
      </c>
      <c r="AB308" s="1">
        <f>ROUND(VLOOKUP(X308,'Base de dados'!A:B, 2, 0)*AA308, 2)</f>
        <v>5.29</v>
      </c>
      <c r="AC308" s="1">
        <f>ROUND((AA308*(Destino!AG308/100))*(W308/100),2)</f>
        <v>3.71</v>
      </c>
      <c r="AD308" s="1">
        <f>ROUND(AA308*(Destino!AH308/100),2)</f>
        <v>4.9000000000000004</v>
      </c>
      <c r="AE308" s="1">
        <f>ROUND((((AA308+AB308)*1.5039)*(Destino!AI308/100))-AC308,2)</f>
        <v>11.17</v>
      </c>
      <c r="AF308" s="1">
        <f>ROUND((AA308+AB308+AE308)*(J308/100),2)</f>
        <v>2.78</v>
      </c>
      <c r="AG308" s="1">
        <f>ROUND(AA308*T308,2)</f>
        <v>0</v>
      </c>
      <c r="AH308" s="1">
        <f>ROUND(AA308-AD308+AE308+AF308+AG308, 3)</f>
        <v>61.981000000000002</v>
      </c>
      <c r="AI308" s="1">
        <f>AH308*M308*K308</f>
        <v>61.981000000000002</v>
      </c>
      <c r="BA308" s="1" t="s">
        <v>11642</v>
      </c>
      <c r="BB308" s="1">
        <f>AI308</f>
        <v>61.981000000000002</v>
      </c>
      <c r="BD308" s="1">
        <f>N308</f>
        <v>0.75274600000000003</v>
      </c>
    </row>
    <row r="309" spans="1:56" x14ac:dyDescent="0.25">
      <c r="A309" s="1">
        <v>600001769</v>
      </c>
      <c r="B309" s="1">
        <v>1400</v>
      </c>
      <c r="C309" s="1">
        <v>2200001473</v>
      </c>
      <c r="D309" s="1" t="s">
        <v>303</v>
      </c>
      <c r="E309" s="1">
        <f>IF(AND(B309&lt;&gt;1110,B309&lt;&gt;1210,B309&lt;&gt;1510,B309&lt;&gt;1710),B309,IF(B309=1110,"1100",IF(B309=1210,"1200",IF(B309=1510,"1500",IF(B309=1710,"1700","X")))))</f>
        <v>1400</v>
      </c>
      <c r="F309" s="1" t="s">
        <v>11198</v>
      </c>
      <c r="G309" s="1" t="s">
        <v>302</v>
      </c>
      <c r="H309" s="1">
        <f>ROUND(P309/(1-((R309+S309))/100)*Q309, 3)</f>
        <v>135.41</v>
      </c>
      <c r="I309" s="1">
        <v>0.45</v>
      </c>
      <c r="J309" s="1">
        <v>1.5</v>
      </c>
      <c r="K309" s="1">
        <v>1</v>
      </c>
      <c r="L309" s="1" t="s">
        <v>292</v>
      </c>
      <c r="M309" s="1">
        <v>1</v>
      </c>
      <c r="N309" s="1">
        <v>1</v>
      </c>
      <c r="O309" s="1" t="s">
        <v>296</v>
      </c>
      <c r="P309" s="1">
        <v>98.510999999999996</v>
      </c>
      <c r="Q309" s="1">
        <v>1</v>
      </c>
      <c r="R309" s="1">
        <v>18</v>
      </c>
      <c r="S309" s="1">
        <v>9.25</v>
      </c>
      <c r="T309" s="1">
        <v>0</v>
      </c>
      <c r="V309" s="1" t="s">
        <v>11223</v>
      </c>
      <c r="W309" s="1">
        <v>100</v>
      </c>
      <c r="X309" s="1" t="s">
        <v>298</v>
      </c>
      <c r="Y309" s="1" t="s">
        <v>299</v>
      </c>
      <c r="Z309" s="1">
        <v>1</v>
      </c>
      <c r="AA309" s="1">
        <f>ROUND(H309*I309*Z309, 3)</f>
        <v>60.935000000000002</v>
      </c>
      <c r="AB309" s="1">
        <f>ROUND(VLOOKUP(X309,'Base de dados'!A:B, 2, 0)*AA309, 2)</f>
        <v>6.09</v>
      </c>
      <c r="AC309" s="1">
        <f>ROUND((AA309*(Destino!AG309/100))*(W309/100),2)</f>
        <v>10.97</v>
      </c>
      <c r="AD309" s="1">
        <f>ROUND(AA309*(Destino!AH309/100),2)</f>
        <v>5.64</v>
      </c>
      <c r="AF309" s="1">
        <f>ROUND((AA309+ AB309)*(J309/100),2)</f>
        <v>1.01</v>
      </c>
      <c r="AG309" s="1">
        <f>ROUND(AA309*T309,2)</f>
        <v>0</v>
      </c>
      <c r="AH309" s="1">
        <f>ROUND(AA309-(AC309+AD309)+AF309+AG309, 3)</f>
        <v>45.335000000000001</v>
      </c>
      <c r="AI309" s="1">
        <f>AH309*M309*K309</f>
        <v>45.335000000000001</v>
      </c>
      <c r="BA309" s="1" t="s">
        <v>11414</v>
      </c>
      <c r="BB309" s="1">
        <f>AI309</f>
        <v>45.335000000000001</v>
      </c>
      <c r="BD309" s="1">
        <f>N309</f>
        <v>1</v>
      </c>
    </row>
    <row r="310" spans="1:56" x14ac:dyDescent="0.25">
      <c r="A310" s="1">
        <v>600001769</v>
      </c>
      <c r="B310" s="1">
        <v>1700</v>
      </c>
      <c r="C310" s="1">
        <v>2200001421</v>
      </c>
      <c r="D310" s="1" t="s">
        <v>303</v>
      </c>
      <c r="E310" s="1">
        <f>IF(AND(B310&lt;&gt;1110,B310&lt;&gt;1210,B310&lt;&gt;1510,B310&lt;&gt;1710),B310,IF(B310=1110,"1100",IF(B310=1210,"1200",IF(B310=1510,"1500",IF(B310=1710,"1700","X")))))</f>
        <v>1700</v>
      </c>
      <c r="F310" s="1" t="s">
        <v>11238</v>
      </c>
      <c r="G310" s="1" t="s">
        <v>302</v>
      </c>
      <c r="H310" s="1">
        <f>ROUND(P310/(1-((R310+S310))/100)*Q310, 3)</f>
        <v>54.131</v>
      </c>
      <c r="I310" s="1">
        <v>0.25</v>
      </c>
      <c r="J310" s="1">
        <v>3</v>
      </c>
      <c r="K310" s="1">
        <v>1</v>
      </c>
      <c r="L310" s="1" t="s">
        <v>292</v>
      </c>
      <c r="M310" s="1">
        <v>4</v>
      </c>
      <c r="N310" s="1">
        <v>1</v>
      </c>
      <c r="O310" s="1" t="s">
        <v>296</v>
      </c>
      <c r="P310" s="1">
        <f>IFERROR(VLOOKUP(BC310, BA:BA:BB:BB, 2, 0),)</f>
        <v>45.335000000000001</v>
      </c>
      <c r="Q310" s="1">
        <f>IFERROR(VLOOKUP(BC310, BA:BA:BD:BD, 4, 0),1)</f>
        <v>1</v>
      </c>
      <c r="R310" s="1">
        <v>7</v>
      </c>
      <c r="S310" s="1">
        <v>9.25</v>
      </c>
      <c r="T310" s="1">
        <v>0</v>
      </c>
      <c r="V310" s="1" t="s">
        <v>11223</v>
      </c>
      <c r="W310" s="1">
        <v>100</v>
      </c>
      <c r="X310" s="1" t="s">
        <v>298</v>
      </c>
      <c r="Y310" s="1" t="s">
        <v>299</v>
      </c>
      <c r="Z310" s="1">
        <v>1</v>
      </c>
      <c r="AA310" s="1">
        <f>ROUND(H310*I310*Z310, 3)</f>
        <v>13.532999999999999</v>
      </c>
      <c r="AB310" s="1">
        <f>ROUND(VLOOKUP(X310,'Base de dados'!A:B, 2, 0)*AA310, 2)</f>
        <v>1.35</v>
      </c>
      <c r="AC310" s="1">
        <f>ROUND((AA310*(Destino!AG310/100))*(W310/100),2)</f>
        <v>0.95</v>
      </c>
      <c r="AD310" s="1">
        <f>ROUND(AA310*(Destino!AH310/100),2)</f>
        <v>0</v>
      </c>
      <c r="AE310" s="1">
        <f>ROUND((((AA310+AB310)*1.48)*(Destino!AI310/100))-AC310,2)</f>
        <v>2.79</v>
      </c>
      <c r="AF310" s="1">
        <f>ROUND((AA310+AB310+AE310)*(J310/100),2)</f>
        <v>0.53</v>
      </c>
      <c r="AG310" s="1">
        <f>ROUND(AA310*T310,2)</f>
        <v>0</v>
      </c>
      <c r="AH310" s="1">
        <f>ROUND(AA310+AB310-AD310+AE310+AF310+AG310, 3)</f>
        <v>18.202999999999999</v>
      </c>
      <c r="AI310" s="1">
        <f>AH310*M310*K310</f>
        <v>72.811999999999998</v>
      </c>
      <c r="BA310" s="1" t="s">
        <v>11306</v>
      </c>
      <c r="BB310" s="1">
        <f>AI310</f>
        <v>72.811999999999998</v>
      </c>
      <c r="BC310" s="1" t="s">
        <v>11414</v>
      </c>
      <c r="BD310" s="1">
        <f>N310</f>
        <v>1</v>
      </c>
    </row>
    <row r="311" spans="1:56" x14ac:dyDescent="0.25">
      <c r="A311" s="1">
        <v>600001771</v>
      </c>
      <c r="B311" s="1">
        <v>1000</v>
      </c>
      <c r="C311" s="1">
        <v>2200001473</v>
      </c>
      <c r="D311" s="1" t="s">
        <v>303</v>
      </c>
      <c r="E311" s="1">
        <f>IF(AND(B311&lt;&gt;1110,B311&lt;&gt;1210,B311&lt;&gt;1510,B311&lt;&gt;1710),B311,IF(B311=1110,"1100",IF(B311=1210,"1200",IF(B311=1510,"1500",IF(B311=1710,"1700","X")))))</f>
        <v>1000</v>
      </c>
      <c r="F311" s="1" t="s">
        <v>11198</v>
      </c>
      <c r="G311" s="1" t="s">
        <v>302</v>
      </c>
      <c r="H311" s="1">
        <f>ROUND(P311/(1-((R311+S311))/100)*Q311, 3)</f>
        <v>294.53100000000001</v>
      </c>
      <c r="I311" s="1">
        <v>0.45</v>
      </c>
      <c r="J311" s="1">
        <v>1.5</v>
      </c>
      <c r="K311" s="1">
        <v>1</v>
      </c>
      <c r="L311" s="1" t="s">
        <v>292</v>
      </c>
      <c r="M311" s="1">
        <v>1</v>
      </c>
      <c r="N311" s="1">
        <v>1</v>
      </c>
      <c r="O311" s="1" t="s">
        <v>296</v>
      </c>
      <c r="P311" s="1">
        <v>231.94300000000001</v>
      </c>
      <c r="Q311" s="1">
        <v>1</v>
      </c>
      <c r="R311" s="1">
        <v>12</v>
      </c>
      <c r="S311" s="1">
        <v>9.25</v>
      </c>
      <c r="T311" s="1">
        <v>0</v>
      </c>
      <c r="V311" s="1" t="s">
        <v>11223</v>
      </c>
      <c r="W311" s="1">
        <v>100</v>
      </c>
      <c r="X311" s="1" t="s">
        <v>298</v>
      </c>
      <c r="Y311" s="1" t="s">
        <v>322</v>
      </c>
      <c r="Z311" s="1">
        <v>1</v>
      </c>
      <c r="AA311" s="1">
        <f>ROUND(H311*I311*Z311, 3)</f>
        <v>132.53899999999999</v>
      </c>
      <c r="AB311" s="1">
        <f>ROUND(VLOOKUP(X311,'Base de dados'!A:B, 2, 0)*AA311, 2)</f>
        <v>13.25</v>
      </c>
      <c r="AC311" s="1">
        <f>ROUND((AA311*(Destino!AG311/100))*(W311/100),2)</f>
        <v>15.9</v>
      </c>
      <c r="AD311" s="1">
        <f>ROUND(AA311*(Destino!AH311/100),2)</f>
        <v>12.26</v>
      </c>
      <c r="AF311" s="1">
        <f>ROUND((AA311+ AB311)*(J311/100),2)</f>
        <v>2.19</v>
      </c>
      <c r="AG311" s="1">
        <f>ROUND(AA311*T311,2)</f>
        <v>0</v>
      </c>
      <c r="AH311" s="1">
        <f>ROUND(AA311-(AC311+AD311)+AF311+AG311, 3)</f>
        <v>106.569</v>
      </c>
      <c r="AI311" s="1">
        <f>AH311*M311*K311</f>
        <v>106.569</v>
      </c>
      <c r="BA311" s="1" t="s">
        <v>11643</v>
      </c>
      <c r="BB311" s="1">
        <f>AI311</f>
        <v>106.569</v>
      </c>
      <c r="BD311" s="1">
        <f>N311</f>
        <v>1</v>
      </c>
    </row>
    <row r="312" spans="1:56" x14ac:dyDescent="0.25">
      <c r="A312" s="1">
        <v>600001771</v>
      </c>
      <c r="B312" s="1">
        <v>1100</v>
      </c>
      <c r="C312" s="1">
        <v>2200001473</v>
      </c>
      <c r="D312" s="1" t="s">
        <v>303</v>
      </c>
      <c r="E312" s="1">
        <f>IF(AND(B312&lt;&gt;1110,B312&lt;&gt;1210,B312&lt;&gt;1510,B312&lt;&gt;1710),B312,IF(B312=1110,"1100",IF(B312=1210,"1200",IF(B312=1510,"1500",IF(B312=1710,"1700","X")))))</f>
        <v>1100</v>
      </c>
      <c r="F312" s="1" t="s">
        <v>11198</v>
      </c>
      <c r="G312" s="1" t="s">
        <v>302</v>
      </c>
      <c r="H312" s="1">
        <f>ROUND(P312/(1-((R312+S312))/100)*Q312, 3)</f>
        <v>276.94600000000003</v>
      </c>
      <c r="I312" s="1">
        <v>0.45</v>
      </c>
      <c r="J312" s="1">
        <v>2</v>
      </c>
      <c r="K312" s="1">
        <v>1</v>
      </c>
      <c r="L312" s="1" t="s">
        <v>292</v>
      </c>
      <c r="M312" s="1">
        <v>1</v>
      </c>
      <c r="N312" s="1">
        <v>1</v>
      </c>
      <c r="O312" s="1" t="s">
        <v>296</v>
      </c>
      <c r="P312" s="1">
        <v>231.94200000000001</v>
      </c>
      <c r="Q312" s="1">
        <v>1</v>
      </c>
      <c r="R312" s="1">
        <v>7</v>
      </c>
      <c r="S312" s="1">
        <v>9.25</v>
      </c>
      <c r="T312" s="1">
        <v>0</v>
      </c>
      <c r="V312" s="1" t="s">
        <v>11223</v>
      </c>
      <c r="W312" s="1">
        <v>100</v>
      </c>
      <c r="X312" s="1" t="s">
        <v>298</v>
      </c>
      <c r="Y312" s="1" t="s">
        <v>322</v>
      </c>
      <c r="Z312" s="1">
        <v>1</v>
      </c>
      <c r="AA312" s="1">
        <f>ROUND(H312*I312*Z312, 3)</f>
        <v>124.626</v>
      </c>
      <c r="AB312" s="1">
        <f>ROUND(VLOOKUP(X312,'Base de dados'!A:B, 2, 0)*AA312, 2)</f>
        <v>12.46</v>
      </c>
      <c r="AC312" s="1">
        <f>ROUND((AA312*(Destino!AG312/100))*(W312/100),2)</f>
        <v>8.7200000000000006</v>
      </c>
      <c r="AD312" s="1">
        <f>ROUND(AA312*(Destino!AH312/100),2)</f>
        <v>11.53</v>
      </c>
      <c r="AF312" s="1">
        <f>ROUND((AA312+ AB312)*(J312/100),2)</f>
        <v>2.74</v>
      </c>
      <c r="AG312" s="1">
        <f>ROUND(AA312*T312,2)</f>
        <v>0</v>
      </c>
      <c r="AH312" s="1">
        <f>ROUND(AA312-(AC312+AD312)+AF312+AG312, 3)</f>
        <v>107.116</v>
      </c>
      <c r="AI312" s="1">
        <f>AH312*M312*K312</f>
        <v>107.116</v>
      </c>
      <c r="BA312" s="1" t="s">
        <v>11644</v>
      </c>
      <c r="BB312" s="1">
        <f>AI312</f>
        <v>107.116</v>
      </c>
      <c r="BD312" s="1">
        <f>N312</f>
        <v>1</v>
      </c>
    </row>
    <row r="313" spans="1:56" x14ac:dyDescent="0.25">
      <c r="A313" s="1">
        <v>600001771</v>
      </c>
      <c r="B313" s="1">
        <v>1110</v>
      </c>
      <c r="C313" s="1">
        <v>2200001473</v>
      </c>
      <c r="D313" s="1" t="s">
        <v>303</v>
      </c>
      <c r="E313" s="1" t="str">
        <f>IF(AND(B313&lt;&gt;1110,B313&lt;&gt;1210,B313&lt;&gt;1510,B313&lt;&gt;1710),B313,IF(B313=1110,"1100",IF(B313=1210,"1200",IF(B313=1510,"1500",IF(B313=1710,"1700","X")))))</f>
        <v>1100</v>
      </c>
      <c r="F313" s="1" t="s">
        <v>447</v>
      </c>
      <c r="G313" s="1" t="s">
        <v>302</v>
      </c>
      <c r="H313" s="1">
        <f>ROUND(P313/(1-((R313+S313))/100)*Q313, 3)</f>
        <v>276.94600000000003</v>
      </c>
      <c r="I313" s="1">
        <v>0.45</v>
      </c>
      <c r="J313" s="1">
        <v>4</v>
      </c>
      <c r="K313" s="1">
        <v>1</v>
      </c>
      <c r="L313" s="1" t="s">
        <v>292</v>
      </c>
      <c r="M313" s="1">
        <v>1</v>
      </c>
      <c r="N313" s="1">
        <v>0.75261400000000001</v>
      </c>
      <c r="O313" s="1" t="s">
        <v>296</v>
      </c>
      <c r="P313" s="1">
        <v>231.94200000000001</v>
      </c>
      <c r="Q313" s="1">
        <v>1</v>
      </c>
      <c r="R313" s="1">
        <v>7</v>
      </c>
      <c r="S313" s="1">
        <v>9.25</v>
      </c>
      <c r="T313" s="1">
        <v>0</v>
      </c>
      <c r="V313" s="1" t="s">
        <v>11223</v>
      </c>
      <c r="W313" s="1">
        <v>100</v>
      </c>
      <c r="X313" s="1" t="s">
        <v>298</v>
      </c>
      <c r="Y313" s="1" t="s">
        <v>322</v>
      </c>
      <c r="Z313" s="1">
        <v>1</v>
      </c>
      <c r="AA313" s="1">
        <f>ROUND(H313*I313*Z313, 3)</f>
        <v>124.626</v>
      </c>
      <c r="AB313" s="1">
        <f>ROUND(VLOOKUP(X313,'Base de dados'!A:B, 2, 0)*AA313, 2)</f>
        <v>12.46</v>
      </c>
      <c r="AC313" s="1">
        <f>ROUND((AA313*(Destino!AG313/100))*(W313/100),2)</f>
        <v>8.7200000000000006</v>
      </c>
      <c r="AD313" s="1">
        <f>ROUND(AA313*(Destino!AH313/100),2)</f>
        <v>11.53</v>
      </c>
      <c r="AE313" s="1">
        <f>ROUND((((AA313+AB313)*1.5039)*(Destino!AI313/100))-AC313,2)</f>
        <v>26.33</v>
      </c>
      <c r="AF313" s="1">
        <f>ROUND((AA313+AB313+AE313)*(J313/100),2)</f>
        <v>6.54</v>
      </c>
      <c r="AG313" s="1">
        <f>ROUND(AA313*T313,2)</f>
        <v>0</v>
      </c>
      <c r="AH313" s="1">
        <f>ROUND(AA313-AD313+AE313+AF313+AG313, 3)</f>
        <v>145.96600000000001</v>
      </c>
      <c r="AI313" s="1">
        <f>AH313*M313*K313</f>
        <v>145.96600000000001</v>
      </c>
      <c r="BA313" s="1" t="s">
        <v>11645</v>
      </c>
      <c r="BB313" s="1">
        <f>AI313</f>
        <v>145.96600000000001</v>
      </c>
      <c r="BD313" s="1">
        <f>N313</f>
        <v>0.75261400000000001</v>
      </c>
    </row>
    <row r="314" spans="1:56" x14ac:dyDescent="0.25">
      <c r="A314" s="1">
        <v>600001771</v>
      </c>
      <c r="B314" s="1">
        <v>1400</v>
      </c>
      <c r="C314" s="1">
        <v>2200001473</v>
      </c>
      <c r="D314" s="1" t="s">
        <v>303</v>
      </c>
      <c r="E314" s="1">
        <f>IF(AND(B314&lt;&gt;1110,B314&lt;&gt;1210,B314&lt;&gt;1510,B314&lt;&gt;1710),B314,IF(B314=1110,"1100",IF(B314=1210,"1200",IF(B314=1510,"1500",IF(B314=1710,"1700","X")))))</f>
        <v>1400</v>
      </c>
      <c r="F314" s="1" t="s">
        <v>11198</v>
      </c>
      <c r="G314" s="1" t="s">
        <v>302</v>
      </c>
      <c r="H314" s="1">
        <f>ROUND(P314/(1-((R314+S314))/100)*Q314, 3)</f>
        <v>318.82100000000003</v>
      </c>
      <c r="I314" s="1">
        <v>0.45</v>
      </c>
      <c r="J314" s="1">
        <v>1.5</v>
      </c>
      <c r="K314" s="1">
        <v>1</v>
      </c>
      <c r="L314" s="1" t="s">
        <v>292</v>
      </c>
      <c r="M314" s="1">
        <v>1</v>
      </c>
      <c r="N314" s="1">
        <v>1</v>
      </c>
      <c r="O314" s="1" t="s">
        <v>296</v>
      </c>
      <c r="P314" s="1">
        <v>231.94200000000001</v>
      </c>
      <c r="Q314" s="1">
        <v>1</v>
      </c>
      <c r="R314" s="1">
        <v>18</v>
      </c>
      <c r="S314" s="1">
        <v>9.25</v>
      </c>
      <c r="T314" s="1">
        <v>0</v>
      </c>
      <c r="V314" s="1" t="s">
        <v>11223</v>
      </c>
      <c r="W314" s="1">
        <v>100</v>
      </c>
      <c r="X314" s="1" t="s">
        <v>298</v>
      </c>
      <c r="Y314" s="1" t="s">
        <v>322</v>
      </c>
      <c r="Z314" s="1">
        <v>1</v>
      </c>
      <c r="AA314" s="1">
        <f>ROUND(H314*I314*Z314, 3)</f>
        <v>143.46899999999999</v>
      </c>
      <c r="AB314" s="1">
        <f>ROUND(VLOOKUP(X314,'Base de dados'!A:B, 2, 0)*AA314, 2)</f>
        <v>14.35</v>
      </c>
      <c r="AC314" s="1">
        <f>ROUND((AA314*(Destino!AG314/100))*(W314/100),2)</f>
        <v>25.82</v>
      </c>
      <c r="AD314" s="1">
        <f>ROUND(AA314*(Destino!AH314/100),2)</f>
        <v>13.27</v>
      </c>
      <c r="AF314" s="1">
        <f>ROUND((AA314+ AB314)*(J314/100),2)</f>
        <v>2.37</v>
      </c>
      <c r="AG314" s="1">
        <f>ROUND(AA314*T314,2)</f>
        <v>0</v>
      </c>
      <c r="AH314" s="1">
        <f>ROUND(AA314-(AC314+AD314)+AF314+AG314, 3)</f>
        <v>106.749</v>
      </c>
      <c r="AI314" s="1">
        <f>AH314*M314*K314</f>
        <v>106.749</v>
      </c>
      <c r="BA314" s="1" t="s">
        <v>11415</v>
      </c>
      <c r="BB314" s="1">
        <f>AI314</f>
        <v>106.749</v>
      </c>
      <c r="BD314" s="1">
        <f>N314</f>
        <v>1</v>
      </c>
    </row>
    <row r="315" spans="1:56" x14ac:dyDescent="0.25">
      <c r="A315" s="1">
        <v>600001771</v>
      </c>
      <c r="B315" s="1">
        <v>1700</v>
      </c>
      <c r="C315" s="1">
        <v>2200001421</v>
      </c>
      <c r="D315" s="1" t="s">
        <v>303</v>
      </c>
      <c r="E315" s="1">
        <f>IF(AND(B315&lt;&gt;1110,B315&lt;&gt;1210,B315&lt;&gt;1510,B315&lt;&gt;1710),B315,IF(B315=1110,"1100",IF(B315=1210,"1200",IF(B315=1510,"1500",IF(B315=1710,"1700","X")))))</f>
        <v>1700</v>
      </c>
      <c r="F315" s="1" t="s">
        <v>11238</v>
      </c>
      <c r="G315" s="1" t="s">
        <v>302</v>
      </c>
      <c r="H315" s="1">
        <f>ROUND(P315/(1-((R315+S315))/100)*Q315, 3)</f>
        <v>127.461</v>
      </c>
      <c r="I315" s="1">
        <v>0.25</v>
      </c>
      <c r="J315" s="1">
        <v>3</v>
      </c>
      <c r="K315" s="1">
        <v>1</v>
      </c>
      <c r="L315" s="1" t="s">
        <v>292</v>
      </c>
      <c r="M315" s="1">
        <v>4</v>
      </c>
      <c r="N315" s="1">
        <v>1</v>
      </c>
      <c r="O315" s="1" t="s">
        <v>296</v>
      </c>
      <c r="P315" s="1">
        <f>IFERROR(VLOOKUP(BC315, BA:BA:BB:BB, 2, 0),)</f>
        <v>106.749</v>
      </c>
      <c r="Q315" s="1">
        <f>IFERROR(VLOOKUP(BC315, BA:BA:BD:BD, 4, 0),1)</f>
        <v>1</v>
      </c>
      <c r="R315" s="1">
        <v>7</v>
      </c>
      <c r="S315" s="1">
        <v>9.25</v>
      </c>
      <c r="T315" s="1">
        <v>0</v>
      </c>
      <c r="V315" s="1" t="s">
        <v>11223</v>
      </c>
      <c r="W315" s="1">
        <v>100</v>
      </c>
      <c r="X315" s="1" t="s">
        <v>298</v>
      </c>
      <c r="Y315" s="1" t="s">
        <v>322</v>
      </c>
      <c r="Z315" s="1">
        <v>1</v>
      </c>
      <c r="AA315" s="1">
        <f>ROUND(H315*I315*Z315, 3)</f>
        <v>31.864999999999998</v>
      </c>
      <c r="AB315" s="1">
        <f>ROUND(VLOOKUP(X315,'Base de dados'!A:B, 2, 0)*AA315, 2)</f>
        <v>3.19</v>
      </c>
      <c r="AC315" s="1">
        <f>ROUND((AA315*(Destino!AG315/100))*(W315/100),2)</f>
        <v>2.23</v>
      </c>
      <c r="AD315" s="1">
        <f>ROUND(AA315*(Destino!AH315/100),2)</f>
        <v>0</v>
      </c>
      <c r="AE315" s="1">
        <f>ROUND((((AA315+AB315)*1.48)*(Destino!AI315/100))-AC315,2)</f>
        <v>6.59</v>
      </c>
      <c r="AF315" s="1">
        <f>ROUND((AA315+AB315+AE315)*(J315/100),2)</f>
        <v>1.25</v>
      </c>
      <c r="AG315" s="1">
        <f>ROUND(AA315*T315,2)</f>
        <v>0</v>
      </c>
      <c r="AH315" s="1">
        <f>ROUND(AA315+AB315-AD315+AE315+AF315+AG315, 3)</f>
        <v>42.895000000000003</v>
      </c>
      <c r="AI315" s="1">
        <f>AH315*M315*K315</f>
        <v>171.58</v>
      </c>
      <c r="BA315" s="1" t="s">
        <v>11307</v>
      </c>
      <c r="BB315" s="1">
        <f>AI315</f>
        <v>171.58</v>
      </c>
      <c r="BC315" s="1" t="s">
        <v>11415</v>
      </c>
      <c r="BD315" s="1">
        <f>N315</f>
        <v>1</v>
      </c>
    </row>
    <row r="316" spans="1:56" x14ac:dyDescent="0.25">
      <c r="A316" s="1">
        <v>600001784</v>
      </c>
      <c r="B316" s="1">
        <v>1000</v>
      </c>
      <c r="C316" s="1">
        <v>2200001473</v>
      </c>
      <c r="D316" s="1" t="s">
        <v>303</v>
      </c>
      <c r="E316" s="1">
        <f>IF(AND(B316&lt;&gt;1110,B316&lt;&gt;1210,B316&lt;&gt;1510,B316&lt;&gt;1710),B316,IF(B316=1110,"1100",IF(B316=1210,"1200",IF(B316=1510,"1500",IF(B316=1710,"1700","X")))))</f>
        <v>1000</v>
      </c>
      <c r="F316" s="1" t="s">
        <v>11198</v>
      </c>
      <c r="G316" s="1" t="s">
        <v>302</v>
      </c>
      <c r="H316" s="1">
        <f>ROUND(P316/(1-((R316+S316))/100)*Q316, 3)</f>
        <v>194.39699999999999</v>
      </c>
      <c r="I316" s="1">
        <v>0.45</v>
      </c>
      <c r="J316" s="1">
        <v>1.5</v>
      </c>
      <c r="K316" s="1">
        <v>1</v>
      </c>
      <c r="L316" s="1" t="s">
        <v>292</v>
      </c>
      <c r="M316" s="1">
        <v>1</v>
      </c>
      <c r="N316" s="1">
        <v>1</v>
      </c>
      <c r="O316" s="1" t="s">
        <v>296</v>
      </c>
      <c r="P316" s="1">
        <v>153.08799999999999</v>
      </c>
      <c r="Q316" s="1">
        <v>1</v>
      </c>
      <c r="R316" s="1">
        <v>12</v>
      </c>
      <c r="S316" s="1">
        <v>9.25</v>
      </c>
      <c r="T316" s="1">
        <v>0</v>
      </c>
      <c r="V316" s="1" t="s">
        <v>11223</v>
      </c>
      <c r="W316" s="1">
        <v>100</v>
      </c>
      <c r="X316" s="1" t="s">
        <v>298</v>
      </c>
      <c r="Y316" s="1" t="s">
        <v>299</v>
      </c>
      <c r="Z316" s="1">
        <v>1</v>
      </c>
      <c r="AA316" s="1">
        <f>ROUND(H316*I316*Z316, 3)</f>
        <v>87.478999999999999</v>
      </c>
      <c r="AB316" s="1">
        <f>ROUND(VLOOKUP(X316,'Base de dados'!A:B, 2, 0)*AA316, 2)</f>
        <v>8.75</v>
      </c>
      <c r="AC316" s="1">
        <f>ROUND((AA316*(Destino!AG316/100))*(W316/100),2)</f>
        <v>10.5</v>
      </c>
      <c r="AD316" s="1">
        <f>ROUND(AA316*(Destino!AH316/100),2)</f>
        <v>8.09</v>
      </c>
      <c r="AF316" s="1">
        <f>ROUND((AA316+ AB316)*(J316/100),2)</f>
        <v>1.44</v>
      </c>
      <c r="AG316" s="1">
        <f>ROUND(AA316*T316,2)</f>
        <v>0</v>
      </c>
      <c r="AH316" s="1">
        <f>ROUND(AA316-(AC316+AD316)+AF316+AG316, 3)</f>
        <v>70.328999999999994</v>
      </c>
      <c r="AI316" s="1">
        <f>AH316*M316*K316</f>
        <v>70.328999999999994</v>
      </c>
      <c r="BA316" s="1" t="s">
        <v>11646</v>
      </c>
      <c r="BB316" s="1">
        <f>AI316</f>
        <v>70.328999999999994</v>
      </c>
      <c r="BD316" s="1">
        <f>N316</f>
        <v>1</v>
      </c>
    </row>
    <row r="317" spans="1:56" x14ac:dyDescent="0.25">
      <c r="A317" s="1">
        <v>600001784</v>
      </c>
      <c r="B317" s="1">
        <v>1100</v>
      </c>
      <c r="C317" s="1">
        <v>2200001473</v>
      </c>
      <c r="D317" s="1" t="s">
        <v>303</v>
      </c>
      <c r="E317" s="1">
        <f>IF(AND(B317&lt;&gt;1110,B317&lt;&gt;1210,B317&lt;&gt;1510,B317&lt;&gt;1710),B317,IF(B317=1110,"1100",IF(B317=1210,"1200",IF(B317=1510,"1500",IF(B317=1710,"1700","X")))))</f>
        <v>1100</v>
      </c>
      <c r="F317" s="1" t="s">
        <v>11198</v>
      </c>
      <c r="G317" s="1" t="s">
        <v>302</v>
      </c>
      <c r="H317" s="1">
        <f>ROUND(P317/(1-((R317+S317))/100)*Q317, 3)</f>
        <v>182.792</v>
      </c>
      <c r="I317" s="1">
        <v>0.45</v>
      </c>
      <c r="J317" s="1">
        <v>2</v>
      </c>
      <c r="K317" s="1">
        <v>1</v>
      </c>
      <c r="L317" s="1" t="s">
        <v>292</v>
      </c>
      <c r="M317" s="1">
        <v>1</v>
      </c>
      <c r="N317" s="1">
        <v>1</v>
      </c>
      <c r="O317" s="1" t="s">
        <v>296</v>
      </c>
      <c r="P317" s="1">
        <v>153.08799999999999</v>
      </c>
      <c r="Q317" s="1">
        <v>1</v>
      </c>
      <c r="R317" s="1">
        <v>7</v>
      </c>
      <c r="S317" s="1">
        <v>9.25</v>
      </c>
      <c r="T317" s="1">
        <v>0</v>
      </c>
      <c r="V317" s="1" t="s">
        <v>11223</v>
      </c>
      <c r="W317" s="1">
        <v>100</v>
      </c>
      <c r="X317" s="1" t="s">
        <v>298</v>
      </c>
      <c r="Y317" s="1" t="s">
        <v>299</v>
      </c>
      <c r="Z317" s="1">
        <v>1</v>
      </c>
      <c r="AA317" s="1">
        <f>ROUND(H317*I317*Z317, 3)</f>
        <v>82.256</v>
      </c>
      <c r="AB317" s="1">
        <f>ROUND(VLOOKUP(X317,'Base de dados'!A:B, 2, 0)*AA317, 2)</f>
        <v>8.23</v>
      </c>
      <c r="AC317" s="1">
        <f>ROUND((AA317*(Destino!AG317/100))*(W317/100),2)</f>
        <v>5.76</v>
      </c>
      <c r="AD317" s="1">
        <f>ROUND(AA317*(Destino!AH317/100),2)</f>
        <v>7.61</v>
      </c>
      <c r="AF317" s="1">
        <f>ROUND((AA317+ AB317)*(J317/100),2)</f>
        <v>1.81</v>
      </c>
      <c r="AG317" s="1">
        <f>ROUND(AA317*T317,2)</f>
        <v>0</v>
      </c>
      <c r="AH317" s="1">
        <f>ROUND(AA317-(AC317+AD317)+AF317+AG317, 3)</f>
        <v>70.695999999999998</v>
      </c>
      <c r="AI317" s="1">
        <f>AH317*M317*K317</f>
        <v>70.695999999999998</v>
      </c>
      <c r="BA317" s="1" t="s">
        <v>11647</v>
      </c>
      <c r="BB317" s="1">
        <f>AI317</f>
        <v>70.695999999999998</v>
      </c>
      <c r="BD317" s="1">
        <f>N317</f>
        <v>1</v>
      </c>
    </row>
    <row r="318" spans="1:56" x14ac:dyDescent="0.25">
      <c r="A318" s="1">
        <v>600001784</v>
      </c>
      <c r="B318" s="1">
        <v>1110</v>
      </c>
      <c r="C318" s="1">
        <v>2200001473</v>
      </c>
      <c r="D318" s="1" t="s">
        <v>303</v>
      </c>
      <c r="E318" s="1" t="str">
        <f>IF(AND(B318&lt;&gt;1110,B318&lt;&gt;1210,B318&lt;&gt;1510,B318&lt;&gt;1710),B318,IF(B318=1110,"1100",IF(B318=1210,"1200",IF(B318=1510,"1500",IF(B318=1710,"1700","X")))))</f>
        <v>1100</v>
      </c>
      <c r="F318" s="1" t="s">
        <v>447</v>
      </c>
      <c r="G318" s="1" t="s">
        <v>302</v>
      </c>
      <c r="H318" s="1">
        <f>ROUND(P318/(1-((R318+S318))/100)*Q318, 3)</f>
        <v>182.792</v>
      </c>
      <c r="I318" s="1">
        <v>0.45</v>
      </c>
      <c r="J318" s="1">
        <v>4</v>
      </c>
      <c r="K318" s="1">
        <v>1</v>
      </c>
      <c r="L318" s="1" t="s">
        <v>292</v>
      </c>
      <c r="M318" s="1">
        <v>1</v>
      </c>
      <c r="N318" s="1">
        <v>0.752637</v>
      </c>
      <c r="O318" s="1" t="s">
        <v>296</v>
      </c>
      <c r="P318" s="1">
        <v>153.08799999999999</v>
      </c>
      <c r="Q318" s="1">
        <v>1</v>
      </c>
      <c r="R318" s="1">
        <v>7</v>
      </c>
      <c r="S318" s="1">
        <v>9.25</v>
      </c>
      <c r="T318" s="1">
        <v>0</v>
      </c>
      <c r="V318" s="1" t="s">
        <v>11223</v>
      </c>
      <c r="W318" s="1">
        <v>100</v>
      </c>
      <c r="X318" s="1" t="s">
        <v>298</v>
      </c>
      <c r="Y318" s="1" t="s">
        <v>299</v>
      </c>
      <c r="Z318" s="1">
        <v>1</v>
      </c>
      <c r="AA318" s="1">
        <f>ROUND(H318*I318*Z318, 3)</f>
        <v>82.256</v>
      </c>
      <c r="AB318" s="1">
        <f>ROUND(VLOOKUP(X318,'Base de dados'!A:B, 2, 0)*AA318, 2)</f>
        <v>8.23</v>
      </c>
      <c r="AC318" s="1">
        <f>ROUND((AA318*(Destino!AG318/100))*(W318/100),2)</f>
        <v>5.76</v>
      </c>
      <c r="AD318" s="1">
        <f>ROUND(AA318*(Destino!AH318/100),2)</f>
        <v>7.61</v>
      </c>
      <c r="AE318" s="1">
        <f>ROUND((((AA318+AB318)*1.5039)*(Destino!AI318/100))-AC318,2)</f>
        <v>17.37</v>
      </c>
      <c r="AF318" s="1">
        <f>ROUND((AA318+AB318+AE318)*(J318/100),2)</f>
        <v>4.3099999999999996</v>
      </c>
      <c r="AG318" s="1">
        <f>ROUND(AA318*T318,2)</f>
        <v>0</v>
      </c>
      <c r="AH318" s="1">
        <f>ROUND(AA318-AD318+AE318+AF318+AG318, 3)</f>
        <v>96.325999999999993</v>
      </c>
      <c r="AI318" s="1">
        <f>AH318*M318*K318</f>
        <v>96.325999999999993</v>
      </c>
      <c r="BA318" s="1" t="s">
        <v>11648</v>
      </c>
      <c r="BB318" s="1">
        <f>AI318</f>
        <v>96.325999999999993</v>
      </c>
      <c r="BD318" s="1">
        <f>N318</f>
        <v>0.752637</v>
      </c>
    </row>
    <row r="319" spans="1:56" x14ac:dyDescent="0.25">
      <c r="A319" s="1">
        <v>600001784</v>
      </c>
      <c r="B319" s="1">
        <v>1400</v>
      </c>
      <c r="C319" s="1">
        <v>2200001473</v>
      </c>
      <c r="D319" s="1" t="s">
        <v>303</v>
      </c>
      <c r="E319" s="1">
        <f>IF(AND(B319&lt;&gt;1110,B319&lt;&gt;1210,B319&lt;&gt;1510,B319&lt;&gt;1710),B319,IF(B319=1110,"1100",IF(B319=1210,"1200",IF(B319=1510,"1500",IF(B319=1710,"1700","X")))))</f>
        <v>1400</v>
      </c>
      <c r="F319" s="1" t="s">
        <v>11198</v>
      </c>
      <c r="G319" s="1" t="s">
        <v>302</v>
      </c>
      <c r="H319" s="1">
        <f>ROUND(P319/(1-((R319+S319))/100)*Q319, 3)</f>
        <v>210.43</v>
      </c>
      <c r="I319" s="1">
        <v>0.45</v>
      </c>
      <c r="J319" s="1">
        <v>1.5</v>
      </c>
      <c r="K319" s="1">
        <v>1</v>
      </c>
      <c r="L319" s="1" t="s">
        <v>292</v>
      </c>
      <c r="M319" s="1">
        <v>1</v>
      </c>
      <c r="N319" s="1">
        <v>1</v>
      </c>
      <c r="O319" s="1" t="s">
        <v>296</v>
      </c>
      <c r="P319" s="1">
        <v>153.08799999999999</v>
      </c>
      <c r="Q319" s="1">
        <v>1</v>
      </c>
      <c r="R319" s="1">
        <v>18</v>
      </c>
      <c r="S319" s="1">
        <v>9.25</v>
      </c>
      <c r="T319" s="1">
        <v>0</v>
      </c>
      <c r="V319" s="1" t="s">
        <v>11223</v>
      </c>
      <c r="W319" s="1">
        <v>100</v>
      </c>
      <c r="X319" s="1" t="s">
        <v>298</v>
      </c>
      <c r="Y319" s="1" t="s">
        <v>299</v>
      </c>
      <c r="Z319" s="1">
        <v>1</v>
      </c>
      <c r="AA319" s="1">
        <f>ROUND(H319*I319*Z319, 3)</f>
        <v>94.694000000000003</v>
      </c>
      <c r="AB319" s="1">
        <f>ROUND(VLOOKUP(X319,'Base de dados'!A:B, 2, 0)*AA319, 2)</f>
        <v>9.4700000000000006</v>
      </c>
      <c r="AC319" s="1">
        <f>ROUND((AA319*(Destino!AG319/100))*(W319/100),2)</f>
        <v>17.04</v>
      </c>
      <c r="AD319" s="1">
        <f>ROUND(AA319*(Destino!AH319/100),2)</f>
        <v>8.76</v>
      </c>
      <c r="AF319" s="1">
        <f>ROUND((AA319+ AB319)*(J319/100),2)</f>
        <v>1.56</v>
      </c>
      <c r="AG319" s="1">
        <f>ROUND(AA319*T319,2)</f>
        <v>0</v>
      </c>
      <c r="AH319" s="1">
        <f>ROUND(AA319-(AC319+AD319)+AF319+AG319, 3)</f>
        <v>70.453999999999994</v>
      </c>
      <c r="AI319" s="1">
        <f>AH319*M319*K319</f>
        <v>70.453999999999994</v>
      </c>
      <c r="BA319" s="1" t="s">
        <v>11416</v>
      </c>
      <c r="BB319" s="1">
        <f>AI319</f>
        <v>70.453999999999994</v>
      </c>
      <c r="BD319" s="1">
        <f>N319</f>
        <v>1</v>
      </c>
    </row>
    <row r="320" spans="1:56" x14ac:dyDescent="0.25">
      <c r="A320" s="1">
        <v>600001784</v>
      </c>
      <c r="B320" s="1">
        <v>1700</v>
      </c>
      <c r="C320" s="1">
        <v>2200001421</v>
      </c>
      <c r="D320" s="1" t="s">
        <v>303</v>
      </c>
      <c r="E320" s="1">
        <f>IF(AND(B320&lt;&gt;1110,B320&lt;&gt;1210,B320&lt;&gt;1510,B320&lt;&gt;1710),B320,IF(B320=1110,"1100",IF(B320=1210,"1200",IF(B320=1510,"1500",IF(B320=1710,"1700","X")))))</f>
        <v>1700</v>
      </c>
      <c r="F320" s="1" t="s">
        <v>11238</v>
      </c>
      <c r="G320" s="1" t="s">
        <v>302</v>
      </c>
      <c r="H320" s="1">
        <f>ROUND(P320/(1-((R320+S320))/100)*Q320, 3)</f>
        <v>84.123999999999995</v>
      </c>
      <c r="I320" s="1">
        <v>0.25</v>
      </c>
      <c r="J320" s="1">
        <v>3</v>
      </c>
      <c r="K320" s="1">
        <v>1</v>
      </c>
      <c r="L320" s="1" t="s">
        <v>292</v>
      </c>
      <c r="M320" s="1">
        <v>4</v>
      </c>
      <c r="N320" s="1">
        <v>1</v>
      </c>
      <c r="O320" s="1" t="s">
        <v>296</v>
      </c>
      <c r="P320" s="1">
        <f>IFERROR(VLOOKUP(BC320, BA:BA:BB:BB, 2, 0),)</f>
        <v>70.453999999999994</v>
      </c>
      <c r="Q320" s="1">
        <f>IFERROR(VLOOKUP(BC320, BA:BA:BD:BD, 4, 0),1)</f>
        <v>1</v>
      </c>
      <c r="R320" s="1">
        <v>7</v>
      </c>
      <c r="S320" s="1">
        <v>9.25</v>
      </c>
      <c r="T320" s="1">
        <v>0</v>
      </c>
      <c r="V320" s="1" t="s">
        <v>11223</v>
      </c>
      <c r="W320" s="1">
        <v>100</v>
      </c>
      <c r="X320" s="1" t="s">
        <v>298</v>
      </c>
      <c r="Y320" s="1" t="s">
        <v>299</v>
      </c>
      <c r="Z320" s="1">
        <v>1</v>
      </c>
      <c r="AA320" s="1">
        <f>ROUND(H320*I320*Z320, 3)</f>
        <v>21.030999999999999</v>
      </c>
      <c r="AB320" s="1">
        <f>ROUND(VLOOKUP(X320,'Base de dados'!A:B, 2, 0)*AA320, 2)</f>
        <v>2.1</v>
      </c>
      <c r="AC320" s="1">
        <f>ROUND((AA320*(Destino!AG320/100))*(W320/100),2)</f>
        <v>1.47</v>
      </c>
      <c r="AD320" s="1">
        <f>ROUND(AA320*(Destino!AH320/100),2)</f>
        <v>0</v>
      </c>
      <c r="AE320" s="1">
        <f>ROUND((((AA320+AB320)*1.48)*(Destino!AI320/100))-AC320,2)</f>
        <v>4.3499999999999996</v>
      </c>
      <c r="AF320" s="1">
        <f>ROUND((AA320+AB320+AE320)*(J320/100),2)</f>
        <v>0.82</v>
      </c>
      <c r="AG320" s="1">
        <f>ROUND(AA320*T320,2)</f>
        <v>0</v>
      </c>
      <c r="AH320" s="1">
        <f>ROUND(AA320+AB320-AD320+AE320+AF320+AG320, 3)</f>
        <v>28.300999999999998</v>
      </c>
      <c r="AI320" s="1">
        <f>AH320*M320*K320</f>
        <v>113.20399999999999</v>
      </c>
      <c r="BA320" s="1" t="s">
        <v>11308</v>
      </c>
      <c r="BB320" s="1">
        <f>AI320</f>
        <v>113.20399999999999</v>
      </c>
      <c r="BC320" s="1" t="s">
        <v>11416</v>
      </c>
      <c r="BD320" s="1">
        <f>N320</f>
        <v>1</v>
      </c>
    </row>
    <row r="321" spans="1:56" x14ac:dyDescent="0.25">
      <c r="A321" s="1">
        <v>600001826</v>
      </c>
      <c r="B321" s="1">
        <v>1000</v>
      </c>
      <c r="C321" s="1">
        <v>2200001473</v>
      </c>
      <c r="D321" s="1" t="s">
        <v>303</v>
      </c>
      <c r="E321" s="1">
        <f>IF(AND(B321&lt;&gt;1110,B321&lt;&gt;1210,B321&lt;&gt;1510,B321&lt;&gt;1710),B321,IF(B321=1110,"1100",IF(B321=1210,"1200",IF(B321=1510,"1500",IF(B321=1710,"1700","X")))))</f>
        <v>1000</v>
      </c>
      <c r="F321" s="1" t="s">
        <v>11198</v>
      </c>
      <c r="G321" s="1" t="s">
        <v>302</v>
      </c>
      <c r="H321" s="1">
        <f>ROUND(P321/(1-((R321+S321))/100)*Q321, 3)</f>
        <v>15.878</v>
      </c>
      <c r="I321" s="1">
        <v>0.45</v>
      </c>
      <c r="J321" s="1">
        <v>1.5</v>
      </c>
      <c r="K321" s="1">
        <v>1</v>
      </c>
      <c r="L321" s="1" t="s">
        <v>292</v>
      </c>
      <c r="M321" s="1">
        <v>1</v>
      </c>
      <c r="N321" s="1">
        <v>1</v>
      </c>
      <c r="O321" s="1" t="s">
        <v>296</v>
      </c>
      <c r="P321" s="1">
        <v>12.504</v>
      </c>
      <c r="Q321" s="1">
        <v>1</v>
      </c>
      <c r="R321" s="1">
        <v>12</v>
      </c>
      <c r="S321" s="1">
        <v>9.25</v>
      </c>
      <c r="T321" s="1">
        <v>0</v>
      </c>
      <c r="V321" s="1" t="s">
        <v>11223</v>
      </c>
      <c r="W321" s="1">
        <v>100</v>
      </c>
      <c r="X321" s="1" t="s">
        <v>311</v>
      </c>
      <c r="Y321" s="1" t="s">
        <v>299</v>
      </c>
      <c r="Z321" s="1">
        <v>1</v>
      </c>
      <c r="AA321" s="1">
        <f>ROUND(H321*I321*Z321, 3)</f>
        <v>7.1449999999999996</v>
      </c>
      <c r="AB321" s="1">
        <f>ROUND(VLOOKUP(X321,'Base de dados'!A:B, 2, 0)*AA321, 2)</f>
        <v>0.71</v>
      </c>
      <c r="AC321" s="1">
        <f>ROUND((AA321*(Destino!AG321/100))*(W321/100),2)</f>
        <v>0.86</v>
      </c>
      <c r="AD321" s="1">
        <f>ROUND(AA321*(Destino!AH321/100),2)</f>
        <v>0.66</v>
      </c>
      <c r="AF321" s="1">
        <f>ROUND((AA321+ AB321)*(J321/100),2)</f>
        <v>0.12</v>
      </c>
      <c r="AG321" s="1">
        <f>ROUND(AA321*T321,2)</f>
        <v>0</v>
      </c>
      <c r="AH321" s="1">
        <f>ROUND(AA321-(AC321+AD321)+AF321+AG321, 3)</f>
        <v>5.7450000000000001</v>
      </c>
      <c r="AI321" s="1">
        <f>AH321*M321*K321</f>
        <v>5.7450000000000001</v>
      </c>
      <c r="BA321" s="1" t="s">
        <v>11649</v>
      </c>
      <c r="BB321" s="1">
        <f>AI321</f>
        <v>5.7450000000000001</v>
      </c>
      <c r="BD321" s="1">
        <f>N321</f>
        <v>1</v>
      </c>
    </row>
    <row r="322" spans="1:56" x14ac:dyDescent="0.25">
      <c r="A322" s="1">
        <v>600001826</v>
      </c>
      <c r="B322" s="1">
        <v>1100</v>
      </c>
      <c r="C322" s="1">
        <v>2200001473</v>
      </c>
      <c r="D322" s="1" t="s">
        <v>303</v>
      </c>
      <c r="E322" s="1">
        <f>IF(AND(B322&lt;&gt;1110,B322&lt;&gt;1210,B322&lt;&gt;1510,B322&lt;&gt;1710),B322,IF(B322=1110,"1100",IF(B322=1210,"1200",IF(B322=1510,"1500",IF(B322=1710,"1700","X")))))</f>
        <v>1100</v>
      </c>
      <c r="F322" s="1" t="s">
        <v>11198</v>
      </c>
      <c r="G322" s="1" t="s">
        <v>302</v>
      </c>
      <c r="H322" s="1">
        <f>ROUND(P322/(1-((R322+S322))/100)*Q322, 3)</f>
        <v>14.933</v>
      </c>
      <c r="I322" s="1">
        <v>0.45</v>
      </c>
      <c r="J322" s="1">
        <v>2</v>
      </c>
      <c r="K322" s="1">
        <v>1</v>
      </c>
      <c r="L322" s="1" t="s">
        <v>292</v>
      </c>
      <c r="M322" s="1">
        <v>1</v>
      </c>
      <c r="N322" s="1">
        <v>1</v>
      </c>
      <c r="O322" s="1" t="s">
        <v>296</v>
      </c>
      <c r="P322" s="1">
        <v>12.506</v>
      </c>
      <c r="Q322" s="1">
        <v>1</v>
      </c>
      <c r="R322" s="1">
        <v>7</v>
      </c>
      <c r="S322" s="1">
        <v>9.25</v>
      </c>
      <c r="T322" s="1">
        <v>0</v>
      </c>
      <c r="V322" s="1" t="s">
        <v>11223</v>
      </c>
      <c r="W322" s="1">
        <v>100</v>
      </c>
      <c r="X322" s="1" t="s">
        <v>311</v>
      </c>
      <c r="Y322" s="1" t="s">
        <v>299</v>
      </c>
      <c r="Z322" s="1">
        <v>1</v>
      </c>
      <c r="AA322" s="1">
        <f>ROUND(H322*I322*Z322, 3)</f>
        <v>6.72</v>
      </c>
      <c r="AB322" s="1">
        <f>ROUND(VLOOKUP(X322,'Base de dados'!A:B, 2, 0)*AA322, 2)</f>
        <v>0.67</v>
      </c>
      <c r="AC322" s="1">
        <f>ROUND((AA322*(Destino!AG322/100))*(W322/100),2)</f>
        <v>0.47</v>
      </c>
      <c r="AD322" s="1">
        <f>ROUND(AA322*(Destino!AH322/100),2)</f>
        <v>0.62</v>
      </c>
      <c r="AF322" s="1">
        <f>ROUND((AA322+ AB322)*(J322/100),2)</f>
        <v>0.15</v>
      </c>
      <c r="AG322" s="1">
        <f>ROUND(AA322*T322,2)</f>
        <v>0</v>
      </c>
      <c r="AH322" s="1">
        <f>ROUND(AA322-(AC322+AD322)+AF322+AG322, 3)</f>
        <v>5.78</v>
      </c>
      <c r="AI322" s="1">
        <f>AH322*M322*K322</f>
        <v>5.78</v>
      </c>
      <c r="BA322" s="1" t="s">
        <v>11650</v>
      </c>
      <c r="BB322" s="1">
        <f>AI322</f>
        <v>5.78</v>
      </c>
      <c r="BD322" s="1">
        <f>N322</f>
        <v>1</v>
      </c>
    </row>
    <row r="323" spans="1:56" x14ac:dyDescent="0.25">
      <c r="A323" s="1">
        <v>600001826</v>
      </c>
      <c r="B323" s="1">
        <v>1110</v>
      </c>
      <c r="C323" s="1">
        <v>2200001473</v>
      </c>
      <c r="D323" s="1" t="s">
        <v>303</v>
      </c>
      <c r="E323" s="1" t="str">
        <f>IF(AND(B323&lt;&gt;1110,B323&lt;&gt;1210,B323&lt;&gt;1510,B323&lt;&gt;1710),B323,IF(B323=1110,"1100",IF(B323=1210,"1200",IF(B323=1510,"1500",IF(B323=1710,"1700","X")))))</f>
        <v>1100</v>
      </c>
      <c r="F323" s="1" t="s">
        <v>447</v>
      </c>
      <c r="G323" s="1" t="s">
        <v>302</v>
      </c>
      <c r="H323" s="1">
        <f>ROUND(P323/(1-((R323+S323))/100)*Q323, 3)</f>
        <v>14.933</v>
      </c>
      <c r="I323" s="1">
        <v>0.45</v>
      </c>
      <c r="J323" s="1">
        <v>4</v>
      </c>
      <c r="K323" s="1">
        <v>1</v>
      </c>
      <c r="L323" s="1" t="s">
        <v>292</v>
      </c>
      <c r="M323" s="1">
        <v>1</v>
      </c>
      <c r="N323" s="1">
        <v>0.753494</v>
      </c>
      <c r="O323" s="1" t="s">
        <v>296</v>
      </c>
      <c r="P323" s="1">
        <v>12.506</v>
      </c>
      <c r="Q323" s="1">
        <v>1</v>
      </c>
      <c r="R323" s="1">
        <v>7</v>
      </c>
      <c r="S323" s="1">
        <v>9.25</v>
      </c>
      <c r="T323" s="1">
        <v>0</v>
      </c>
      <c r="V323" s="1" t="s">
        <v>11223</v>
      </c>
      <c r="W323" s="1">
        <v>100</v>
      </c>
      <c r="X323" s="1" t="s">
        <v>311</v>
      </c>
      <c r="Y323" s="1" t="s">
        <v>299</v>
      </c>
      <c r="Z323" s="1">
        <v>1</v>
      </c>
      <c r="AA323" s="1">
        <f>ROUND(H323*I323*Z323, 3)</f>
        <v>6.72</v>
      </c>
      <c r="AB323" s="1">
        <f>ROUND(VLOOKUP(X323,'Base de dados'!A:B, 2, 0)*AA323, 2)</f>
        <v>0.67</v>
      </c>
      <c r="AC323" s="1">
        <f>ROUND((AA323*(Destino!AG323/100))*(W323/100),2)</f>
        <v>0.47</v>
      </c>
      <c r="AD323" s="1">
        <f>ROUND(AA323*(Destino!AH323/100),2)</f>
        <v>0.62</v>
      </c>
      <c r="AE323" s="1">
        <f>ROUND((((AA323+AB323)*1.5039)*(Destino!AI323/100))-AC323,2)</f>
        <v>1.42</v>
      </c>
      <c r="AF323" s="1">
        <f>ROUND((AA323+AB323+AE323)*(J323/100),2)</f>
        <v>0.35</v>
      </c>
      <c r="AG323" s="1">
        <f>ROUND(AA323*T323,2)</f>
        <v>0</v>
      </c>
      <c r="AH323" s="1">
        <f>ROUND(AA323-AD323+AE323+AF323+AG323, 3)</f>
        <v>7.87</v>
      </c>
      <c r="AI323" s="1">
        <f>AH323*M323*K323</f>
        <v>7.87</v>
      </c>
      <c r="BA323" s="1" t="s">
        <v>11651</v>
      </c>
      <c r="BB323" s="1">
        <f>AI323</f>
        <v>7.87</v>
      </c>
      <c r="BD323" s="1">
        <f>N323</f>
        <v>0.753494</v>
      </c>
    </row>
    <row r="324" spans="1:56" x14ac:dyDescent="0.25">
      <c r="A324" s="1">
        <v>600001826</v>
      </c>
      <c r="B324" s="1">
        <v>1400</v>
      </c>
      <c r="C324" s="1">
        <v>2200001473</v>
      </c>
      <c r="D324" s="1" t="s">
        <v>303</v>
      </c>
      <c r="E324" s="1">
        <f>IF(AND(B324&lt;&gt;1110,B324&lt;&gt;1210,B324&lt;&gt;1510,B324&lt;&gt;1710),B324,IF(B324=1110,"1100",IF(B324=1210,"1200",IF(B324=1510,"1500",IF(B324=1710,"1700","X")))))</f>
        <v>1400</v>
      </c>
      <c r="F324" s="1" t="s">
        <v>11198</v>
      </c>
      <c r="G324" s="1" t="s">
        <v>302</v>
      </c>
      <c r="H324" s="1">
        <f>ROUND(P324/(1-((R324+S324))/100)*Q324, 3)</f>
        <v>17.190000000000001</v>
      </c>
      <c r="I324" s="1">
        <v>0.45</v>
      </c>
      <c r="J324" s="1">
        <v>1.5</v>
      </c>
      <c r="K324" s="1">
        <v>1</v>
      </c>
      <c r="L324" s="1" t="s">
        <v>292</v>
      </c>
      <c r="M324" s="1">
        <v>1</v>
      </c>
      <c r="N324" s="1">
        <v>1</v>
      </c>
      <c r="O324" s="1" t="s">
        <v>296</v>
      </c>
      <c r="P324" s="1">
        <v>12.506</v>
      </c>
      <c r="Q324" s="1">
        <v>1</v>
      </c>
      <c r="R324" s="1">
        <v>18</v>
      </c>
      <c r="S324" s="1">
        <v>9.25</v>
      </c>
      <c r="T324" s="1">
        <v>0</v>
      </c>
      <c r="V324" s="1" t="s">
        <v>11223</v>
      </c>
      <c r="W324" s="1">
        <v>100</v>
      </c>
      <c r="X324" s="1" t="s">
        <v>311</v>
      </c>
      <c r="Y324" s="1" t="s">
        <v>299</v>
      </c>
      <c r="Z324" s="1">
        <v>1</v>
      </c>
      <c r="AA324" s="1">
        <f>ROUND(H324*I324*Z324, 3)</f>
        <v>7.7359999999999998</v>
      </c>
      <c r="AB324" s="1">
        <f>ROUND(VLOOKUP(X324,'Base de dados'!A:B, 2, 0)*AA324, 2)</f>
        <v>0.77</v>
      </c>
      <c r="AC324" s="1">
        <f>ROUND((AA324*(Destino!AG324/100))*(W324/100),2)</f>
        <v>1.39</v>
      </c>
      <c r="AD324" s="1">
        <f>ROUND(AA324*(Destino!AH324/100),2)</f>
        <v>0.72</v>
      </c>
      <c r="AF324" s="1">
        <f>ROUND((AA324+ AB324)*(J324/100),2)</f>
        <v>0.13</v>
      </c>
      <c r="AG324" s="1">
        <f>ROUND(AA324*T324,2)</f>
        <v>0</v>
      </c>
      <c r="AH324" s="1">
        <f>ROUND(AA324-(AC324+AD324)+AF324+AG324, 3)</f>
        <v>5.7560000000000002</v>
      </c>
      <c r="AI324" s="1">
        <f>AH324*M324*K324</f>
        <v>5.7560000000000002</v>
      </c>
      <c r="BA324" s="1" t="s">
        <v>11417</v>
      </c>
      <c r="BB324" s="1">
        <f>AI324</f>
        <v>5.7560000000000002</v>
      </c>
      <c r="BD324" s="1">
        <f>N324</f>
        <v>1</v>
      </c>
    </row>
    <row r="325" spans="1:56" x14ac:dyDescent="0.25">
      <c r="A325" s="1">
        <v>600001826</v>
      </c>
      <c r="B325" s="1">
        <v>1700</v>
      </c>
      <c r="C325" s="1">
        <v>2200001421</v>
      </c>
      <c r="D325" s="1" t="s">
        <v>303</v>
      </c>
      <c r="E325" s="1">
        <f>IF(AND(B325&lt;&gt;1110,B325&lt;&gt;1210,B325&lt;&gt;1510,B325&lt;&gt;1710),B325,IF(B325=1110,"1100",IF(B325=1210,"1200",IF(B325=1510,"1500",IF(B325=1710,"1700","X")))))</f>
        <v>1700</v>
      </c>
      <c r="F325" s="1" t="s">
        <v>11238</v>
      </c>
      <c r="G325" s="1" t="s">
        <v>302</v>
      </c>
      <c r="H325" s="1">
        <f>ROUND(P325/(1-((R325+S325))/100)*Q325, 3)</f>
        <v>6.8730000000000002</v>
      </c>
      <c r="I325" s="1">
        <v>0.25</v>
      </c>
      <c r="J325" s="1">
        <v>3</v>
      </c>
      <c r="K325" s="1">
        <v>1</v>
      </c>
      <c r="L325" s="1" t="s">
        <v>292</v>
      </c>
      <c r="M325" s="1">
        <v>4</v>
      </c>
      <c r="N325" s="1">
        <v>1</v>
      </c>
      <c r="O325" s="1" t="s">
        <v>296</v>
      </c>
      <c r="P325" s="1">
        <f>IFERROR(VLOOKUP(BC325, BA:BA:BB:BB, 2, 0),)</f>
        <v>5.7560000000000002</v>
      </c>
      <c r="Q325" s="1">
        <f>IFERROR(VLOOKUP(BC325, BA:BA:BD:BD, 4, 0),1)</f>
        <v>1</v>
      </c>
      <c r="R325" s="1">
        <v>7</v>
      </c>
      <c r="S325" s="1">
        <v>9.25</v>
      </c>
      <c r="T325" s="1">
        <v>0</v>
      </c>
      <c r="V325" s="1" t="s">
        <v>11223</v>
      </c>
      <c r="W325" s="1">
        <v>100</v>
      </c>
      <c r="X325" s="1" t="s">
        <v>311</v>
      </c>
      <c r="Y325" s="1" t="s">
        <v>299</v>
      </c>
      <c r="Z325" s="1">
        <v>1</v>
      </c>
      <c r="AA325" s="1">
        <f>ROUND(H325*I325*Z325, 3)</f>
        <v>1.718</v>
      </c>
      <c r="AB325" s="1">
        <f>ROUND(VLOOKUP(X325,'Base de dados'!A:B, 2, 0)*AA325, 2)</f>
        <v>0.17</v>
      </c>
      <c r="AC325" s="1">
        <f>ROUND((AA325*(Destino!AG325/100))*(W325/100),2)</f>
        <v>0.12</v>
      </c>
      <c r="AD325" s="1">
        <f>ROUND(AA325*(Destino!AH325/100),2)</f>
        <v>0</v>
      </c>
      <c r="AE325" s="1">
        <f>ROUND((((AA325+AB325)*1.48)*(Destino!AI325/100))-AC325,2)</f>
        <v>0.36</v>
      </c>
      <c r="AF325" s="1">
        <f>ROUND((AA325+AB325+AE325)*(J325/100),2)</f>
        <v>7.0000000000000007E-2</v>
      </c>
      <c r="AG325" s="1">
        <f>ROUND(AA325*T325,2)</f>
        <v>0</v>
      </c>
      <c r="AH325" s="1">
        <f>ROUND(AA325+AB325-AD325+AE325+AF325+AG325, 3)</f>
        <v>2.3180000000000001</v>
      </c>
      <c r="AI325" s="1">
        <f>AH325*M325*K325</f>
        <v>9.2720000000000002</v>
      </c>
      <c r="BA325" s="1" t="s">
        <v>11309</v>
      </c>
      <c r="BB325" s="1">
        <f>AI325</f>
        <v>9.2720000000000002</v>
      </c>
      <c r="BC325" s="1" t="s">
        <v>11417</v>
      </c>
      <c r="BD325" s="1">
        <f>N325</f>
        <v>1</v>
      </c>
    </row>
    <row r="326" spans="1:56" x14ac:dyDescent="0.25">
      <c r="A326" s="1">
        <v>600001827</v>
      </c>
      <c r="B326" s="1">
        <v>1000</v>
      </c>
      <c r="C326" s="1">
        <v>2200001473</v>
      </c>
      <c r="D326" s="1" t="s">
        <v>303</v>
      </c>
      <c r="E326" s="1">
        <f>IF(AND(B326&lt;&gt;1110,B326&lt;&gt;1210,B326&lt;&gt;1510,B326&lt;&gt;1710),B326,IF(B326=1110,"1100",IF(B326=1210,"1200",IF(B326=1510,"1500",IF(B326=1710,"1700","X")))))</f>
        <v>1000</v>
      </c>
      <c r="F326" s="1" t="s">
        <v>11198</v>
      </c>
      <c r="G326" s="1" t="s">
        <v>302</v>
      </c>
      <c r="H326" s="1">
        <f>ROUND(P326/(1-((R326+S326))/100)*Q326, 3)</f>
        <v>15.131</v>
      </c>
      <c r="I326" s="1">
        <v>0.45</v>
      </c>
      <c r="J326" s="1">
        <v>1.5</v>
      </c>
      <c r="K326" s="1">
        <v>1</v>
      </c>
      <c r="L326" s="1" t="s">
        <v>292</v>
      </c>
      <c r="M326" s="1">
        <v>1</v>
      </c>
      <c r="N326" s="1">
        <v>1</v>
      </c>
      <c r="O326" s="1" t="s">
        <v>296</v>
      </c>
      <c r="P326" s="1">
        <v>11.916</v>
      </c>
      <c r="Q326" s="1">
        <v>1</v>
      </c>
      <c r="R326" s="1">
        <v>12</v>
      </c>
      <c r="S326" s="1">
        <v>9.25</v>
      </c>
      <c r="T326" s="1">
        <v>0</v>
      </c>
      <c r="V326" s="1" t="s">
        <v>11223</v>
      </c>
      <c r="W326" s="1">
        <v>100</v>
      </c>
      <c r="X326" s="1" t="s">
        <v>311</v>
      </c>
      <c r="Y326" s="1" t="s">
        <v>299</v>
      </c>
      <c r="Z326" s="1">
        <v>1</v>
      </c>
      <c r="AA326" s="1">
        <f>ROUND(H326*I326*Z326, 3)</f>
        <v>6.8090000000000002</v>
      </c>
      <c r="AB326" s="1">
        <f>ROUND(VLOOKUP(X326,'Base de dados'!A:B, 2, 0)*AA326, 2)</f>
        <v>0.68</v>
      </c>
      <c r="AC326" s="1">
        <f>ROUND((AA326*(Destino!AG326/100))*(W326/100),2)</f>
        <v>0.82</v>
      </c>
      <c r="AD326" s="1">
        <f>ROUND(AA326*(Destino!AH326/100),2)</f>
        <v>0.63</v>
      </c>
      <c r="AF326" s="1">
        <f>ROUND((AA326+ AB326)*(J326/100),2)</f>
        <v>0.11</v>
      </c>
      <c r="AG326" s="1">
        <f>ROUND(AA326*T326,2)</f>
        <v>0</v>
      </c>
      <c r="AH326" s="1">
        <f>ROUND(AA326-(AC326+AD326)+AF326+AG326, 3)</f>
        <v>5.4690000000000003</v>
      </c>
      <c r="AI326" s="1">
        <f>AH326*M326*K326</f>
        <v>5.4690000000000003</v>
      </c>
      <c r="BA326" s="1" t="s">
        <v>11652</v>
      </c>
      <c r="BB326" s="1">
        <f>AI326</f>
        <v>5.4690000000000003</v>
      </c>
      <c r="BD326" s="1">
        <f>N326</f>
        <v>1</v>
      </c>
    </row>
    <row r="327" spans="1:56" x14ac:dyDescent="0.25">
      <c r="A327" s="1">
        <v>600001827</v>
      </c>
      <c r="B327" s="1">
        <v>1100</v>
      </c>
      <c r="C327" s="1">
        <v>2200001473</v>
      </c>
      <c r="D327" s="1" t="s">
        <v>303</v>
      </c>
      <c r="E327" s="1">
        <f>IF(AND(B327&lt;&gt;1110,B327&lt;&gt;1210,B327&lt;&gt;1510,B327&lt;&gt;1710),B327,IF(B327=1110,"1100",IF(B327=1210,"1200",IF(B327=1510,"1500",IF(B327=1710,"1700","X")))))</f>
        <v>1100</v>
      </c>
      <c r="F327" s="1" t="s">
        <v>11198</v>
      </c>
      <c r="G327" s="1" t="s">
        <v>302</v>
      </c>
      <c r="H327" s="1">
        <f>ROUND(P327/(1-((R327+S327))/100)*Q327, 3)</f>
        <v>14.228</v>
      </c>
      <c r="I327" s="1">
        <v>0.45</v>
      </c>
      <c r="J327" s="1">
        <v>2</v>
      </c>
      <c r="K327" s="1">
        <v>1</v>
      </c>
      <c r="L327" s="1" t="s">
        <v>292</v>
      </c>
      <c r="M327" s="1">
        <v>1</v>
      </c>
      <c r="N327" s="1">
        <v>1</v>
      </c>
      <c r="O327" s="1" t="s">
        <v>296</v>
      </c>
      <c r="P327" s="1">
        <v>11.916</v>
      </c>
      <c r="Q327" s="1">
        <v>1</v>
      </c>
      <c r="R327" s="1">
        <v>7</v>
      </c>
      <c r="S327" s="1">
        <v>9.25</v>
      </c>
      <c r="T327" s="1">
        <v>0</v>
      </c>
      <c r="V327" s="1" t="s">
        <v>11223</v>
      </c>
      <c r="W327" s="1">
        <v>100</v>
      </c>
      <c r="X327" s="1" t="s">
        <v>311</v>
      </c>
      <c r="Y327" s="1" t="s">
        <v>299</v>
      </c>
      <c r="Z327" s="1">
        <v>1</v>
      </c>
      <c r="AA327" s="1">
        <f>ROUND(H327*I327*Z327, 3)</f>
        <v>6.4029999999999996</v>
      </c>
      <c r="AB327" s="1">
        <f>ROUND(VLOOKUP(X327,'Base de dados'!A:B, 2, 0)*AA327, 2)</f>
        <v>0.64</v>
      </c>
      <c r="AC327" s="1">
        <f>ROUND((AA327*(Destino!AG327/100))*(W327/100),2)</f>
        <v>0.45</v>
      </c>
      <c r="AD327" s="1">
        <f>ROUND(AA327*(Destino!AH327/100),2)</f>
        <v>0.59</v>
      </c>
      <c r="AF327" s="1">
        <f>ROUND((AA327+ AB327)*(J327/100),2)</f>
        <v>0.14000000000000001</v>
      </c>
      <c r="AG327" s="1">
        <f>ROUND(AA327*T327,2)</f>
        <v>0</v>
      </c>
      <c r="AH327" s="1">
        <f>ROUND(AA327-(AC327+AD327)+AF327+AG327, 3)</f>
        <v>5.5030000000000001</v>
      </c>
      <c r="AI327" s="1">
        <f>AH327*M327*K327</f>
        <v>5.5030000000000001</v>
      </c>
      <c r="BA327" s="1" t="s">
        <v>11653</v>
      </c>
      <c r="BB327" s="1">
        <f>AI327</f>
        <v>5.5030000000000001</v>
      </c>
      <c r="BD327" s="1">
        <f>N327</f>
        <v>1</v>
      </c>
    </row>
    <row r="328" spans="1:56" x14ac:dyDescent="0.25">
      <c r="A328" s="1">
        <v>600001827</v>
      </c>
      <c r="B328" s="1">
        <v>1110</v>
      </c>
      <c r="C328" s="1">
        <v>2200001473</v>
      </c>
      <c r="D328" s="1" t="s">
        <v>303</v>
      </c>
      <c r="E328" s="1" t="str">
        <f>IF(AND(B328&lt;&gt;1110,B328&lt;&gt;1210,B328&lt;&gt;1510,B328&lt;&gt;1710),B328,IF(B328=1110,"1100",IF(B328=1210,"1200",IF(B328=1510,"1500",IF(B328=1710,"1700","X")))))</f>
        <v>1100</v>
      </c>
      <c r="F328" s="1" t="s">
        <v>447</v>
      </c>
      <c r="G328" s="1" t="s">
        <v>302</v>
      </c>
      <c r="H328" s="1">
        <f>ROUND(P328/(1-((R328+S328))/100)*Q328, 3)</f>
        <v>14.228</v>
      </c>
      <c r="I328" s="1">
        <v>0.45</v>
      </c>
      <c r="J328" s="1">
        <v>4</v>
      </c>
      <c r="K328" s="1">
        <v>1</v>
      </c>
      <c r="L328" s="1" t="s">
        <v>292</v>
      </c>
      <c r="M328" s="1">
        <v>1</v>
      </c>
      <c r="N328" s="1">
        <v>0.75176799999999999</v>
      </c>
      <c r="O328" s="1" t="s">
        <v>296</v>
      </c>
      <c r="P328" s="1">
        <v>11.916</v>
      </c>
      <c r="Q328" s="1">
        <v>1</v>
      </c>
      <c r="R328" s="1">
        <v>7</v>
      </c>
      <c r="S328" s="1">
        <v>9.25</v>
      </c>
      <c r="T328" s="1">
        <v>0</v>
      </c>
      <c r="V328" s="1" t="s">
        <v>11223</v>
      </c>
      <c r="W328" s="1">
        <v>100</v>
      </c>
      <c r="X328" s="1" t="s">
        <v>311</v>
      </c>
      <c r="Y328" s="1" t="s">
        <v>299</v>
      </c>
      <c r="Z328" s="1">
        <v>1</v>
      </c>
      <c r="AA328" s="1">
        <f>ROUND(H328*I328*Z328, 3)</f>
        <v>6.4029999999999996</v>
      </c>
      <c r="AB328" s="1">
        <f>ROUND(VLOOKUP(X328,'Base de dados'!A:B, 2, 0)*AA328, 2)</f>
        <v>0.64</v>
      </c>
      <c r="AC328" s="1">
        <f>ROUND((AA328*(Destino!AG328/100))*(W328/100),2)</f>
        <v>0.45</v>
      </c>
      <c r="AD328" s="1">
        <f>ROUND(AA328*(Destino!AH328/100),2)</f>
        <v>0.59</v>
      </c>
      <c r="AE328" s="1">
        <f>ROUND((((AA328+AB328)*1.5039)*(Destino!AI328/100))-AC328,2)</f>
        <v>1.35</v>
      </c>
      <c r="AF328" s="1">
        <f>ROUND((AA328+AB328+AE328)*(J328/100),2)</f>
        <v>0.34</v>
      </c>
      <c r="AG328" s="1">
        <f>ROUND(AA328*T328,2)</f>
        <v>0</v>
      </c>
      <c r="AH328" s="1">
        <f>ROUND(AA328-AD328+AE328+AF328+AG328, 3)</f>
        <v>7.5030000000000001</v>
      </c>
      <c r="AI328" s="1">
        <f>AH328*M328*K328</f>
        <v>7.5030000000000001</v>
      </c>
      <c r="BA328" s="1" t="s">
        <v>11654</v>
      </c>
      <c r="BB328" s="1">
        <f>AI328</f>
        <v>7.5030000000000001</v>
      </c>
      <c r="BD328" s="1">
        <f>N328</f>
        <v>0.75176799999999999</v>
      </c>
    </row>
    <row r="329" spans="1:56" x14ac:dyDescent="0.25">
      <c r="A329" s="1">
        <v>600001827</v>
      </c>
      <c r="B329" s="1">
        <v>1400</v>
      </c>
      <c r="C329" s="1">
        <v>2200001473</v>
      </c>
      <c r="D329" s="1" t="s">
        <v>303</v>
      </c>
      <c r="E329" s="1">
        <f>IF(AND(B329&lt;&gt;1110,B329&lt;&gt;1210,B329&lt;&gt;1510,B329&lt;&gt;1710),B329,IF(B329=1110,"1100",IF(B329=1210,"1200",IF(B329=1510,"1500",IF(B329=1710,"1700","X")))))</f>
        <v>1400</v>
      </c>
      <c r="F329" s="1" t="s">
        <v>11198</v>
      </c>
      <c r="G329" s="1" t="s">
        <v>302</v>
      </c>
      <c r="H329" s="1">
        <f>ROUND(P329/(1-((R329+S329))/100)*Q329, 3)</f>
        <v>16.379000000000001</v>
      </c>
      <c r="I329" s="1">
        <v>0.45</v>
      </c>
      <c r="J329" s="1">
        <v>1.5</v>
      </c>
      <c r="K329" s="1">
        <v>1</v>
      </c>
      <c r="L329" s="1" t="s">
        <v>292</v>
      </c>
      <c r="M329" s="1">
        <v>1</v>
      </c>
      <c r="N329" s="1">
        <v>1</v>
      </c>
      <c r="O329" s="1" t="s">
        <v>296</v>
      </c>
      <c r="P329" s="1">
        <v>11.916</v>
      </c>
      <c r="Q329" s="1">
        <v>1</v>
      </c>
      <c r="R329" s="1">
        <v>18</v>
      </c>
      <c r="S329" s="1">
        <v>9.25</v>
      </c>
      <c r="T329" s="1">
        <v>0</v>
      </c>
      <c r="V329" s="1" t="s">
        <v>11223</v>
      </c>
      <c r="W329" s="1">
        <v>100</v>
      </c>
      <c r="X329" s="1" t="s">
        <v>311</v>
      </c>
      <c r="Y329" s="1" t="s">
        <v>299</v>
      </c>
      <c r="Z329" s="1">
        <v>1</v>
      </c>
      <c r="AA329" s="1">
        <f>ROUND(H329*I329*Z329, 3)</f>
        <v>7.3710000000000004</v>
      </c>
      <c r="AB329" s="1">
        <f>ROUND(VLOOKUP(X329,'Base de dados'!A:B, 2, 0)*AA329, 2)</f>
        <v>0.74</v>
      </c>
      <c r="AC329" s="1">
        <f>ROUND((AA329*(Destino!AG329/100))*(W329/100),2)</f>
        <v>1.33</v>
      </c>
      <c r="AD329" s="1">
        <f>ROUND(AA329*(Destino!AH329/100),2)</f>
        <v>0.68</v>
      </c>
      <c r="AF329" s="1">
        <f>ROUND((AA329+ AB329)*(J329/100),2)</f>
        <v>0.12</v>
      </c>
      <c r="AG329" s="1">
        <f>ROUND(AA329*T329,2)</f>
        <v>0</v>
      </c>
      <c r="AH329" s="1">
        <f>ROUND(AA329-(AC329+AD329)+AF329+AG329, 3)</f>
        <v>5.4809999999999999</v>
      </c>
      <c r="AI329" s="1">
        <f>AH329*M329*K329</f>
        <v>5.4809999999999999</v>
      </c>
      <c r="BA329" s="1" t="s">
        <v>11418</v>
      </c>
      <c r="BB329" s="1">
        <f>AI329</f>
        <v>5.4809999999999999</v>
      </c>
      <c r="BD329" s="1">
        <f>N329</f>
        <v>1</v>
      </c>
    </row>
    <row r="330" spans="1:56" x14ac:dyDescent="0.25">
      <c r="A330" s="1">
        <v>600001827</v>
      </c>
      <c r="B330" s="1">
        <v>1700</v>
      </c>
      <c r="C330" s="1">
        <v>2200001421</v>
      </c>
      <c r="D330" s="1" t="s">
        <v>303</v>
      </c>
      <c r="E330" s="1">
        <f>IF(AND(B330&lt;&gt;1110,B330&lt;&gt;1210,B330&lt;&gt;1510,B330&lt;&gt;1710),B330,IF(B330=1110,"1100",IF(B330=1210,"1200",IF(B330=1510,"1500",IF(B330=1710,"1700","X")))))</f>
        <v>1700</v>
      </c>
      <c r="F330" s="1" t="s">
        <v>11238</v>
      </c>
      <c r="G330" s="1" t="s">
        <v>302</v>
      </c>
      <c r="H330" s="1">
        <f>ROUND(P330/(1-((R330+S330))/100)*Q330, 3)</f>
        <v>6.5439999999999996</v>
      </c>
      <c r="I330" s="1">
        <v>0.25</v>
      </c>
      <c r="J330" s="1">
        <v>3</v>
      </c>
      <c r="K330" s="1">
        <v>1</v>
      </c>
      <c r="L330" s="1" t="s">
        <v>292</v>
      </c>
      <c r="M330" s="1">
        <v>4</v>
      </c>
      <c r="N330" s="1">
        <v>1</v>
      </c>
      <c r="O330" s="1" t="s">
        <v>296</v>
      </c>
      <c r="P330" s="1">
        <f>IFERROR(VLOOKUP(BC330, BA:BA:BB:BB, 2, 0),)</f>
        <v>5.4809999999999999</v>
      </c>
      <c r="Q330" s="1">
        <f>IFERROR(VLOOKUP(BC330, BA:BA:BD:BD, 4, 0),1)</f>
        <v>1</v>
      </c>
      <c r="R330" s="1">
        <v>7</v>
      </c>
      <c r="S330" s="1">
        <v>9.25</v>
      </c>
      <c r="T330" s="1">
        <v>0</v>
      </c>
      <c r="V330" s="1" t="s">
        <v>11223</v>
      </c>
      <c r="W330" s="1">
        <v>100</v>
      </c>
      <c r="X330" s="1" t="s">
        <v>311</v>
      </c>
      <c r="Y330" s="1" t="s">
        <v>299</v>
      </c>
      <c r="Z330" s="1">
        <v>1</v>
      </c>
      <c r="AA330" s="1">
        <f>ROUND(H330*I330*Z330, 3)</f>
        <v>1.6359999999999999</v>
      </c>
      <c r="AB330" s="1">
        <f>ROUND(VLOOKUP(X330,'Base de dados'!A:B, 2, 0)*AA330, 2)</f>
        <v>0.16</v>
      </c>
      <c r="AC330" s="1">
        <f>ROUND((AA330*(Destino!AG330/100))*(W330/100),2)</f>
        <v>0.11</v>
      </c>
      <c r="AD330" s="1">
        <f>ROUND(AA330*(Destino!AH330/100),2)</f>
        <v>0</v>
      </c>
      <c r="AE330" s="1">
        <f>ROUND((((AA330+AB330)*1.48)*(Destino!AI330/100))-AC330,2)</f>
        <v>0.34</v>
      </c>
      <c r="AF330" s="1">
        <f>ROUND((AA330+AB330+AE330)*(J330/100),2)</f>
        <v>0.06</v>
      </c>
      <c r="AG330" s="1">
        <f>ROUND(AA330*T330,2)</f>
        <v>0</v>
      </c>
      <c r="AH330" s="1">
        <f>ROUND(AA330+AB330-AD330+AE330+AF330+AG330, 3)</f>
        <v>2.1960000000000002</v>
      </c>
      <c r="AI330" s="1">
        <f>AH330*M330*K330</f>
        <v>8.7840000000000007</v>
      </c>
      <c r="BA330" s="1" t="s">
        <v>11310</v>
      </c>
      <c r="BB330" s="1">
        <f>AI330</f>
        <v>8.7840000000000007</v>
      </c>
      <c r="BC330" s="1" t="s">
        <v>11418</v>
      </c>
      <c r="BD330" s="1">
        <f>N330</f>
        <v>1</v>
      </c>
    </row>
    <row r="331" spans="1:56" x14ac:dyDescent="0.25">
      <c r="A331" s="1">
        <v>600001839</v>
      </c>
      <c r="B331" s="1">
        <v>1000</v>
      </c>
      <c r="C331" s="1">
        <v>2200001473</v>
      </c>
      <c r="D331" s="1" t="s">
        <v>303</v>
      </c>
      <c r="E331" s="1">
        <f>IF(AND(B331&lt;&gt;1110,B331&lt;&gt;1210,B331&lt;&gt;1510,B331&lt;&gt;1710),B331,IF(B331=1110,"1100",IF(B331=1210,"1200",IF(B331=1510,"1500",IF(B331=1710,"1700","X")))))</f>
        <v>1000</v>
      </c>
      <c r="F331" s="1" t="s">
        <v>11198</v>
      </c>
      <c r="G331" s="1" t="s">
        <v>302</v>
      </c>
      <c r="H331" s="1">
        <f>ROUND(P331/(1-((R331+S331))/100)*Q331, 3)</f>
        <v>20.399000000000001</v>
      </c>
      <c r="I331" s="1">
        <v>0.45</v>
      </c>
      <c r="J331" s="1">
        <v>1.5</v>
      </c>
      <c r="K331" s="1">
        <v>1</v>
      </c>
      <c r="L331" s="1" t="s">
        <v>292</v>
      </c>
      <c r="M331" s="1">
        <v>1</v>
      </c>
      <c r="N331" s="1">
        <v>1</v>
      </c>
      <c r="O331" s="1" t="s">
        <v>296</v>
      </c>
      <c r="P331" s="1">
        <v>16.064</v>
      </c>
      <c r="Q331" s="1">
        <v>1</v>
      </c>
      <c r="R331" s="1">
        <v>12</v>
      </c>
      <c r="S331" s="1">
        <v>9.25</v>
      </c>
      <c r="T331" s="1">
        <v>0</v>
      </c>
      <c r="V331" s="1" t="s">
        <v>11223</v>
      </c>
      <c r="W331" s="1">
        <v>100</v>
      </c>
      <c r="X331" s="1" t="s">
        <v>311</v>
      </c>
      <c r="Y331" s="1" t="s">
        <v>322</v>
      </c>
      <c r="Z331" s="1">
        <v>1</v>
      </c>
      <c r="AA331" s="1">
        <f>ROUND(H331*I331*Z331, 3)</f>
        <v>9.18</v>
      </c>
      <c r="AB331" s="1">
        <f>ROUND(VLOOKUP(X331,'Base de dados'!A:B, 2, 0)*AA331, 2)</f>
        <v>0.92</v>
      </c>
      <c r="AC331" s="1">
        <f>ROUND((AA331*(Destino!AG331/100))*(W331/100),2)</f>
        <v>1.1000000000000001</v>
      </c>
      <c r="AD331" s="1">
        <f>ROUND(AA331*(Destino!AH331/100),2)</f>
        <v>0.85</v>
      </c>
      <c r="AF331" s="1">
        <f>ROUND((AA331+ AB331)*(J331/100),2)</f>
        <v>0.15</v>
      </c>
      <c r="AG331" s="1">
        <f>ROUND(AA331*T331,2)</f>
        <v>0</v>
      </c>
      <c r="AH331" s="1">
        <f>ROUND(AA331-(AC331+AD331)+AF331+AG331, 3)</f>
        <v>7.38</v>
      </c>
      <c r="AI331" s="1">
        <f>AH331*M331*K331</f>
        <v>7.38</v>
      </c>
      <c r="BA331" s="1" t="s">
        <v>11655</v>
      </c>
      <c r="BB331" s="1">
        <f>AI331</f>
        <v>7.38</v>
      </c>
      <c r="BD331" s="1">
        <f>N331</f>
        <v>1</v>
      </c>
    </row>
    <row r="332" spans="1:56" x14ac:dyDescent="0.25">
      <c r="A332" s="1">
        <v>600001839</v>
      </c>
      <c r="B332" s="1">
        <v>1100</v>
      </c>
      <c r="C332" s="1">
        <v>2200001473</v>
      </c>
      <c r="D332" s="1" t="s">
        <v>303</v>
      </c>
      <c r="E332" s="1">
        <f>IF(AND(B332&lt;&gt;1110,B332&lt;&gt;1210,B332&lt;&gt;1510,B332&lt;&gt;1710),B332,IF(B332=1110,"1100",IF(B332=1210,"1200",IF(B332=1510,"1500",IF(B332=1710,"1700","X")))))</f>
        <v>1100</v>
      </c>
      <c r="F332" s="1" t="s">
        <v>11198</v>
      </c>
      <c r="G332" s="1" t="s">
        <v>302</v>
      </c>
      <c r="H332" s="1">
        <f>ROUND(P332/(1-((R332+S332))/100)*Q332, 3)</f>
        <v>19.18</v>
      </c>
      <c r="I332" s="1">
        <v>0.45</v>
      </c>
      <c r="J332" s="1">
        <v>2</v>
      </c>
      <c r="K332" s="1">
        <v>1</v>
      </c>
      <c r="L332" s="1" t="s">
        <v>292</v>
      </c>
      <c r="M332" s="1">
        <v>1</v>
      </c>
      <c r="N332" s="1">
        <v>1</v>
      </c>
      <c r="O332" s="1" t="s">
        <v>296</v>
      </c>
      <c r="P332" s="1">
        <v>16.062999999999999</v>
      </c>
      <c r="Q332" s="1">
        <v>1</v>
      </c>
      <c r="R332" s="1">
        <v>7</v>
      </c>
      <c r="S332" s="1">
        <v>9.25</v>
      </c>
      <c r="T332" s="1">
        <v>0</v>
      </c>
      <c r="V332" s="1" t="s">
        <v>11223</v>
      </c>
      <c r="W332" s="1">
        <v>100</v>
      </c>
      <c r="X332" s="1" t="s">
        <v>311</v>
      </c>
      <c r="Y332" s="1" t="s">
        <v>322</v>
      </c>
      <c r="Z332" s="1">
        <v>1</v>
      </c>
      <c r="AA332" s="1">
        <f>ROUND(H332*I332*Z332, 3)</f>
        <v>8.6310000000000002</v>
      </c>
      <c r="AB332" s="1">
        <f>ROUND(VLOOKUP(X332,'Base de dados'!A:B, 2, 0)*AA332, 2)</f>
        <v>0.86</v>
      </c>
      <c r="AC332" s="1">
        <f>ROUND((AA332*(Destino!AG332/100))*(W332/100),2)</f>
        <v>0.6</v>
      </c>
      <c r="AD332" s="1">
        <f>ROUND(AA332*(Destino!AH332/100),2)</f>
        <v>0.8</v>
      </c>
      <c r="AF332" s="1">
        <f>ROUND((AA332+ AB332)*(J332/100),2)</f>
        <v>0.19</v>
      </c>
      <c r="AG332" s="1">
        <f>ROUND(AA332*T332,2)</f>
        <v>0</v>
      </c>
      <c r="AH332" s="1">
        <f>ROUND(AA332-(AC332+AD332)+AF332+AG332, 3)</f>
        <v>7.4210000000000003</v>
      </c>
      <c r="AI332" s="1">
        <f>AH332*M332*K332</f>
        <v>7.4210000000000003</v>
      </c>
      <c r="BA332" s="1" t="s">
        <v>11656</v>
      </c>
      <c r="BB332" s="1">
        <f>AI332</f>
        <v>7.4210000000000003</v>
      </c>
      <c r="BD332" s="1">
        <f>N332</f>
        <v>1</v>
      </c>
    </row>
    <row r="333" spans="1:56" x14ac:dyDescent="0.25">
      <c r="A333" s="1">
        <v>600001839</v>
      </c>
      <c r="B333" s="1">
        <v>1400</v>
      </c>
      <c r="C333" s="1">
        <v>2200001473</v>
      </c>
      <c r="D333" s="1" t="s">
        <v>303</v>
      </c>
      <c r="E333" s="1">
        <f>IF(AND(B333&lt;&gt;1110,B333&lt;&gt;1210,B333&lt;&gt;1510,B333&lt;&gt;1710),B333,IF(B333=1110,"1100",IF(B333=1210,"1200",IF(B333=1510,"1500",IF(B333=1710,"1700","X")))))</f>
        <v>1400</v>
      </c>
      <c r="F333" s="1" t="s">
        <v>11198</v>
      </c>
      <c r="G333" s="1" t="s">
        <v>302</v>
      </c>
      <c r="H333" s="1">
        <f>ROUND(P333/(1-((R333+S333))/100)*Q333, 3)</f>
        <v>22.08</v>
      </c>
      <c r="I333" s="1">
        <v>0.45</v>
      </c>
      <c r="J333" s="1">
        <v>1.5</v>
      </c>
      <c r="K333" s="1">
        <v>1</v>
      </c>
      <c r="L333" s="1" t="s">
        <v>292</v>
      </c>
      <c r="M333" s="1">
        <v>1</v>
      </c>
      <c r="N333" s="1">
        <v>1</v>
      </c>
      <c r="O333" s="1" t="s">
        <v>296</v>
      </c>
      <c r="P333" s="1">
        <v>16.062999999999999</v>
      </c>
      <c r="Q333" s="1">
        <v>1</v>
      </c>
      <c r="R333" s="1">
        <v>18</v>
      </c>
      <c r="S333" s="1">
        <v>9.25</v>
      </c>
      <c r="T333" s="1">
        <v>0</v>
      </c>
      <c r="V333" s="1" t="s">
        <v>11223</v>
      </c>
      <c r="W333" s="1">
        <v>100</v>
      </c>
      <c r="X333" s="1" t="s">
        <v>311</v>
      </c>
      <c r="Y333" s="1" t="s">
        <v>322</v>
      </c>
      <c r="Z333" s="1">
        <v>1</v>
      </c>
      <c r="AA333" s="1">
        <f>ROUND(H333*I333*Z333, 3)</f>
        <v>9.9359999999999999</v>
      </c>
      <c r="AB333" s="1">
        <f>ROUND(VLOOKUP(X333,'Base de dados'!A:B, 2, 0)*AA333, 2)</f>
        <v>0.99</v>
      </c>
      <c r="AC333" s="1">
        <f>ROUND((AA333*(Destino!AG333/100))*(W333/100),2)</f>
        <v>1.79</v>
      </c>
      <c r="AD333" s="1">
        <f>ROUND(AA333*(Destino!AH333/100),2)</f>
        <v>0.92</v>
      </c>
      <c r="AF333" s="1">
        <f>ROUND((AA333+ AB333)*(J333/100),2)</f>
        <v>0.16</v>
      </c>
      <c r="AG333" s="1">
        <f>ROUND(AA333*T333,2)</f>
        <v>0</v>
      </c>
      <c r="AH333" s="1">
        <f>ROUND(AA333-(AC333+AD333)+AF333+AG333, 3)</f>
        <v>7.3860000000000001</v>
      </c>
      <c r="AI333" s="1">
        <f>AH333*M333*K333</f>
        <v>7.3860000000000001</v>
      </c>
      <c r="BA333" s="1" t="s">
        <v>11419</v>
      </c>
      <c r="BB333" s="1">
        <f>AI333</f>
        <v>7.3860000000000001</v>
      </c>
      <c r="BD333" s="1">
        <f>N333</f>
        <v>1</v>
      </c>
    </row>
    <row r="334" spans="1:56" x14ac:dyDescent="0.25">
      <c r="A334" s="1">
        <v>600001839</v>
      </c>
      <c r="B334" s="1">
        <v>1700</v>
      </c>
      <c r="C334" s="1">
        <v>2200001421</v>
      </c>
      <c r="D334" s="1" t="s">
        <v>303</v>
      </c>
      <c r="E334" s="1">
        <f>IF(AND(B334&lt;&gt;1110,B334&lt;&gt;1210,B334&lt;&gt;1510,B334&lt;&gt;1710),B334,IF(B334=1110,"1100",IF(B334=1210,"1200",IF(B334=1510,"1500",IF(B334=1710,"1700","X")))))</f>
        <v>1700</v>
      </c>
      <c r="F334" s="1" t="s">
        <v>11238</v>
      </c>
      <c r="G334" s="1" t="s">
        <v>302</v>
      </c>
      <c r="H334" s="1">
        <f>ROUND(P334/(1-((R334+S334))/100)*Q334, 3)</f>
        <v>8.8190000000000008</v>
      </c>
      <c r="I334" s="1">
        <v>0.25</v>
      </c>
      <c r="J334" s="1">
        <v>3</v>
      </c>
      <c r="K334" s="1">
        <v>1</v>
      </c>
      <c r="L334" s="1" t="s">
        <v>292</v>
      </c>
      <c r="M334" s="1">
        <v>4</v>
      </c>
      <c r="N334" s="1">
        <v>1</v>
      </c>
      <c r="O334" s="1" t="s">
        <v>296</v>
      </c>
      <c r="P334" s="1">
        <f>IFERROR(VLOOKUP(BC334, BA:BA:BB:BB, 2, 0),)</f>
        <v>7.3860000000000001</v>
      </c>
      <c r="Q334" s="1">
        <f>IFERROR(VLOOKUP(BC334, BA:BA:BD:BD, 4, 0),1)</f>
        <v>1</v>
      </c>
      <c r="R334" s="1">
        <v>7</v>
      </c>
      <c r="S334" s="1">
        <v>9.25</v>
      </c>
      <c r="T334" s="1">
        <v>0</v>
      </c>
      <c r="V334" s="1" t="s">
        <v>11223</v>
      </c>
      <c r="W334" s="1">
        <v>100</v>
      </c>
      <c r="X334" s="1" t="s">
        <v>311</v>
      </c>
      <c r="Y334" s="1" t="s">
        <v>322</v>
      </c>
      <c r="Z334" s="1">
        <v>1</v>
      </c>
      <c r="AA334" s="1">
        <f>ROUND(H334*I334*Z334, 3)</f>
        <v>2.2050000000000001</v>
      </c>
      <c r="AB334" s="1">
        <f>ROUND(VLOOKUP(X334,'Base de dados'!A:B, 2, 0)*AA334, 2)</f>
        <v>0.22</v>
      </c>
      <c r="AC334" s="1">
        <f>ROUND((AA334*(Destino!AG334/100))*(W334/100),2)</f>
        <v>0.15</v>
      </c>
      <c r="AD334" s="1">
        <f>ROUND(AA334*(Destino!AH334/100),2)</f>
        <v>0</v>
      </c>
      <c r="AE334" s="1">
        <f>ROUND((((AA334+AB334)*1.48)*(Destino!AI334/100))-AC334,2)</f>
        <v>0.46</v>
      </c>
      <c r="AF334" s="1">
        <f>ROUND((AA334+AB334+AE334)*(J334/100),2)</f>
        <v>0.09</v>
      </c>
      <c r="AG334" s="1">
        <f>ROUND(AA334*T334,2)</f>
        <v>0</v>
      </c>
      <c r="AH334" s="1">
        <f>ROUND(AA334+AB334-AD334+AE334+AF334+AG334, 3)</f>
        <v>2.9750000000000001</v>
      </c>
      <c r="AI334" s="1">
        <f>AH334*M334*K334</f>
        <v>11.9</v>
      </c>
      <c r="BA334" s="1" t="s">
        <v>11311</v>
      </c>
      <c r="BB334" s="1">
        <f>AI334</f>
        <v>11.9</v>
      </c>
      <c r="BC334" s="1" t="s">
        <v>11419</v>
      </c>
      <c r="BD334" s="1">
        <f>N334</f>
        <v>1</v>
      </c>
    </row>
    <row r="335" spans="1:56" x14ac:dyDescent="0.25">
      <c r="A335" s="1">
        <v>600001850</v>
      </c>
      <c r="B335" s="1">
        <v>1000</v>
      </c>
      <c r="C335" s="1">
        <v>2200001473</v>
      </c>
      <c r="D335" s="1" t="s">
        <v>303</v>
      </c>
      <c r="E335" s="1">
        <f>IF(AND(B335&lt;&gt;1110,B335&lt;&gt;1210,B335&lt;&gt;1510,B335&lt;&gt;1710),B335,IF(B335=1110,"1100",IF(B335=1210,"1200",IF(B335=1510,"1500",IF(B335=1710,"1700","X")))))</f>
        <v>1000</v>
      </c>
      <c r="F335" s="1" t="s">
        <v>11198</v>
      </c>
      <c r="G335" s="1" t="s">
        <v>302</v>
      </c>
      <c r="H335" s="1">
        <f>ROUND(P335/(1-((R335+S335))/100)*Q335, 3)</f>
        <v>570.21500000000003</v>
      </c>
      <c r="I335" s="1">
        <v>0.45</v>
      </c>
      <c r="J335" s="1">
        <v>1.5</v>
      </c>
      <c r="K335" s="1">
        <v>1</v>
      </c>
      <c r="L335" s="1" t="s">
        <v>292</v>
      </c>
      <c r="M335" s="1">
        <v>1</v>
      </c>
      <c r="N335" s="1">
        <v>1</v>
      </c>
      <c r="O335" s="1" t="s">
        <v>296</v>
      </c>
      <c r="P335" s="1">
        <v>449.04399999999998</v>
      </c>
      <c r="Q335" s="1">
        <v>1</v>
      </c>
      <c r="R335" s="1">
        <v>12</v>
      </c>
      <c r="S335" s="1">
        <v>9.25</v>
      </c>
      <c r="T335" s="1">
        <v>0</v>
      </c>
      <c r="V335" s="1" t="s">
        <v>11223</v>
      </c>
      <c r="W335" s="1">
        <v>100</v>
      </c>
      <c r="X335" s="1" t="s">
        <v>298</v>
      </c>
      <c r="Y335" s="1" t="s">
        <v>299</v>
      </c>
      <c r="Z335" s="1">
        <v>1</v>
      </c>
      <c r="AA335" s="1">
        <f>ROUND(H335*I335*Z335, 3)</f>
        <v>256.59699999999998</v>
      </c>
      <c r="AB335" s="1">
        <f>ROUND(VLOOKUP(X335,'Base de dados'!A:B, 2, 0)*AA335, 2)</f>
        <v>25.66</v>
      </c>
      <c r="AC335" s="1">
        <f>ROUND((AA335*(Destino!AG335/100))*(W335/100),2)</f>
        <v>30.79</v>
      </c>
      <c r="AD335" s="1">
        <f>ROUND(AA335*(Destino!AH335/100),2)</f>
        <v>23.74</v>
      </c>
      <c r="AF335" s="1">
        <f>ROUND((AA335+ AB335)*(J335/100),2)</f>
        <v>4.2300000000000004</v>
      </c>
      <c r="AG335" s="1">
        <f>ROUND(AA335*T335,2)</f>
        <v>0</v>
      </c>
      <c r="AH335" s="1">
        <f>ROUND(AA335-(AC335+AD335)+AF335+AG335, 3)</f>
        <v>206.297</v>
      </c>
      <c r="AI335" s="1">
        <f>AH335*M335*K335</f>
        <v>206.297</v>
      </c>
      <c r="BA335" s="1" t="s">
        <v>11657</v>
      </c>
      <c r="BB335" s="1">
        <f>AI335</f>
        <v>206.297</v>
      </c>
      <c r="BD335" s="1">
        <f>N335</f>
        <v>1</v>
      </c>
    </row>
    <row r="336" spans="1:56" x14ac:dyDescent="0.25">
      <c r="A336" s="1">
        <v>600001850</v>
      </c>
      <c r="B336" s="1">
        <v>1100</v>
      </c>
      <c r="C336" s="1">
        <v>2200001473</v>
      </c>
      <c r="D336" s="1" t="s">
        <v>303</v>
      </c>
      <c r="E336" s="1">
        <f>IF(AND(B336&lt;&gt;1110,B336&lt;&gt;1210,B336&lt;&gt;1510,B336&lt;&gt;1710),B336,IF(B336=1110,"1100",IF(B336=1210,"1200",IF(B336=1510,"1500",IF(B336=1710,"1700","X")))))</f>
        <v>1100</v>
      </c>
      <c r="F336" s="1" t="s">
        <v>11198</v>
      </c>
      <c r="G336" s="1" t="s">
        <v>302</v>
      </c>
      <c r="H336" s="1">
        <f>ROUND(P336/(1-((R336+S336))/100)*Q336, 3)</f>
        <v>536.16999999999996</v>
      </c>
      <c r="I336" s="1">
        <v>0.45</v>
      </c>
      <c r="J336" s="1">
        <v>2</v>
      </c>
      <c r="K336" s="1">
        <v>1</v>
      </c>
      <c r="L336" s="1" t="s">
        <v>292</v>
      </c>
      <c r="M336" s="1">
        <v>1</v>
      </c>
      <c r="N336" s="1">
        <v>1</v>
      </c>
      <c r="O336" s="1" t="s">
        <v>296</v>
      </c>
      <c r="P336" s="1">
        <v>449.04199999999997</v>
      </c>
      <c r="Q336" s="1">
        <v>1</v>
      </c>
      <c r="R336" s="1">
        <v>7</v>
      </c>
      <c r="S336" s="1">
        <v>9.25</v>
      </c>
      <c r="T336" s="1">
        <v>0</v>
      </c>
      <c r="V336" s="1" t="s">
        <v>11223</v>
      </c>
      <c r="W336" s="1">
        <v>100</v>
      </c>
      <c r="X336" s="1" t="s">
        <v>298</v>
      </c>
      <c r="Y336" s="1" t="s">
        <v>299</v>
      </c>
      <c r="Z336" s="1">
        <v>1</v>
      </c>
      <c r="AA336" s="1">
        <f>ROUND(H336*I336*Z336, 3)</f>
        <v>241.27699999999999</v>
      </c>
      <c r="AB336" s="1">
        <f>ROUND(VLOOKUP(X336,'Base de dados'!A:B, 2, 0)*AA336, 2)</f>
        <v>24.13</v>
      </c>
      <c r="AC336" s="1">
        <f>ROUND((AA336*(Destino!AG336/100))*(W336/100),2)</f>
        <v>16.89</v>
      </c>
      <c r="AD336" s="1">
        <f>ROUND(AA336*(Destino!AH336/100),2)</f>
        <v>22.32</v>
      </c>
      <c r="AF336" s="1">
        <f>ROUND((AA336+ AB336)*(J336/100),2)</f>
        <v>5.31</v>
      </c>
      <c r="AG336" s="1">
        <f>ROUND(AA336*T336,2)</f>
        <v>0</v>
      </c>
      <c r="AH336" s="1">
        <f>ROUND(AA336-(AC336+AD336)+AF336+AG336, 3)</f>
        <v>207.37700000000001</v>
      </c>
      <c r="AI336" s="1">
        <f>AH336*M336*K336</f>
        <v>207.37700000000001</v>
      </c>
      <c r="BA336" s="1" t="s">
        <v>11658</v>
      </c>
      <c r="BB336" s="1">
        <f>AI336</f>
        <v>207.37700000000001</v>
      </c>
      <c r="BD336" s="1">
        <f>N336</f>
        <v>1</v>
      </c>
    </row>
    <row r="337" spans="1:56" x14ac:dyDescent="0.25">
      <c r="A337" s="1">
        <v>600001850</v>
      </c>
      <c r="B337" s="1">
        <v>1110</v>
      </c>
      <c r="C337" s="1">
        <v>2200001473</v>
      </c>
      <c r="D337" s="1" t="s">
        <v>303</v>
      </c>
      <c r="E337" s="1" t="str">
        <f>IF(AND(B337&lt;&gt;1110,B337&lt;&gt;1210,B337&lt;&gt;1510,B337&lt;&gt;1710),B337,IF(B337=1110,"1100",IF(B337=1210,"1200",IF(B337=1510,"1500",IF(B337=1710,"1700","X")))))</f>
        <v>1100</v>
      </c>
      <c r="F337" s="1" t="s">
        <v>447</v>
      </c>
      <c r="G337" s="1" t="s">
        <v>302</v>
      </c>
      <c r="H337" s="1">
        <f>ROUND(P337/(1-((R337+S337))/100)*Q337, 3)</f>
        <v>536.16999999999996</v>
      </c>
      <c r="I337" s="1">
        <v>0.45</v>
      </c>
      <c r="J337" s="1">
        <v>4</v>
      </c>
      <c r="K337" s="1">
        <v>1</v>
      </c>
      <c r="L337" s="1" t="s">
        <v>292</v>
      </c>
      <c r="M337" s="1">
        <v>1</v>
      </c>
      <c r="N337" s="1">
        <v>0.75264299999999995</v>
      </c>
      <c r="O337" s="1" t="s">
        <v>296</v>
      </c>
      <c r="P337" s="1">
        <v>449.04199999999997</v>
      </c>
      <c r="Q337" s="1">
        <v>1</v>
      </c>
      <c r="R337" s="1">
        <v>7</v>
      </c>
      <c r="S337" s="1">
        <v>9.25</v>
      </c>
      <c r="T337" s="1">
        <v>0</v>
      </c>
      <c r="V337" s="1" t="s">
        <v>11223</v>
      </c>
      <c r="W337" s="1">
        <v>100</v>
      </c>
      <c r="X337" s="1" t="s">
        <v>298</v>
      </c>
      <c r="Y337" s="1" t="s">
        <v>299</v>
      </c>
      <c r="Z337" s="1">
        <v>1</v>
      </c>
      <c r="AA337" s="1">
        <f>ROUND(H337*I337*Z337, 3)</f>
        <v>241.27699999999999</v>
      </c>
      <c r="AB337" s="1">
        <f>ROUND(VLOOKUP(X337,'Base de dados'!A:B, 2, 0)*AA337, 2)</f>
        <v>24.13</v>
      </c>
      <c r="AC337" s="1">
        <f>ROUND((AA337*(Destino!AG337/100))*(W337/100),2)</f>
        <v>16.89</v>
      </c>
      <c r="AD337" s="1">
        <f>ROUND(AA337*(Destino!AH337/100),2)</f>
        <v>22.32</v>
      </c>
      <c r="AE337" s="1">
        <f>ROUND((((AA337+AB337)*1.5039)*(Destino!AI337/100))-AC337,2)</f>
        <v>50.96</v>
      </c>
      <c r="AF337" s="1">
        <f>ROUND((AA337+AB337+AE337)*(J337/100),2)</f>
        <v>12.65</v>
      </c>
      <c r="AG337" s="1">
        <f>ROUND(AA337*T337,2)</f>
        <v>0</v>
      </c>
      <c r="AH337" s="1">
        <f>ROUND(AA337-AD337+AE337+AF337+AG337, 3)</f>
        <v>282.56700000000001</v>
      </c>
      <c r="AI337" s="1">
        <f>AH337*M337*K337</f>
        <v>282.56700000000001</v>
      </c>
      <c r="BA337" s="1" t="s">
        <v>11659</v>
      </c>
      <c r="BB337" s="1">
        <f>AI337</f>
        <v>282.56700000000001</v>
      </c>
      <c r="BD337" s="1">
        <f>N337</f>
        <v>0.75264299999999995</v>
      </c>
    </row>
    <row r="338" spans="1:56" x14ac:dyDescent="0.25">
      <c r="A338" s="1">
        <v>600001850</v>
      </c>
      <c r="B338" s="1">
        <v>1400</v>
      </c>
      <c r="C338" s="1">
        <v>2200001473</v>
      </c>
      <c r="D338" s="1" t="s">
        <v>303</v>
      </c>
      <c r="E338" s="1">
        <f>IF(AND(B338&lt;&gt;1110,B338&lt;&gt;1210,B338&lt;&gt;1510,B338&lt;&gt;1710),B338,IF(B338=1110,"1100",IF(B338=1210,"1200",IF(B338=1510,"1500",IF(B338=1710,"1700","X")))))</f>
        <v>1400</v>
      </c>
      <c r="F338" s="1" t="s">
        <v>11198</v>
      </c>
      <c r="G338" s="1" t="s">
        <v>302</v>
      </c>
      <c r="H338" s="1">
        <f>ROUND(P338/(1-((R338+S338))/100)*Q338, 3)</f>
        <v>617.24</v>
      </c>
      <c r="I338" s="1">
        <v>0.45</v>
      </c>
      <c r="J338" s="1">
        <v>1.5</v>
      </c>
      <c r="K338" s="1">
        <v>1</v>
      </c>
      <c r="L338" s="1" t="s">
        <v>292</v>
      </c>
      <c r="M338" s="1">
        <v>1</v>
      </c>
      <c r="N338" s="1">
        <v>1</v>
      </c>
      <c r="O338" s="1" t="s">
        <v>296</v>
      </c>
      <c r="P338" s="1">
        <v>449.04199999999997</v>
      </c>
      <c r="Q338" s="1">
        <v>1</v>
      </c>
      <c r="R338" s="1">
        <v>18</v>
      </c>
      <c r="S338" s="1">
        <v>9.25</v>
      </c>
      <c r="T338" s="1">
        <v>0</v>
      </c>
      <c r="V338" s="1" t="s">
        <v>11223</v>
      </c>
      <c r="W338" s="1">
        <v>100</v>
      </c>
      <c r="X338" s="1" t="s">
        <v>298</v>
      </c>
      <c r="Y338" s="1" t="s">
        <v>299</v>
      </c>
      <c r="Z338" s="1">
        <v>1</v>
      </c>
      <c r="AA338" s="1">
        <f>ROUND(H338*I338*Z338, 3)</f>
        <v>277.75799999999998</v>
      </c>
      <c r="AB338" s="1">
        <f>ROUND(VLOOKUP(X338,'Base de dados'!A:B, 2, 0)*AA338, 2)</f>
        <v>27.78</v>
      </c>
      <c r="AC338" s="1">
        <f>ROUND((AA338*(Destino!AG338/100))*(W338/100),2)</f>
        <v>50</v>
      </c>
      <c r="AD338" s="1">
        <f>ROUND(AA338*(Destino!AH338/100),2)</f>
        <v>25.69</v>
      </c>
      <c r="AF338" s="1">
        <f>ROUND((AA338+ AB338)*(J338/100),2)</f>
        <v>4.58</v>
      </c>
      <c r="AG338" s="1">
        <f>ROUND(AA338*T338,2)</f>
        <v>0</v>
      </c>
      <c r="AH338" s="1">
        <f>ROUND(AA338-(AC338+AD338)+AF338+AG338, 3)</f>
        <v>206.648</v>
      </c>
      <c r="AI338" s="1">
        <f>AH338*M338*K338</f>
        <v>206.648</v>
      </c>
      <c r="BA338" s="1" t="s">
        <v>11420</v>
      </c>
      <c r="BB338" s="1">
        <f>AI338</f>
        <v>206.648</v>
      </c>
      <c r="BD338" s="1">
        <f>N338</f>
        <v>1</v>
      </c>
    </row>
    <row r="339" spans="1:56" x14ac:dyDescent="0.25">
      <c r="A339" s="1">
        <v>600001850</v>
      </c>
      <c r="B339" s="1">
        <v>1700</v>
      </c>
      <c r="C339" s="1">
        <v>2200001421</v>
      </c>
      <c r="D339" s="1" t="s">
        <v>303</v>
      </c>
      <c r="E339" s="1">
        <f>IF(AND(B339&lt;&gt;1110,B339&lt;&gt;1210,B339&lt;&gt;1510,B339&lt;&gt;1710),B339,IF(B339=1110,"1100",IF(B339=1210,"1200",IF(B339=1510,"1500",IF(B339=1710,"1700","X")))))</f>
        <v>1700</v>
      </c>
      <c r="F339" s="1" t="s">
        <v>11238</v>
      </c>
      <c r="G339" s="1" t="s">
        <v>302</v>
      </c>
      <c r="H339" s="1">
        <f>ROUND(P339/(1-((R339+S339))/100)*Q339, 3)</f>
        <v>246.744</v>
      </c>
      <c r="I339" s="1">
        <v>0.25</v>
      </c>
      <c r="J339" s="1">
        <v>3</v>
      </c>
      <c r="K339" s="1">
        <v>1</v>
      </c>
      <c r="L339" s="1" t="s">
        <v>292</v>
      </c>
      <c r="M339" s="1">
        <v>4</v>
      </c>
      <c r="N339" s="1">
        <v>1</v>
      </c>
      <c r="O339" s="1" t="s">
        <v>296</v>
      </c>
      <c r="P339" s="1">
        <f>IFERROR(VLOOKUP(BC339, BA:BA:BB:BB, 2, 0),)</f>
        <v>206.648</v>
      </c>
      <c r="Q339" s="1">
        <f>IFERROR(VLOOKUP(BC339, BA:BA:BD:BD, 4, 0),1)</f>
        <v>1</v>
      </c>
      <c r="R339" s="1">
        <v>7</v>
      </c>
      <c r="S339" s="1">
        <v>9.25</v>
      </c>
      <c r="T339" s="1">
        <v>0</v>
      </c>
      <c r="V339" s="1" t="s">
        <v>11223</v>
      </c>
      <c r="W339" s="1">
        <v>100</v>
      </c>
      <c r="X339" s="1" t="s">
        <v>298</v>
      </c>
      <c r="Y339" s="1" t="s">
        <v>299</v>
      </c>
      <c r="Z339" s="1">
        <v>1</v>
      </c>
      <c r="AA339" s="1">
        <f>ROUND(H339*I339*Z339, 3)</f>
        <v>61.686</v>
      </c>
      <c r="AB339" s="1">
        <f>ROUND(VLOOKUP(X339,'Base de dados'!A:B, 2, 0)*AA339, 2)</f>
        <v>6.17</v>
      </c>
      <c r="AC339" s="1">
        <f>ROUND((AA339*(Destino!AG339/100))*(W339/100),2)</f>
        <v>4.32</v>
      </c>
      <c r="AD339" s="1">
        <f>ROUND(AA339*(Destino!AH339/100),2)</f>
        <v>0</v>
      </c>
      <c r="AE339" s="1">
        <f>ROUND((((AA339+AB339)*1.48)*(Destino!AI339/100))-AC339,2)</f>
        <v>12.75</v>
      </c>
      <c r="AF339" s="1">
        <f>ROUND((AA339+AB339+AE339)*(J339/100),2)</f>
        <v>2.42</v>
      </c>
      <c r="AG339" s="1">
        <f>ROUND(AA339*T339,2)</f>
        <v>0</v>
      </c>
      <c r="AH339" s="1">
        <f>ROUND(AA339+AB339-AD339+AE339+AF339+AG339, 3)</f>
        <v>83.025999999999996</v>
      </c>
      <c r="AI339" s="1">
        <f>AH339*M339*K339</f>
        <v>332.10399999999998</v>
      </c>
      <c r="BA339" s="1" t="s">
        <v>11312</v>
      </c>
      <c r="BB339" s="1">
        <f>AI339</f>
        <v>332.10399999999998</v>
      </c>
      <c r="BC339" s="1" t="s">
        <v>11420</v>
      </c>
      <c r="BD339" s="1">
        <f>N339</f>
        <v>1</v>
      </c>
    </row>
    <row r="340" spans="1:56" x14ac:dyDescent="0.25">
      <c r="A340" s="1">
        <v>600002346</v>
      </c>
      <c r="B340" s="1">
        <v>1000</v>
      </c>
      <c r="C340" s="1">
        <v>2200001473</v>
      </c>
      <c r="D340" s="1" t="s">
        <v>303</v>
      </c>
      <c r="E340" s="1">
        <f>IF(AND(B340&lt;&gt;1110,B340&lt;&gt;1210,B340&lt;&gt;1510,B340&lt;&gt;1710),B340,IF(B340=1110,"1100",IF(B340=1210,"1200",IF(B340=1510,"1500",IF(B340=1710,"1700","X")))))</f>
        <v>1000</v>
      </c>
      <c r="F340" s="1" t="s">
        <v>11198</v>
      </c>
      <c r="G340" s="1" t="s">
        <v>302</v>
      </c>
      <c r="H340" s="1">
        <f>ROUND(P340/(1-((R340+S340))/100)*Q340, 3)</f>
        <v>15.035</v>
      </c>
      <c r="I340" s="1">
        <v>0.45</v>
      </c>
      <c r="J340" s="1">
        <v>1.5</v>
      </c>
      <c r="K340" s="1">
        <v>1</v>
      </c>
      <c r="L340" s="1" t="s">
        <v>292</v>
      </c>
      <c r="M340" s="1">
        <v>1</v>
      </c>
      <c r="N340" s="1">
        <v>1</v>
      </c>
      <c r="O340" s="1" t="s">
        <v>296</v>
      </c>
      <c r="P340" s="1">
        <v>11.84</v>
      </c>
      <c r="Q340" s="1">
        <v>1</v>
      </c>
      <c r="R340" s="1">
        <v>12</v>
      </c>
      <c r="S340" s="1">
        <v>9.25</v>
      </c>
      <c r="T340" s="1">
        <v>0</v>
      </c>
      <c r="V340" s="1" t="s">
        <v>11223</v>
      </c>
      <c r="W340" s="1">
        <v>100</v>
      </c>
      <c r="X340" s="1" t="s">
        <v>319</v>
      </c>
      <c r="Y340" s="1" t="s">
        <v>299</v>
      </c>
      <c r="Z340" s="1">
        <v>1</v>
      </c>
      <c r="AA340" s="1">
        <f>ROUND(H340*I340*Z340, 3)</f>
        <v>6.766</v>
      </c>
      <c r="AB340" s="1">
        <f>ROUND(VLOOKUP(X340,'Base de dados'!A:B, 2, 0)*AA340, 2)</f>
        <v>0.68</v>
      </c>
      <c r="AC340" s="1">
        <f>ROUND((AA340*(Destino!AG340/100))*(W340/100),2)</f>
        <v>0.81</v>
      </c>
      <c r="AD340" s="1">
        <f>ROUND(AA340*(Destino!AH340/100),2)</f>
        <v>0.63</v>
      </c>
      <c r="AF340" s="1">
        <f>ROUND((AA340+ AB340)*(J340/100),2)</f>
        <v>0.11</v>
      </c>
      <c r="AG340" s="1">
        <f>ROUND(AA340*T340,2)</f>
        <v>0</v>
      </c>
      <c r="AH340" s="1">
        <f>ROUND(AA340-(AC340+AD340)+AF340+AG340, 3)</f>
        <v>5.4359999999999999</v>
      </c>
      <c r="AI340" s="1">
        <f>AH340*M340*K340</f>
        <v>5.4359999999999999</v>
      </c>
      <c r="BA340" s="1" t="s">
        <v>11660</v>
      </c>
      <c r="BB340" s="1">
        <f>AI340</f>
        <v>5.4359999999999999</v>
      </c>
      <c r="BD340" s="1">
        <f>N340</f>
        <v>1</v>
      </c>
    </row>
    <row r="341" spans="1:56" x14ac:dyDescent="0.25">
      <c r="A341" s="1">
        <v>600002346</v>
      </c>
      <c r="B341" s="1">
        <v>1100</v>
      </c>
      <c r="C341" s="1">
        <v>2200001473</v>
      </c>
      <c r="D341" s="1" t="s">
        <v>303</v>
      </c>
      <c r="E341" s="1">
        <f>IF(AND(B341&lt;&gt;1110,B341&lt;&gt;1210,B341&lt;&gt;1510,B341&lt;&gt;1710),B341,IF(B341=1110,"1100",IF(B341=1210,"1200",IF(B341=1510,"1500",IF(B341=1710,"1700","X")))))</f>
        <v>1100</v>
      </c>
      <c r="F341" s="1" t="s">
        <v>11198</v>
      </c>
      <c r="G341" s="1" t="s">
        <v>302</v>
      </c>
      <c r="H341" s="1">
        <f>ROUND(P341/(1-((R341+S341))/100)*Q341, 3)</f>
        <v>14.141999999999999</v>
      </c>
      <c r="I341" s="1">
        <v>0.45</v>
      </c>
      <c r="J341" s="1">
        <v>2</v>
      </c>
      <c r="K341" s="1">
        <v>1</v>
      </c>
      <c r="L341" s="1" t="s">
        <v>292</v>
      </c>
      <c r="M341" s="1">
        <v>1</v>
      </c>
      <c r="N341" s="1">
        <v>1</v>
      </c>
      <c r="O341" s="1" t="s">
        <v>296</v>
      </c>
      <c r="P341" s="1">
        <v>11.843999999999999</v>
      </c>
      <c r="Q341" s="1">
        <v>1</v>
      </c>
      <c r="R341" s="1">
        <v>7</v>
      </c>
      <c r="S341" s="1">
        <v>9.25</v>
      </c>
      <c r="T341" s="1">
        <v>0</v>
      </c>
      <c r="V341" s="1" t="s">
        <v>11223</v>
      </c>
      <c r="W341" s="1">
        <v>100</v>
      </c>
      <c r="X341" s="1" t="s">
        <v>319</v>
      </c>
      <c r="Y341" s="1" t="s">
        <v>299</v>
      </c>
      <c r="Z341" s="1">
        <v>1</v>
      </c>
      <c r="AA341" s="1">
        <f>ROUND(H341*I341*Z341, 3)</f>
        <v>6.3639999999999999</v>
      </c>
      <c r="AB341" s="1">
        <f>ROUND(VLOOKUP(X341,'Base de dados'!A:B, 2, 0)*AA341, 2)</f>
        <v>0.64</v>
      </c>
      <c r="AC341" s="1">
        <f>ROUND((AA341*(Destino!AG341/100))*(W341/100),2)</f>
        <v>0.45</v>
      </c>
      <c r="AD341" s="1">
        <f>ROUND(AA341*(Destino!AH341/100),2)</f>
        <v>0.59</v>
      </c>
      <c r="AF341" s="1">
        <f>ROUND((AA341+ AB341)*(J341/100),2)</f>
        <v>0.14000000000000001</v>
      </c>
      <c r="AG341" s="1">
        <f>ROUND(AA341*T341,2)</f>
        <v>0</v>
      </c>
      <c r="AH341" s="1">
        <f>ROUND(AA341-(AC341+AD341)+AF341+AG341, 3)</f>
        <v>5.4640000000000004</v>
      </c>
      <c r="AI341" s="1">
        <f>AH341*M341*K341</f>
        <v>5.4640000000000004</v>
      </c>
      <c r="BA341" s="1" t="s">
        <v>11661</v>
      </c>
      <c r="BB341" s="1">
        <f>AI341</f>
        <v>5.4640000000000004</v>
      </c>
      <c r="BD341" s="1">
        <f>N341</f>
        <v>1</v>
      </c>
    </row>
    <row r="342" spans="1:56" x14ac:dyDescent="0.25">
      <c r="A342" s="1">
        <v>600002346</v>
      </c>
      <c r="B342" s="1">
        <v>1110</v>
      </c>
      <c r="C342" s="1">
        <v>2200001473</v>
      </c>
      <c r="D342" s="1" t="s">
        <v>303</v>
      </c>
      <c r="E342" s="1" t="str">
        <f>IF(AND(B342&lt;&gt;1110,B342&lt;&gt;1210,B342&lt;&gt;1510,B342&lt;&gt;1710),B342,IF(B342=1110,"1100",IF(B342=1210,"1200",IF(B342=1510,"1500",IF(B342=1710,"1700","X")))))</f>
        <v>1100</v>
      </c>
      <c r="F342" s="1" t="s">
        <v>447</v>
      </c>
      <c r="G342" s="1" t="s">
        <v>302</v>
      </c>
      <c r="H342" s="1">
        <f>ROUND(P342/(1-((R342+S342))/100)*Q342, 3)</f>
        <v>14.141999999999999</v>
      </c>
      <c r="I342" s="1">
        <v>0.45</v>
      </c>
      <c r="J342" s="1">
        <v>4</v>
      </c>
      <c r="K342" s="1">
        <v>1</v>
      </c>
      <c r="L342" s="1" t="s">
        <v>292</v>
      </c>
      <c r="M342" s="1">
        <v>1</v>
      </c>
      <c r="N342" s="1">
        <v>0.754494</v>
      </c>
      <c r="O342" s="1" t="s">
        <v>296</v>
      </c>
      <c r="P342" s="1">
        <v>11.843999999999999</v>
      </c>
      <c r="Q342" s="1">
        <v>1</v>
      </c>
      <c r="R342" s="1">
        <v>7</v>
      </c>
      <c r="S342" s="1">
        <v>9.25</v>
      </c>
      <c r="T342" s="1">
        <v>0</v>
      </c>
      <c r="V342" s="1" t="s">
        <v>11223</v>
      </c>
      <c r="W342" s="1">
        <v>100</v>
      </c>
      <c r="X342" s="1" t="s">
        <v>319</v>
      </c>
      <c r="Y342" s="1" t="s">
        <v>299</v>
      </c>
      <c r="Z342" s="1">
        <v>1</v>
      </c>
      <c r="AA342" s="1">
        <f>ROUND(H342*I342*Z342, 3)</f>
        <v>6.3639999999999999</v>
      </c>
      <c r="AB342" s="1">
        <f>ROUND(VLOOKUP(X342,'Base de dados'!A:B, 2, 0)*AA342, 2)</f>
        <v>0.64</v>
      </c>
      <c r="AC342" s="1">
        <f>ROUND((AA342*(Destino!AG342/100))*(W342/100),2)</f>
        <v>0.45</v>
      </c>
      <c r="AD342" s="1">
        <f>ROUND(AA342*(Destino!AH342/100),2)</f>
        <v>0.59</v>
      </c>
      <c r="AE342" s="1">
        <f>ROUND((((AA342+AB342)*1.5039)*(Destino!AI342/100))-AC342,2)</f>
        <v>1.34</v>
      </c>
      <c r="AF342" s="1">
        <f>ROUND((AA342+AB342+AE342)*(J342/100),2)</f>
        <v>0.33</v>
      </c>
      <c r="AG342" s="1">
        <f>ROUND(AA342*T342,2)</f>
        <v>0</v>
      </c>
      <c r="AH342" s="1">
        <f>ROUND(AA342-AD342+AE342+AF342+AG342, 3)</f>
        <v>7.444</v>
      </c>
      <c r="AI342" s="1">
        <f>AH342*M342*K342</f>
        <v>7.444</v>
      </c>
      <c r="BA342" s="1" t="s">
        <v>11662</v>
      </c>
      <c r="BB342" s="1">
        <f>AI342</f>
        <v>7.444</v>
      </c>
      <c r="BD342" s="1">
        <f>N342</f>
        <v>0.754494</v>
      </c>
    </row>
    <row r="343" spans="1:56" x14ac:dyDescent="0.25">
      <c r="A343" s="1">
        <v>600002346</v>
      </c>
      <c r="B343" s="1">
        <v>1400</v>
      </c>
      <c r="C343" s="1">
        <v>2200001473</v>
      </c>
      <c r="D343" s="1" t="s">
        <v>303</v>
      </c>
      <c r="E343" s="1">
        <f>IF(AND(B343&lt;&gt;1110,B343&lt;&gt;1210,B343&lt;&gt;1510,B343&lt;&gt;1710),B343,IF(B343=1110,"1100",IF(B343=1210,"1200",IF(B343=1510,"1500",IF(B343=1710,"1700","X")))))</f>
        <v>1400</v>
      </c>
      <c r="F343" s="1" t="s">
        <v>11198</v>
      </c>
      <c r="G343" s="1" t="s">
        <v>302</v>
      </c>
      <c r="H343" s="1">
        <f>ROUND(P343/(1-((R343+S343))/100)*Q343, 3)</f>
        <v>16.28</v>
      </c>
      <c r="I343" s="1">
        <v>0.45</v>
      </c>
      <c r="J343" s="1">
        <v>1.5</v>
      </c>
      <c r="K343" s="1">
        <v>1</v>
      </c>
      <c r="L343" s="1" t="s">
        <v>292</v>
      </c>
      <c r="M343" s="1">
        <v>1</v>
      </c>
      <c r="N343" s="1">
        <v>1</v>
      </c>
      <c r="O343" s="1" t="s">
        <v>296</v>
      </c>
      <c r="P343" s="1">
        <v>11.843999999999999</v>
      </c>
      <c r="Q343" s="1">
        <v>1</v>
      </c>
      <c r="R343" s="1">
        <v>18</v>
      </c>
      <c r="S343" s="1">
        <v>9.25</v>
      </c>
      <c r="T343" s="1">
        <v>0</v>
      </c>
      <c r="V343" s="1" t="s">
        <v>11223</v>
      </c>
      <c r="W343" s="1">
        <v>100</v>
      </c>
      <c r="X343" s="1" t="s">
        <v>319</v>
      </c>
      <c r="Y343" s="1" t="s">
        <v>299</v>
      </c>
      <c r="Z343" s="1">
        <v>1</v>
      </c>
      <c r="AA343" s="1">
        <f>ROUND(H343*I343*Z343, 3)</f>
        <v>7.3259999999999996</v>
      </c>
      <c r="AB343" s="1">
        <f>ROUND(VLOOKUP(X343,'Base de dados'!A:B, 2, 0)*AA343, 2)</f>
        <v>0.73</v>
      </c>
      <c r="AC343" s="1">
        <f>ROUND((AA343*(Destino!AG343/100))*(W343/100),2)</f>
        <v>1.32</v>
      </c>
      <c r="AD343" s="1">
        <f>ROUND(AA343*(Destino!AH343/100),2)</f>
        <v>0.68</v>
      </c>
      <c r="AF343" s="1">
        <f>ROUND((AA343+ AB343)*(J343/100),2)</f>
        <v>0.12</v>
      </c>
      <c r="AG343" s="1">
        <f>ROUND(AA343*T343,2)</f>
        <v>0</v>
      </c>
      <c r="AH343" s="1">
        <f>ROUND(AA343-(AC343+AD343)+AF343+AG343, 3)</f>
        <v>5.4459999999999997</v>
      </c>
      <c r="AI343" s="1">
        <f>AH343*M343*K343</f>
        <v>5.4459999999999997</v>
      </c>
      <c r="BA343" s="1" t="s">
        <v>11421</v>
      </c>
      <c r="BB343" s="1">
        <f>AI343</f>
        <v>5.4459999999999997</v>
      </c>
      <c r="BD343" s="1">
        <f>N343</f>
        <v>1</v>
      </c>
    </row>
    <row r="344" spans="1:56" x14ac:dyDescent="0.25">
      <c r="A344" s="1">
        <v>600002346</v>
      </c>
      <c r="B344" s="1">
        <v>1700</v>
      </c>
      <c r="C344" s="1">
        <v>2200001421</v>
      </c>
      <c r="D344" s="1" t="s">
        <v>303</v>
      </c>
      <c r="E344" s="1">
        <f>IF(AND(B344&lt;&gt;1110,B344&lt;&gt;1210,B344&lt;&gt;1510,B344&lt;&gt;1710),B344,IF(B344=1110,"1100",IF(B344=1210,"1200",IF(B344=1510,"1500",IF(B344=1710,"1700","X")))))</f>
        <v>1700</v>
      </c>
      <c r="F344" s="1" t="s">
        <v>11238</v>
      </c>
      <c r="G344" s="1" t="s">
        <v>302</v>
      </c>
      <c r="H344" s="1">
        <f>ROUND(P344/(1-((R344+S344))/100)*Q344, 3)</f>
        <v>6.5030000000000001</v>
      </c>
      <c r="I344" s="1">
        <v>0.25</v>
      </c>
      <c r="J344" s="1">
        <v>3</v>
      </c>
      <c r="K344" s="1">
        <v>1</v>
      </c>
      <c r="L344" s="1" t="s">
        <v>292</v>
      </c>
      <c r="M344" s="1">
        <v>4</v>
      </c>
      <c r="N344" s="1">
        <v>1</v>
      </c>
      <c r="O344" s="1" t="s">
        <v>296</v>
      </c>
      <c r="P344" s="1">
        <f>IFERROR(VLOOKUP(BC344, BA:BA:BB:BB, 2, 0),)</f>
        <v>5.4459999999999997</v>
      </c>
      <c r="Q344" s="1">
        <f>IFERROR(VLOOKUP(BC344, BA:BA:BD:BD, 4, 0),1)</f>
        <v>1</v>
      </c>
      <c r="R344" s="1">
        <v>7</v>
      </c>
      <c r="S344" s="1">
        <v>9.25</v>
      </c>
      <c r="T344" s="1">
        <v>0</v>
      </c>
      <c r="V344" s="1" t="s">
        <v>11223</v>
      </c>
      <c r="W344" s="1">
        <v>100</v>
      </c>
      <c r="X344" s="1" t="s">
        <v>319</v>
      </c>
      <c r="Y344" s="1" t="s">
        <v>299</v>
      </c>
      <c r="Z344" s="1">
        <v>1</v>
      </c>
      <c r="AA344" s="1">
        <f>ROUND(H344*I344*Z344, 3)</f>
        <v>1.6259999999999999</v>
      </c>
      <c r="AB344" s="1">
        <f>ROUND(VLOOKUP(X344,'Base de dados'!A:B, 2, 0)*AA344, 2)</f>
        <v>0.16</v>
      </c>
      <c r="AC344" s="1">
        <f>ROUND((AA344*(Destino!AG344/100))*(W344/100),2)</f>
        <v>0.11</v>
      </c>
      <c r="AD344" s="1">
        <f>ROUND(AA344*(Destino!AH344/100),2)</f>
        <v>0</v>
      </c>
      <c r="AE344" s="1">
        <f>ROUND((((AA344+AB344)*1.48)*(Destino!AI344/100))-AC344,2)</f>
        <v>0.34</v>
      </c>
      <c r="AF344" s="1">
        <f>ROUND((AA344+AB344+AE344)*(J344/100),2)</f>
        <v>0.06</v>
      </c>
      <c r="AG344" s="1">
        <f>ROUND(AA344*T344,2)</f>
        <v>0</v>
      </c>
      <c r="AH344" s="1">
        <f>ROUND(AA344+AB344-AD344+AE344+AF344+AG344, 3)</f>
        <v>2.1859999999999999</v>
      </c>
      <c r="AI344" s="1">
        <f>AH344*M344*K344</f>
        <v>8.7439999999999998</v>
      </c>
      <c r="BA344" s="1" t="s">
        <v>11313</v>
      </c>
      <c r="BB344" s="1">
        <f>AI344</f>
        <v>8.7439999999999998</v>
      </c>
      <c r="BC344" s="1" t="s">
        <v>11421</v>
      </c>
      <c r="BD344" s="1">
        <f>N344</f>
        <v>1</v>
      </c>
    </row>
    <row r="345" spans="1:56" x14ac:dyDescent="0.25">
      <c r="A345" s="1">
        <v>600002347</v>
      </c>
      <c r="B345" s="1">
        <v>1000</v>
      </c>
      <c r="C345" s="1">
        <v>2200001473</v>
      </c>
      <c r="D345" s="1" t="s">
        <v>303</v>
      </c>
      <c r="E345" s="1">
        <f>IF(AND(B345&lt;&gt;1110,B345&lt;&gt;1210,B345&lt;&gt;1510,B345&lt;&gt;1710),B345,IF(B345=1110,"1100",IF(B345=1210,"1200",IF(B345=1510,"1500",IF(B345=1710,"1700","X")))))</f>
        <v>1000</v>
      </c>
      <c r="F345" s="1" t="s">
        <v>11198</v>
      </c>
      <c r="G345" s="1" t="s">
        <v>302</v>
      </c>
      <c r="H345" s="1">
        <f>ROUND(P345/(1-((R345+S345))/100)*Q345, 3)</f>
        <v>137.012</v>
      </c>
      <c r="I345" s="1">
        <v>0.45</v>
      </c>
      <c r="J345" s="1">
        <v>1.5</v>
      </c>
      <c r="K345" s="1">
        <v>1</v>
      </c>
      <c r="L345" s="1" t="s">
        <v>292</v>
      </c>
      <c r="M345" s="1">
        <v>1</v>
      </c>
      <c r="N345" s="1">
        <v>1</v>
      </c>
      <c r="O345" s="1" t="s">
        <v>296</v>
      </c>
      <c r="P345" s="1">
        <v>107.89700000000001</v>
      </c>
      <c r="Q345" s="1">
        <v>1</v>
      </c>
      <c r="R345" s="1">
        <v>12</v>
      </c>
      <c r="S345" s="1">
        <v>9.25</v>
      </c>
      <c r="T345" s="1">
        <v>0</v>
      </c>
      <c r="V345" s="1" t="s">
        <v>11223</v>
      </c>
      <c r="W345" s="1">
        <v>100</v>
      </c>
      <c r="X345" s="1" t="s">
        <v>298</v>
      </c>
      <c r="Y345" s="1" t="s">
        <v>299</v>
      </c>
      <c r="Z345" s="1">
        <v>1</v>
      </c>
      <c r="AA345" s="1">
        <f>ROUND(H345*I345*Z345, 3)</f>
        <v>61.655000000000001</v>
      </c>
      <c r="AB345" s="1">
        <f>ROUND(VLOOKUP(X345,'Base de dados'!A:B, 2, 0)*AA345, 2)</f>
        <v>6.17</v>
      </c>
      <c r="AC345" s="1">
        <f>ROUND((AA345*(Destino!AG345/100))*(W345/100),2)</f>
        <v>7.4</v>
      </c>
      <c r="AD345" s="1">
        <f>ROUND(AA345*(Destino!AH345/100),2)</f>
        <v>5.7</v>
      </c>
      <c r="AF345" s="1">
        <f>ROUND((AA345+ AB345)*(J345/100),2)</f>
        <v>1.02</v>
      </c>
      <c r="AG345" s="1">
        <f>ROUND(AA345*T345,2)</f>
        <v>0</v>
      </c>
      <c r="AH345" s="1">
        <f>ROUND(AA345-(AC345+AD345)+AF345+AG345, 3)</f>
        <v>49.575000000000003</v>
      </c>
      <c r="AI345" s="1">
        <f>AH345*M345*K345</f>
        <v>49.575000000000003</v>
      </c>
      <c r="BA345" s="1" t="s">
        <v>11663</v>
      </c>
      <c r="BB345" s="1">
        <f>AI345</f>
        <v>49.575000000000003</v>
      </c>
      <c r="BD345" s="1">
        <f>N345</f>
        <v>1</v>
      </c>
    </row>
    <row r="346" spans="1:56" x14ac:dyDescent="0.25">
      <c r="A346" s="1">
        <v>600002347</v>
      </c>
      <c r="B346" s="1">
        <v>1100</v>
      </c>
      <c r="C346" s="1">
        <v>2200001473</v>
      </c>
      <c r="D346" s="1" t="s">
        <v>303</v>
      </c>
      <c r="E346" s="1">
        <f>IF(AND(B346&lt;&gt;1110,B346&lt;&gt;1210,B346&lt;&gt;1510,B346&lt;&gt;1710),B346,IF(B346=1110,"1100",IF(B346=1210,"1200",IF(B346=1510,"1500",IF(B346=1710,"1700","X")))))</f>
        <v>1100</v>
      </c>
      <c r="F346" s="1" t="s">
        <v>11198</v>
      </c>
      <c r="G346" s="1" t="s">
        <v>302</v>
      </c>
      <c r="H346" s="1">
        <f>ROUND(P346/(1-((R346+S346))/100)*Q346, 3)</f>
        <v>128.83099999999999</v>
      </c>
      <c r="I346" s="1">
        <v>0.45</v>
      </c>
      <c r="J346" s="1">
        <v>2</v>
      </c>
      <c r="K346" s="1">
        <v>1</v>
      </c>
      <c r="L346" s="1" t="s">
        <v>292</v>
      </c>
      <c r="M346" s="1">
        <v>1</v>
      </c>
      <c r="N346" s="1">
        <v>1</v>
      </c>
      <c r="O346" s="1" t="s">
        <v>296</v>
      </c>
      <c r="P346" s="1">
        <v>107.896</v>
      </c>
      <c r="Q346" s="1">
        <v>1</v>
      </c>
      <c r="R346" s="1">
        <v>7</v>
      </c>
      <c r="S346" s="1">
        <v>9.25</v>
      </c>
      <c r="T346" s="1">
        <v>0</v>
      </c>
      <c r="V346" s="1" t="s">
        <v>11223</v>
      </c>
      <c r="W346" s="1">
        <v>100</v>
      </c>
      <c r="X346" s="1" t="s">
        <v>298</v>
      </c>
      <c r="Y346" s="1" t="s">
        <v>299</v>
      </c>
      <c r="Z346" s="1">
        <v>1</v>
      </c>
      <c r="AA346" s="1">
        <f>ROUND(H346*I346*Z346, 3)</f>
        <v>57.973999999999997</v>
      </c>
      <c r="AB346" s="1">
        <f>ROUND(VLOOKUP(X346,'Base de dados'!A:B, 2, 0)*AA346, 2)</f>
        <v>5.8</v>
      </c>
      <c r="AC346" s="1">
        <f>ROUND((AA346*(Destino!AG346/100))*(W346/100),2)</f>
        <v>4.0599999999999996</v>
      </c>
      <c r="AD346" s="1">
        <f>ROUND(AA346*(Destino!AH346/100),2)</f>
        <v>5.36</v>
      </c>
      <c r="AF346" s="1">
        <f>ROUND((AA346+ AB346)*(J346/100),2)</f>
        <v>1.28</v>
      </c>
      <c r="AG346" s="1">
        <f>ROUND(AA346*T346,2)</f>
        <v>0</v>
      </c>
      <c r="AH346" s="1">
        <f>ROUND(AA346-(AC346+AD346)+AF346+AG346, 3)</f>
        <v>49.834000000000003</v>
      </c>
      <c r="AI346" s="1">
        <f>AH346*M346*K346</f>
        <v>49.834000000000003</v>
      </c>
      <c r="BA346" s="1" t="s">
        <v>11664</v>
      </c>
      <c r="BB346" s="1">
        <f>AI346</f>
        <v>49.834000000000003</v>
      </c>
      <c r="BD346" s="1">
        <f>N346</f>
        <v>1</v>
      </c>
    </row>
    <row r="347" spans="1:56" x14ac:dyDescent="0.25">
      <c r="A347" s="1">
        <v>600002347</v>
      </c>
      <c r="B347" s="1">
        <v>1110</v>
      </c>
      <c r="C347" s="1">
        <v>2200001473</v>
      </c>
      <c r="D347" s="1" t="s">
        <v>303</v>
      </c>
      <c r="E347" s="1" t="str">
        <f>IF(AND(B347&lt;&gt;1110,B347&lt;&gt;1210,B347&lt;&gt;1510,B347&lt;&gt;1710),B347,IF(B347=1110,"1100",IF(B347=1210,"1200",IF(B347=1510,"1500",IF(B347=1710,"1700","X")))))</f>
        <v>1100</v>
      </c>
      <c r="F347" s="1" t="s">
        <v>447</v>
      </c>
      <c r="G347" s="1" t="s">
        <v>302</v>
      </c>
      <c r="H347" s="1">
        <f>ROUND(P347/(1-((R347+S347))/100)*Q347, 3)</f>
        <v>128.83099999999999</v>
      </c>
      <c r="I347" s="1">
        <v>0.45</v>
      </c>
      <c r="J347" s="1">
        <v>4</v>
      </c>
      <c r="K347" s="1">
        <v>1</v>
      </c>
      <c r="L347" s="1" t="s">
        <v>292</v>
      </c>
      <c r="M347" s="1">
        <v>1</v>
      </c>
      <c r="N347" s="1">
        <v>0.75266599999999995</v>
      </c>
      <c r="O347" s="1" t="s">
        <v>296</v>
      </c>
      <c r="P347" s="1">
        <v>107.896</v>
      </c>
      <c r="Q347" s="1">
        <v>1</v>
      </c>
      <c r="R347" s="1">
        <v>7</v>
      </c>
      <c r="S347" s="1">
        <v>9.25</v>
      </c>
      <c r="T347" s="1">
        <v>0</v>
      </c>
      <c r="V347" s="1" t="s">
        <v>11223</v>
      </c>
      <c r="W347" s="1">
        <v>100</v>
      </c>
      <c r="X347" s="1" t="s">
        <v>298</v>
      </c>
      <c r="Y347" s="1" t="s">
        <v>299</v>
      </c>
      <c r="Z347" s="1">
        <v>1</v>
      </c>
      <c r="AA347" s="1">
        <f>ROUND(H347*I347*Z347, 3)</f>
        <v>57.973999999999997</v>
      </c>
      <c r="AB347" s="1">
        <f>ROUND(VLOOKUP(X347,'Base de dados'!A:B, 2, 0)*AA347, 2)</f>
        <v>5.8</v>
      </c>
      <c r="AC347" s="1">
        <f>ROUND((AA347*(Destino!AG347/100))*(W347/100),2)</f>
        <v>4.0599999999999996</v>
      </c>
      <c r="AD347" s="1">
        <f>ROUND(AA347*(Destino!AH347/100),2)</f>
        <v>5.36</v>
      </c>
      <c r="AE347" s="1">
        <f>ROUND((((AA347+AB347)*1.5039)*(Destino!AI347/100))-AC347,2)</f>
        <v>12.24</v>
      </c>
      <c r="AF347" s="1">
        <f>ROUND((AA347+AB347+AE347)*(J347/100),2)</f>
        <v>3.04</v>
      </c>
      <c r="AG347" s="1">
        <f>ROUND(AA347*T347,2)</f>
        <v>0</v>
      </c>
      <c r="AH347" s="1">
        <f>ROUND(AA347-AD347+AE347+AF347+AG347, 3)</f>
        <v>67.894000000000005</v>
      </c>
      <c r="AI347" s="1">
        <f>AH347*M347*K347</f>
        <v>67.894000000000005</v>
      </c>
      <c r="BA347" s="1" t="s">
        <v>11665</v>
      </c>
      <c r="BB347" s="1">
        <f>AI347</f>
        <v>67.894000000000005</v>
      </c>
      <c r="BD347" s="1">
        <f>N347</f>
        <v>0.75266599999999995</v>
      </c>
    </row>
    <row r="348" spans="1:56" x14ac:dyDescent="0.25">
      <c r="A348" s="1">
        <v>600002347</v>
      </c>
      <c r="B348" s="1">
        <v>1400</v>
      </c>
      <c r="C348" s="1">
        <v>2200001473</v>
      </c>
      <c r="D348" s="1" t="s">
        <v>303</v>
      </c>
      <c r="E348" s="1">
        <f>IF(AND(B348&lt;&gt;1110,B348&lt;&gt;1210,B348&lt;&gt;1510,B348&lt;&gt;1710),B348,IF(B348=1110,"1100",IF(B348=1210,"1200",IF(B348=1510,"1500",IF(B348=1710,"1700","X")))))</f>
        <v>1400</v>
      </c>
      <c r="F348" s="1" t="s">
        <v>11198</v>
      </c>
      <c r="G348" s="1" t="s">
        <v>302</v>
      </c>
      <c r="H348" s="1">
        <f>ROUND(P348/(1-((R348+S348))/100)*Q348, 3)</f>
        <v>148.31100000000001</v>
      </c>
      <c r="I348" s="1">
        <v>0.45</v>
      </c>
      <c r="J348" s="1">
        <v>1.5</v>
      </c>
      <c r="K348" s="1">
        <v>1</v>
      </c>
      <c r="L348" s="1" t="s">
        <v>292</v>
      </c>
      <c r="M348" s="1">
        <v>1</v>
      </c>
      <c r="N348" s="1">
        <v>1</v>
      </c>
      <c r="O348" s="1" t="s">
        <v>296</v>
      </c>
      <c r="P348" s="1">
        <v>107.896</v>
      </c>
      <c r="Q348" s="1">
        <v>1</v>
      </c>
      <c r="R348" s="1">
        <v>18</v>
      </c>
      <c r="S348" s="1">
        <v>9.25</v>
      </c>
      <c r="T348" s="1">
        <v>0</v>
      </c>
      <c r="V348" s="1" t="s">
        <v>11223</v>
      </c>
      <c r="W348" s="1">
        <v>100</v>
      </c>
      <c r="X348" s="1" t="s">
        <v>298</v>
      </c>
      <c r="Y348" s="1" t="s">
        <v>299</v>
      </c>
      <c r="Z348" s="1">
        <v>1</v>
      </c>
      <c r="AA348" s="1">
        <f>ROUND(H348*I348*Z348, 3)</f>
        <v>66.739999999999995</v>
      </c>
      <c r="AB348" s="1">
        <f>ROUND(VLOOKUP(X348,'Base de dados'!A:B, 2, 0)*AA348, 2)</f>
        <v>6.67</v>
      </c>
      <c r="AC348" s="1">
        <f>ROUND((AA348*(Destino!AG348/100))*(W348/100),2)</f>
        <v>12.01</v>
      </c>
      <c r="AD348" s="1">
        <f>ROUND(AA348*(Destino!AH348/100),2)</f>
        <v>6.17</v>
      </c>
      <c r="AF348" s="1">
        <f>ROUND((AA348+ AB348)*(J348/100),2)</f>
        <v>1.1000000000000001</v>
      </c>
      <c r="AG348" s="1">
        <f>ROUND(AA348*T348,2)</f>
        <v>0</v>
      </c>
      <c r="AH348" s="1">
        <f>ROUND(AA348-(AC348+AD348)+AF348+AG348, 3)</f>
        <v>49.66</v>
      </c>
      <c r="AI348" s="1">
        <f>AH348*M348*K348</f>
        <v>49.66</v>
      </c>
      <c r="BA348" s="1" t="s">
        <v>11422</v>
      </c>
      <c r="BB348" s="1">
        <f>AI348</f>
        <v>49.66</v>
      </c>
      <c r="BD348" s="1">
        <f>N348</f>
        <v>1</v>
      </c>
    </row>
    <row r="349" spans="1:56" x14ac:dyDescent="0.25">
      <c r="A349" s="1">
        <v>600002347</v>
      </c>
      <c r="B349" s="1">
        <v>1700</v>
      </c>
      <c r="C349" s="1">
        <v>2200001421</v>
      </c>
      <c r="D349" s="1" t="s">
        <v>303</v>
      </c>
      <c r="E349" s="1">
        <f>IF(AND(B349&lt;&gt;1110,B349&lt;&gt;1210,B349&lt;&gt;1510,B349&lt;&gt;1710),B349,IF(B349=1110,"1100",IF(B349=1210,"1200",IF(B349=1510,"1500",IF(B349=1710,"1700","X")))))</f>
        <v>1700</v>
      </c>
      <c r="F349" s="1" t="s">
        <v>11238</v>
      </c>
      <c r="G349" s="1" t="s">
        <v>302</v>
      </c>
      <c r="H349" s="1">
        <f>ROUND(P349/(1-((R349+S349))/100)*Q349, 3)</f>
        <v>59.295999999999999</v>
      </c>
      <c r="I349" s="1">
        <v>0.25</v>
      </c>
      <c r="J349" s="1">
        <v>3</v>
      </c>
      <c r="K349" s="1">
        <v>1</v>
      </c>
      <c r="L349" s="1" t="s">
        <v>292</v>
      </c>
      <c r="M349" s="1">
        <v>4</v>
      </c>
      <c r="N349" s="1">
        <v>1</v>
      </c>
      <c r="O349" s="1" t="s">
        <v>296</v>
      </c>
      <c r="P349" s="1">
        <f>IFERROR(VLOOKUP(BC349, BA:BA:BB:BB, 2, 0),)</f>
        <v>49.66</v>
      </c>
      <c r="Q349" s="1">
        <f>IFERROR(VLOOKUP(BC349, BA:BA:BD:BD, 4, 0),1)</f>
        <v>1</v>
      </c>
      <c r="R349" s="1">
        <v>7</v>
      </c>
      <c r="S349" s="1">
        <v>9.25</v>
      </c>
      <c r="T349" s="1">
        <v>0</v>
      </c>
      <c r="V349" s="1" t="s">
        <v>11223</v>
      </c>
      <c r="W349" s="1">
        <v>100</v>
      </c>
      <c r="X349" s="1" t="s">
        <v>298</v>
      </c>
      <c r="Y349" s="1" t="s">
        <v>299</v>
      </c>
      <c r="Z349" s="1">
        <v>1</v>
      </c>
      <c r="AA349" s="1">
        <f>ROUND(H349*I349*Z349, 3)</f>
        <v>14.824</v>
      </c>
      <c r="AB349" s="1">
        <f>ROUND(VLOOKUP(X349,'Base de dados'!A:B, 2, 0)*AA349, 2)</f>
        <v>1.48</v>
      </c>
      <c r="AC349" s="1">
        <f>ROUND((AA349*(Destino!AG349/100))*(W349/100),2)</f>
        <v>1.04</v>
      </c>
      <c r="AD349" s="1">
        <f>ROUND(AA349*(Destino!AH349/100),2)</f>
        <v>0</v>
      </c>
      <c r="AE349" s="1">
        <f>ROUND((((AA349+AB349)*1.48)*(Destino!AI349/100))-AC349,2)</f>
        <v>3.06</v>
      </c>
      <c r="AF349" s="1">
        <f>ROUND((AA349+AB349+AE349)*(J349/100),2)</f>
        <v>0.57999999999999996</v>
      </c>
      <c r="AG349" s="1">
        <f>ROUND(AA349*T349,2)</f>
        <v>0</v>
      </c>
      <c r="AH349" s="1">
        <f>ROUND(AA349+AB349-AD349+AE349+AF349+AG349, 3)</f>
        <v>19.943999999999999</v>
      </c>
      <c r="AI349" s="1">
        <f>AH349*M349*K349</f>
        <v>79.775999999999996</v>
      </c>
      <c r="BA349" s="1" t="s">
        <v>11314</v>
      </c>
      <c r="BB349" s="1">
        <f>AI349</f>
        <v>79.775999999999996</v>
      </c>
      <c r="BC349" s="1" t="s">
        <v>11422</v>
      </c>
      <c r="BD349" s="1">
        <f>N349</f>
        <v>1</v>
      </c>
    </row>
    <row r="350" spans="1:56" x14ac:dyDescent="0.25">
      <c r="A350" s="1">
        <v>600002360</v>
      </c>
      <c r="B350" s="1">
        <v>1000</v>
      </c>
      <c r="C350" s="1">
        <v>2200001473</v>
      </c>
      <c r="D350" s="1" t="s">
        <v>303</v>
      </c>
      <c r="E350" s="1">
        <f>IF(AND(B350&lt;&gt;1110,B350&lt;&gt;1210,B350&lt;&gt;1510,B350&lt;&gt;1710),B350,IF(B350=1110,"1100",IF(B350=1210,"1200",IF(B350=1510,"1500",IF(B350=1710,"1700","X")))))</f>
        <v>1000</v>
      </c>
      <c r="F350" s="1" t="s">
        <v>11198</v>
      </c>
      <c r="G350" s="1" t="s">
        <v>302</v>
      </c>
      <c r="H350" s="1">
        <f>ROUND(P350/(1-((R350+S350))/100)*Q350, 3)</f>
        <v>298.35199999999998</v>
      </c>
      <c r="I350" s="1">
        <v>0.45</v>
      </c>
      <c r="J350" s="1">
        <v>1.5</v>
      </c>
      <c r="K350" s="1">
        <v>1</v>
      </c>
      <c r="L350" s="1" t="s">
        <v>292</v>
      </c>
      <c r="M350" s="1">
        <v>1</v>
      </c>
      <c r="N350" s="1">
        <v>1</v>
      </c>
      <c r="O350" s="1" t="s">
        <v>296</v>
      </c>
      <c r="P350" s="1">
        <v>234.952</v>
      </c>
      <c r="Q350" s="1">
        <v>1</v>
      </c>
      <c r="R350" s="1">
        <v>12</v>
      </c>
      <c r="S350" s="1">
        <v>9.25</v>
      </c>
      <c r="T350" s="1">
        <v>0</v>
      </c>
      <c r="V350" s="1" t="s">
        <v>11223</v>
      </c>
      <c r="W350" s="1">
        <v>100</v>
      </c>
      <c r="X350" s="1" t="s">
        <v>298</v>
      </c>
      <c r="Y350" s="1" t="s">
        <v>299</v>
      </c>
      <c r="Z350" s="1">
        <v>1</v>
      </c>
      <c r="AA350" s="1">
        <f>ROUND(H350*I350*Z350, 3)</f>
        <v>134.25800000000001</v>
      </c>
      <c r="AB350" s="1">
        <f>ROUND(VLOOKUP(X350,'Base de dados'!A:B, 2, 0)*AA350, 2)</f>
        <v>13.43</v>
      </c>
      <c r="AC350" s="1">
        <f>ROUND((AA350*(Destino!AG350/100))*(W350/100),2)</f>
        <v>16.11</v>
      </c>
      <c r="AD350" s="1">
        <f>ROUND(AA350*(Destino!AH350/100),2)</f>
        <v>12.42</v>
      </c>
      <c r="AF350" s="1">
        <f>ROUND((AA350+ AB350)*(J350/100),2)</f>
        <v>2.2200000000000002</v>
      </c>
      <c r="AG350" s="1">
        <f>ROUND(AA350*T350,2)</f>
        <v>0</v>
      </c>
      <c r="AH350" s="1">
        <f>ROUND(AA350-(AC350+AD350)+AF350+AG350, 3)</f>
        <v>107.94799999999999</v>
      </c>
      <c r="AI350" s="1">
        <f>AH350*M350*K350</f>
        <v>107.94799999999999</v>
      </c>
      <c r="BA350" s="1" t="s">
        <v>11666</v>
      </c>
      <c r="BB350" s="1">
        <f>AI350</f>
        <v>107.94799999999999</v>
      </c>
      <c r="BD350" s="1">
        <f>N350</f>
        <v>1</v>
      </c>
    </row>
    <row r="351" spans="1:56" x14ac:dyDescent="0.25">
      <c r="A351" s="1">
        <v>600002360</v>
      </c>
      <c r="B351" s="1">
        <v>1100</v>
      </c>
      <c r="C351" s="1">
        <v>2200001473</v>
      </c>
      <c r="D351" s="1" t="s">
        <v>303</v>
      </c>
      <c r="E351" s="1">
        <f>IF(AND(B351&lt;&gt;1110,B351&lt;&gt;1210,B351&lt;&gt;1510,B351&lt;&gt;1710),B351,IF(B351=1110,"1100",IF(B351=1210,"1200",IF(B351=1510,"1500",IF(B351=1710,"1700","X")))))</f>
        <v>1100</v>
      </c>
      <c r="F351" s="1" t="s">
        <v>11198</v>
      </c>
      <c r="G351" s="1" t="s">
        <v>302</v>
      </c>
      <c r="H351" s="1">
        <f>ROUND(P351/(1-((R351+S351))/100)*Q351, 3)</f>
        <v>280.541</v>
      </c>
      <c r="I351" s="1">
        <v>0.45</v>
      </c>
      <c r="J351" s="1">
        <v>2</v>
      </c>
      <c r="K351" s="1">
        <v>1</v>
      </c>
      <c r="L351" s="1" t="s">
        <v>292</v>
      </c>
      <c r="M351" s="1">
        <v>1</v>
      </c>
      <c r="N351" s="1">
        <v>1</v>
      </c>
      <c r="O351" s="1" t="s">
        <v>296</v>
      </c>
      <c r="P351" s="1">
        <v>234.953</v>
      </c>
      <c r="Q351" s="1">
        <v>1</v>
      </c>
      <c r="R351" s="1">
        <v>7</v>
      </c>
      <c r="S351" s="1">
        <v>9.25</v>
      </c>
      <c r="T351" s="1">
        <v>0</v>
      </c>
      <c r="V351" s="1" t="s">
        <v>11223</v>
      </c>
      <c r="W351" s="1">
        <v>100</v>
      </c>
      <c r="X351" s="1" t="s">
        <v>298</v>
      </c>
      <c r="Y351" s="1" t="s">
        <v>299</v>
      </c>
      <c r="Z351" s="1">
        <v>1</v>
      </c>
      <c r="AA351" s="1">
        <f>ROUND(H351*I351*Z351, 3)</f>
        <v>126.24299999999999</v>
      </c>
      <c r="AB351" s="1">
        <f>ROUND(VLOOKUP(X351,'Base de dados'!A:B, 2, 0)*AA351, 2)</f>
        <v>12.62</v>
      </c>
      <c r="AC351" s="1">
        <f>ROUND((AA351*(Destino!AG351/100))*(W351/100),2)</f>
        <v>8.84</v>
      </c>
      <c r="AD351" s="1">
        <f>ROUND(AA351*(Destino!AH351/100),2)</f>
        <v>11.68</v>
      </c>
      <c r="AF351" s="1">
        <f>ROUND((AA351+ AB351)*(J351/100),2)</f>
        <v>2.78</v>
      </c>
      <c r="AG351" s="1">
        <f>ROUND(AA351*T351,2)</f>
        <v>0</v>
      </c>
      <c r="AH351" s="1">
        <f>ROUND(AA351-(AC351+AD351)+AF351+AG351, 3)</f>
        <v>108.503</v>
      </c>
      <c r="AI351" s="1">
        <f>AH351*M351*K351</f>
        <v>108.503</v>
      </c>
      <c r="BA351" s="1" t="s">
        <v>11667</v>
      </c>
      <c r="BB351" s="1">
        <f>AI351</f>
        <v>108.503</v>
      </c>
      <c r="BD351" s="1">
        <f>N351</f>
        <v>1</v>
      </c>
    </row>
    <row r="352" spans="1:56" x14ac:dyDescent="0.25">
      <c r="A352" s="1">
        <v>600002360</v>
      </c>
      <c r="B352" s="1">
        <v>1110</v>
      </c>
      <c r="C352" s="1">
        <v>2200001473</v>
      </c>
      <c r="D352" s="1" t="s">
        <v>303</v>
      </c>
      <c r="E352" s="1" t="str">
        <f>IF(AND(B352&lt;&gt;1110,B352&lt;&gt;1210,B352&lt;&gt;1510,B352&lt;&gt;1710),B352,IF(B352=1110,"1100",IF(B352=1210,"1200",IF(B352=1510,"1500",IF(B352=1710,"1700","X")))))</f>
        <v>1100</v>
      </c>
      <c r="F352" s="1" t="s">
        <v>447</v>
      </c>
      <c r="G352" s="1" t="s">
        <v>302</v>
      </c>
      <c r="H352" s="1">
        <f>ROUND(P352/(1-((R352+S352))/100)*Q352, 3)</f>
        <v>280.541</v>
      </c>
      <c r="I352" s="1">
        <v>0.45</v>
      </c>
      <c r="J352" s="1">
        <v>4</v>
      </c>
      <c r="K352" s="1">
        <v>1</v>
      </c>
      <c r="L352" s="1" t="s">
        <v>292</v>
      </c>
      <c r="M352" s="1">
        <v>1</v>
      </c>
      <c r="N352" s="1">
        <v>0.75260899999999997</v>
      </c>
      <c r="O352" s="1" t="s">
        <v>296</v>
      </c>
      <c r="P352" s="1">
        <v>234.953</v>
      </c>
      <c r="Q352" s="1">
        <v>1</v>
      </c>
      <c r="R352" s="1">
        <v>7</v>
      </c>
      <c r="S352" s="1">
        <v>9.25</v>
      </c>
      <c r="T352" s="1">
        <v>0</v>
      </c>
      <c r="V352" s="1" t="s">
        <v>11223</v>
      </c>
      <c r="W352" s="1">
        <v>100</v>
      </c>
      <c r="X352" s="1" t="s">
        <v>298</v>
      </c>
      <c r="Y352" s="1" t="s">
        <v>299</v>
      </c>
      <c r="Z352" s="1">
        <v>1</v>
      </c>
      <c r="AA352" s="1">
        <f>ROUND(H352*I352*Z352, 3)</f>
        <v>126.24299999999999</v>
      </c>
      <c r="AB352" s="1">
        <f>ROUND(VLOOKUP(X352,'Base de dados'!A:B, 2, 0)*AA352, 2)</f>
        <v>12.62</v>
      </c>
      <c r="AC352" s="1">
        <f>ROUND((AA352*(Destino!AG352/100))*(W352/100),2)</f>
        <v>8.84</v>
      </c>
      <c r="AD352" s="1">
        <f>ROUND(AA352*(Destino!AH352/100),2)</f>
        <v>11.68</v>
      </c>
      <c r="AE352" s="1">
        <f>ROUND((((AA352+AB352)*1.5039)*(Destino!AI352/100))-AC352,2)</f>
        <v>26.66</v>
      </c>
      <c r="AF352" s="1">
        <f>ROUND((AA352+AB352+AE352)*(J352/100),2)</f>
        <v>6.62</v>
      </c>
      <c r="AG352" s="1">
        <f>ROUND(AA352*T352,2)</f>
        <v>0</v>
      </c>
      <c r="AH352" s="1">
        <f>ROUND(AA352-AD352+AE352+AF352+AG352, 3)</f>
        <v>147.84299999999999</v>
      </c>
      <c r="AI352" s="1">
        <f>AH352*M352*K352</f>
        <v>147.84299999999999</v>
      </c>
      <c r="BA352" s="1" t="s">
        <v>11668</v>
      </c>
      <c r="BB352" s="1">
        <f>AI352</f>
        <v>147.84299999999999</v>
      </c>
      <c r="BD352" s="1">
        <f>N352</f>
        <v>0.75260899999999997</v>
      </c>
    </row>
    <row r="353" spans="1:56" x14ac:dyDescent="0.25">
      <c r="A353" s="1">
        <v>600002360</v>
      </c>
      <c r="B353" s="1">
        <v>1400</v>
      </c>
      <c r="C353" s="1">
        <v>2200001473</v>
      </c>
      <c r="D353" s="1" t="s">
        <v>303</v>
      </c>
      <c r="E353" s="1">
        <f>IF(AND(B353&lt;&gt;1110,B353&lt;&gt;1210,B353&lt;&gt;1510,B353&lt;&gt;1710),B353,IF(B353=1110,"1100",IF(B353=1210,"1200",IF(B353=1510,"1500",IF(B353=1710,"1700","X")))))</f>
        <v>1400</v>
      </c>
      <c r="F353" s="1" t="s">
        <v>11198</v>
      </c>
      <c r="G353" s="1" t="s">
        <v>302</v>
      </c>
      <c r="H353" s="1">
        <f>ROUND(P353/(1-((R353+S353))/100)*Q353, 3)</f>
        <v>322.959</v>
      </c>
      <c r="I353" s="1">
        <v>0.45</v>
      </c>
      <c r="J353" s="1">
        <v>1.5</v>
      </c>
      <c r="K353" s="1">
        <v>1</v>
      </c>
      <c r="L353" s="1" t="s">
        <v>292</v>
      </c>
      <c r="M353" s="1">
        <v>1</v>
      </c>
      <c r="N353" s="1">
        <v>1</v>
      </c>
      <c r="O353" s="1" t="s">
        <v>296</v>
      </c>
      <c r="P353" s="1">
        <v>234.953</v>
      </c>
      <c r="Q353" s="1">
        <v>1</v>
      </c>
      <c r="R353" s="1">
        <v>18</v>
      </c>
      <c r="S353" s="1">
        <v>9.25</v>
      </c>
      <c r="T353" s="1">
        <v>0</v>
      </c>
      <c r="V353" s="1" t="s">
        <v>11223</v>
      </c>
      <c r="W353" s="1">
        <v>100</v>
      </c>
      <c r="X353" s="1" t="s">
        <v>298</v>
      </c>
      <c r="Y353" s="1" t="s">
        <v>299</v>
      </c>
      <c r="Z353" s="1">
        <v>1</v>
      </c>
      <c r="AA353" s="1">
        <f>ROUND(H353*I353*Z353, 3)</f>
        <v>145.33199999999999</v>
      </c>
      <c r="AB353" s="1">
        <f>ROUND(VLOOKUP(X353,'Base de dados'!A:B, 2, 0)*AA353, 2)</f>
        <v>14.53</v>
      </c>
      <c r="AC353" s="1">
        <f>ROUND((AA353*(Destino!AG353/100))*(W353/100),2)</f>
        <v>26.16</v>
      </c>
      <c r="AD353" s="1">
        <f>ROUND(AA353*(Destino!AH353/100),2)</f>
        <v>13.44</v>
      </c>
      <c r="AF353" s="1">
        <f>ROUND((AA353+ AB353)*(J353/100),2)</f>
        <v>2.4</v>
      </c>
      <c r="AG353" s="1">
        <f>ROUND(AA353*T353,2)</f>
        <v>0</v>
      </c>
      <c r="AH353" s="1">
        <f>ROUND(AA353-(AC353+AD353)+AF353+AG353, 3)</f>
        <v>108.13200000000001</v>
      </c>
      <c r="AI353" s="1">
        <f>AH353*M353*K353</f>
        <v>108.13200000000001</v>
      </c>
      <c r="BA353" s="1" t="s">
        <v>11423</v>
      </c>
      <c r="BB353" s="1">
        <f>AI353</f>
        <v>108.13200000000001</v>
      </c>
      <c r="BD353" s="1">
        <f>N353</f>
        <v>1</v>
      </c>
    </row>
    <row r="354" spans="1:56" x14ac:dyDescent="0.25">
      <c r="A354" s="1">
        <v>600002360</v>
      </c>
      <c r="B354" s="1">
        <v>1700</v>
      </c>
      <c r="C354" s="1">
        <v>2200001421</v>
      </c>
      <c r="D354" s="1" t="s">
        <v>303</v>
      </c>
      <c r="E354" s="1">
        <f>IF(AND(B354&lt;&gt;1110,B354&lt;&gt;1210,B354&lt;&gt;1510,B354&lt;&gt;1710),B354,IF(B354=1110,"1100",IF(B354=1210,"1200",IF(B354=1510,"1500",IF(B354=1710,"1700","X")))))</f>
        <v>1700</v>
      </c>
      <c r="F354" s="1" t="s">
        <v>11238</v>
      </c>
      <c r="G354" s="1" t="s">
        <v>302</v>
      </c>
      <c r="H354" s="1">
        <f>ROUND(P354/(1-((R354+S354))/100)*Q354, 3)</f>
        <v>129.113</v>
      </c>
      <c r="I354" s="1">
        <v>0.25</v>
      </c>
      <c r="J354" s="1">
        <v>3</v>
      </c>
      <c r="K354" s="1">
        <v>1</v>
      </c>
      <c r="L354" s="1" t="s">
        <v>292</v>
      </c>
      <c r="M354" s="1">
        <v>4</v>
      </c>
      <c r="N354" s="1">
        <v>1</v>
      </c>
      <c r="O354" s="1" t="s">
        <v>296</v>
      </c>
      <c r="P354" s="1">
        <f>IFERROR(VLOOKUP(BC354, BA:BA:BB:BB, 2, 0),)</f>
        <v>108.13200000000001</v>
      </c>
      <c r="Q354" s="1">
        <f>IFERROR(VLOOKUP(BC354, BA:BA:BD:BD, 4, 0),1)</f>
        <v>1</v>
      </c>
      <c r="R354" s="1">
        <v>7</v>
      </c>
      <c r="S354" s="1">
        <v>9.25</v>
      </c>
      <c r="T354" s="1">
        <v>0</v>
      </c>
      <c r="V354" s="1" t="s">
        <v>11223</v>
      </c>
      <c r="W354" s="1">
        <v>100</v>
      </c>
      <c r="X354" s="1" t="s">
        <v>298</v>
      </c>
      <c r="Y354" s="1" t="s">
        <v>299</v>
      </c>
      <c r="Z354" s="1">
        <v>1</v>
      </c>
      <c r="AA354" s="1">
        <f>ROUND(H354*I354*Z354, 3)</f>
        <v>32.277999999999999</v>
      </c>
      <c r="AB354" s="1">
        <f>ROUND(VLOOKUP(X354,'Base de dados'!A:B, 2, 0)*AA354, 2)</f>
        <v>3.23</v>
      </c>
      <c r="AC354" s="1">
        <f>ROUND((AA354*(Destino!AG354/100))*(W354/100),2)</f>
        <v>2.2599999999999998</v>
      </c>
      <c r="AD354" s="1">
        <f>ROUND(AA354*(Destino!AH354/100),2)</f>
        <v>0</v>
      </c>
      <c r="AE354" s="1">
        <f>ROUND((((AA354+AB354)*1.48)*(Destino!AI354/100))-AC354,2)</f>
        <v>6.67</v>
      </c>
      <c r="AF354" s="1">
        <f>ROUND((AA354+AB354+AE354)*(J354/100),2)</f>
        <v>1.27</v>
      </c>
      <c r="AG354" s="1">
        <f>ROUND(AA354*T354,2)</f>
        <v>0</v>
      </c>
      <c r="AH354" s="1">
        <f>ROUND(AA354+AB354-AD354+AE354+AF354+AG354, 3)</f>
        <v>43.448</v>
      </c>
      <c r="AI354" s="1">
        <f>AH354*M354*K354</f>
        <v>173.792</v>
      </c>
      <c r="BA354" s="1" t="s">
        <v>11315</v>
      </c>
      <c r="BB354" s="1">
        <f>AI354</f>
        <v>173.792</v>
      </c>
      <c r="BC354" s="1" t="s">
        <v>11423</v>
      </c>
      <c r="BD354" s="1">
        <f>N354</f>
        <v>1</v>
      </c>
    </row>
    <row r="355" spans="1:56" x14ac:dyDescent="0.25">
      <c r="A355" s="1">
        <v>600002665</v>
      </c>
      <c r="B355" s="1">
        <v>1000</v>
      </c>
      <c r="C355" s="1">
        <v>2200001327</v>
      </c>
      <c r="D355" s="1" t="s">
        <v>303</v>
      </c>
      <c r="E355" s="1">
        <f>IF(AND(B355&lt;&gt;1110,B355&lt;&gt;1210,B355&lt;&gt;1510,B355&lt;&gt;1710),B355,IF(B355=1110,"1100",IF(B355=1210,"1200",IF(B355=1510,"1500",IF(B355=1710,"1700","X")))))</f>
        <v>1000</v>
      </c>
      <c r="F355" s="1" t="s">
        <v>11198</v>
      </c>
      <c r="G355" s="1" t="s">
        <v>302</v>
      </c>
      <c r="H355" s="1">
        <f>ROUND(P355/(1-((R355+S355))/100)*Q355, 3)</f>
        <v>170.703</v>
      </c>
      <c r="I355" s="1">
        <v>1</v>
      </c>
      <c r="J355" s="1">
        <v>5</v>
      </c>
      <c r="K355" s="1">
        <v>1</v>
      </c>
      <c r="L355" s="1" t="s">
        <v>292</v>
      </c>
      <c r="M355" s="1">
        <v>1</v>
      </c>
      <c r="N355" s="1">
        <v>1</v>
      </c>
      <c r="O355" s="1" t="s">
        <v>292</v>
      </c>
      <c r="P355" s="1">
        <f>IFERROR(VLOOKUP(BC355, BA:BA:BB:BB, 2, 0),)</f>
        <v>178.61600000000001</v>
      </c>
      <c r="Q355" s="1">
        <f>IFERROR(VLOOKUP(BC355, BA:BA:BD:BD, 4, 0),1)</f>
        <v>0.75261199999999995</v>
      </c>
      <c r="R355" s="1">
        <v>12</v>
      </c>
      <c r="S355" s="1">
        <v>9.25</v>
      </c>
      <c r="T355" s="1">
        <v>0</v>
      </c>
      <c r="V355" s="1" t="s">
        <v>11223</v>
      </c>
      <c r="W355" s="1">
        <v>100</v>
      </c>
      <c r="X355" s="1" t="s">
        <v>298</v>
      </c>
      <c r="Y355" s="1" t="s">
        <v>299</v>
      </c>
      <c r="Z355" s="1">
        <v>1</v>
      </c>
      <c r="AA355" s="1">
        <f>ROUND(H355*I355*Z355, 3)</f>
        <v>170.703</v>
      </c>
      <c r="AB355" s="1">
        <f>ROUND(VLOOKUP(X355,'Base de dados'!A:B, 2, 0)*AA355, 2)</f>
        <v>17.07</v>
      </c>
      <c r="AC355" s="1">
        <f>ROUND((AA355*(Destino!AG355/100))*(W355/100),2)</f>
        <v>20.48</v>
      </c>
      <c r="AD355" s="1">
        <f>ROUND(AA355*(Destino!AH355/100),2)</f>
        <v>15.79</v>
      </c>
      <c r="AF355" s="1">
        <f>ROUND((AA355+ AB355)*(J355/100),2)</f>
        <v>9.39</v>
      </c>
      <c r="AG355" s="1">
        <f>ROUND(AA355*T355,2)</f>
        <v>0</v>
      </c>
      <c r="AH355" s="1">
        <f>ROUND(AA355-(AC355+AD355)+AF355+AG355, 3)</f>
        <v>143.82300000000001</v>
      </c>
      <c r="AI355" s="1">
        <f>AH355*M355*K355</f>
        <v>143.82300000000001</v>
      </c>
      <c r="BB355" s="1">
        <f>AI355</f>
        <v>143.82300000000001</v>
      </c>
      <c r="BC355" s="1" t="s">
        <v>11424</v>
      </c>
      <c r="BD355" s="1">
        <f>N355</f>
        <v>1</v>
      </c>
    </row>
    <row r="356" spans="1:56" x14ac:dyDescent="0.25">
      <c r="A356" s="1">
        <v>600002665</v>
      </c>
      <c r="B356" s="1">
        <v>1000</v>
      </c>
      <c r="C356" s="1">
        <v>2200001473</v>
      </c>
      <c r="D356" s="1" t="s">
        <v>303</v>
      </c>
      <c r="E356" s="1">
        <f>IF(AND(B356&lt;&gt;1110,B356&lt;&gt;1210,B356&lt;&gt;1510,B356&lt;&gt;1710),B356,IF(B356=1110,"1100",IF(B356=1210,"1200",IF(B356=1510,"1500",IF(B356=1710,"1700","X")))))</f>
        <v>1000</v>
      </c>
      <c r="F356" s="1" t="s">
        <v>11198</v>
      </c>
      <c r="G356" s="1" t="s">
        <v>302</v>
      </c>
      <c r="H356" s="1">
        <f>ROUND(P356/(1-((R356+S356))/100)*Q356, 3)</f>
        <v>360.44299999999998</v>
      </c>
      <c r="I356" s="1">
        <v>0.45</v>
      </c>
      <c r="J356" s="1">
        <v>1.5</v>
      </c>
      <c r="K356" s="1">
        <v>1</v>
      </c>
      <c r="L356" s="1" t="s">
        <v>292</v>
      </c>
      <c r="M356" s="1">
        <v>1</v>
      </c>
      <c r="N356" s="1">
        <v>1</v>
      </c>
      <c r="O356" s="1" t="s">
        <v>296</v>
      </c>
      <c r="P356" s="1">
        <v>283.84899999999999</v>
      </c>
      <c r="Q356" s="1">
        <v>1</v>
      </c>
      <c r="R356" s="1">
        <v>12</v>
      </c>
      <c r="S356" s="1">
        <v>9.25</v>
      </c>
      <c r="T356" s="1">
        <v>0</v>
      </c>
      <c r="V356" s="1" t="s">
        <v>11223</v>
      </c>
      <c r="W356" s="1">
        <v>100</v>
      </c>
      <c r="X356" s="1" t="s">
        <v>298</v>
      </c>
      <c r="Y356" s="1" t="s">
        <v>299</v>
      </c>
      <c r="Z356" s="1">
        <v>1</v>
      </c>
      <c r="AA356" s="1">
        <f>ROUND(H356*I356*Z356, 3)</f>
        <v>162.19900000000001</v>
      </c>
      <c r="AB356" s="1">
        <f>ROUND(VLOOKUP(X356,'Base de dados'!A:B, 2, 0)*AA356, 2)</f>
        <v>16.22</v>
      </c>
      <c r="AC356" s="1">
        <f>ROUND((AA356*(Destino!AG356/100))*(W356/100),2)</f>
        <v>19.46</v>
      </c>
      <c r="AD356" s="1">
        <f>ROUND(AA356*(Destino!AH356/100),2)</f>
        <v>15</v>
      </c>
      <c r="AF356" s="1">
        <f>ROUND((AA356+ AB356)*(J356/100),2)</f>
        <v>2.68</v>
      </c>
      <c r="AG356" s="1">
        <f>ROUND(AA356*T356,2)</f>
        <v>0</v>
      </c>
      <c r="AH356" s="1">
        <f>ROUND(AA356-(AC356+AD356)+AF356+AG356, 3)</f>
        <v>130.41900000000001</v>
      </c>
      <c r="AI356" s="1">
        <f>AH356*M356*K356</f>
        <v>130.41900000000001</v>
      </c>
      <c r="BA356" s="1" t="s">
        <v>11669</v>
      </c>
      <c r="BB356" s="1">
        <f>AI356</f>
        <v>130.41900000000001</v>
      </c>
      <c r="BD356" s="1">
        <f>N356</f>
        <v>1</v>
      </c>
    </row>
    <row r="357" spans="1:56" x14ac:dyDescent="0.25">
      <c r="A357" s="1">
        <v>600002665</v>
      </c>
      <c r="B357" s="1">
        <v>1100</v>
      </c>
      <c r="C357" s="1">
        <v>2200001473</v>
      </c>
      <c r="D357" s="1" t="s">
        <v>303</v>
      </c>
      <c r="E357" s="1">
        <f>IF(AND(B357&lt;&gt;1110,B357&lt;&gt;1210,B357&lt;&gt;1510,B357&lt;&gt;1710),B357,IF(B357=1110,"1100",IF(B357=1210,"1200",IF(B357=1510,"1500",IF(B357=1710,"1700","X")))))</f>
        <v>1100</v>
      </c>
      <c r="F357" s="1" t="s">
        <v>11198</v>
      </c>
      <c r="G357" s="1" t="s">
        <v>302</v>
      </c>
      <c r="H357" s="1">
        <v>343.59</v>
      </c>
      <c r="I357" s="1">
        <v>0.39089600000000002</v>
      </c>
      <c r="J357" s="1">
        <v>2</v>
      </c>
      <c r="K357" s="1">
        <v>1</v>
      </c>
      <c r="L357" s="1" t="s">
        <v>292</v>
      </c>
      <c r="M357" s="1">
        <v>1</v>
      </c>
      <c r="N357" s="1">
        <v>1</v>
      </c>
      <c r="O357" s="1" t="s">
        <v>296</v>
      </c>
      <c r="P357" s="1">
        <v>0</v>
      </c>
      <c r="Q357" s="1">
        <v>1</v>
      </c>
      <c r="R357" s="1">
        <v>7</v>
      </c>
      <c r="S357" s="1">
        <v>9.25</v>
      </c>
      <c r="T357" s="1">
        <v>0</v>
      </c>
      <c r="V357" s="1" t="s">
        <v>11223</v>
      </c>
      <c r="W357" s="1">
        <v>100</v>
      </c>
      <c r="X357" s="1" t="s">
        <v>298</v>
      </c>
      <c r="Y357" s="1" t="s">
        <v>299</v>
      </c>
      <c r="Z357" s="1">
        <v>1</v>
      </c>
      <c r="AA357" s="1">
        <f>ROUND(H357*I357*Z357, 3)</f>
        <v>134.30799999999999</v>
      </c>
      <c r="AB357" s="1">
        <f>ROUND(VLOOKUP(X357,'Base de dados'!A:B, 2, 0)*AA357, 2)</f>
        <v>13.43</v>
      </c>
      <c r="AC357" s="1">
        <f>ROUND((AA357*(Destino!AG357/100))*(W357/100),2)</f>
        <v>9.4</v>
      </c>
      <c r="AD357" s="1">
        <f>ROUND(AA357*(Destino!AH357/100),2)</f>
        <v>12.42</v>
      </c>
      <c r="AF357" s="1">
        <f>ROUND((AA357+ AB357)*(J357/100),2)</f>
        <v>2.95</v>
      </c>
      <c r="AG357" s="1">
        <f>ROUND(AA357*T357,2)</f>
        <v>0</v>
      </c>
      <c r="AH357" s="1">
        <f>ROUND(AA357-(AC357+AD357)+AF357+AG357, 3)</f>
        <v>115.438</v>
      </c>
      <c r="AI357" s="1">
        <f>AH357*M357*K357</f>
        <v>115.438</v>
      </c>
      <c r="BA357" s="1" t="s">
        <v>11670</v>
      </c>
      <c r="BB357" s="1">
        <f>AI357</f>
        <v>115.438</v>
      </c>
      <c r="BD357" s="1">
        <f>N357</f>
        <v>1</v>
      </c>
    </row>
    <row r="358" spans="1:56" x14ac:dyDescent="0.25">
      <c r="A358" s="1">
        <v>600002665</v>
      </c>
      <c r="B358" s="1">
        <v>1110</v>
      </c>
      <c r="C358" s="1">
        <v>2200001473</v>
      </c>
      <c r="D358" s="1" t="s">
        <v>303</v>
      </c>
      <c r="E358" s="1" t="str">
        <f>IF(AND(B358&lt;&gt;1110,B358&lt;&gt;1210,B358&lt;&gt;1510,B358&lt;&gt;1710),B358,IF(B358=1110,"1100",IF(B358=1210,"1200",IF(B358=1510,"1500",IF(B358=1710,"1700","X")))))</f>
        <v>1100</v>
      </c>
      <c r="F358" s="1" t="s">
        <v>447</v>
      </c>
      <c r="G358" s="1" t="s">
        <v>302</v>
      </c>
      <c r="H358" s="1">
        <f>ROUND(P358/(1-((R358+S358))/100)*Q358, 3)</f>
        <v>338.92399999999998</v>
      </c>
      <c r="I358" s="1">
        <v>0.45</v>
      </c>
      <c r="J358" s="1">
        <v>4</v>
      </c>
      <c r="K358" s="1">
        <v>1</v>
      </c>
      <c r="L358" s="1" t="s">
        <v>292</v>
      </c>
      <c r="M358" s="1">
        <v>1</v>
      </c>
      <c r="N358" s="1">
        <v>0.75261199999999995</v>
      </c>
      <c r="O358" s="1" t="s">
        <v>296</v>
      </c>
      <c r="P358" s="1">
        <v>283.84899999999999</v>
      </c>
      <c r="Q358" s="1">
        <v>1</v>
      </c>
      <c r="R358" s="1">
        <v>7</v>
      </c>
      <c r="S358" s="1">
        <v>9.25</v>
      </c>
      <c r="T358" s="1">
        <v>0</v>
      </c>
      <c r="V358" s="1" t="s">
        <v>11223</v>
      </c>
      <c r="W358" s="1">
        <v>100</v>
      </c>
      <c r="X358" s="1" t="s">
        <v>298</v>
      </c>
      <c r="Y358" s="1" t="s">
        <v>299</v>
      </c>
      <c r="Z358" s="1">
        <v>1</v>
      </c>
      <c r="AA358" s="1">
        <f>ROUND(H358*I358*Z358, 3)</f>
        <v>152.51599999999999</v>
      </c>
      <c r="AB358" s="1">
        <f>ROUND(VLOOKUP(X358,'Base de dados'!A:B, 2, 0)*AA358, 2)</f>
        <v>15.25</v>
      </c>
      <c r="AC358" s="1">
        <f>ROUND((AA358*(Destino!AG358/100))*(W358/100),2)</f>
        <v>10.68</v>
      </c>
      <c r="AD358" s="1">
        <f>ROUND(AA358*(Destino!AH358/100),2)</f>
        <v>14.11</v>
      </c>
      <c r="AE358" s="1">
        <f>ROUND((((AA358+AB358)*1.5039)*(Destino!AI358/100))-AC358,2)</f>
        <v>32.21</v>
      </c>
      <c r="AF358" s="1">
        <f>ROUND((AA358+AB358+AE358)*(J358/100),2)</f>
        <v>8</v>
      </c>
      <c r="AG358" s="1">
        <f>ROUND(AA358*T358,2)</f>
        <v>0</v>
      </c>
      <c r="AH358" s="1">
        <f>ROUND(AA358-AD358+AE358+AF358+AG358, 3)</f>
        <v>178.61600000000001</v>
      </c>
      <c r="AI358" s="1">
        <f>AH358*M358*K358</f>
        <v>178.61600000000001</v>
      </c>
      <c r="BA358" s="1" t="s">
        <v>11424</v>
      </c>
      <c r="BB358" s="1">
        <f>AI358</f>
        <v>178.61600000000001</v>
      </c>
      <c r="BD358" s="1">
        <f>N358</f>
        <v>0.75261199999999995</v>
      </c>
    </row>
    <row r="359" spans="1:56" x14ac:dyDescent="0.25">
      <c r="A359" s="1">
        <v>600002665</v>
      </c>
      <c r="B359" s="1">
        <v>1400</v>
      </c>
      <c r="C359" s="1">
        <v>2200001473</v>
      </c>
      <c r="D359" s="1" t="s">
        <v>303</v>
      </c>
      <c r="E359" s="1">
        <f>IF(AND(B359&lt;&gt;1110,B359&lt;&gt;1210,B359&lt;&gt;1510,B359&lt;&gt;1710),B359,IF(B359=1110,"1100",IF(B359=1210,"1200",IF(B359=1510,"1500",IF(B359=1710,"1700","X")))))</f>
        <v>1400</v>
      </c>
      <c r="F359" s="1" t="s">
        <v>11198</v>
      </c>
      <c r="G359" s="1" t="s">
        <v>302</v>
      </c>
      <c r="H359" s="1">
        <v>343.59</v>
      </c>
      <c r="I359" s="1">
        <v>0.45</v>
      </c>
      <c r="J359" s="1">
        <v>1.5</v>
      </c>
      <c r="K359" s="1">
        <v>1</v>
      </c>
      <c r="L359" s="1" t="s">
        <v>292</v>
      </c>
      <c r="M359" s="1">
        <v>1</v>
      </c>
      <c r="N359" s="1">
        <v>1</v>
      </c>
      <c r="O359" s="1" t="s">
        <v>296</v>
      </c>
      <c r="P359" s="1">
        <v>0</v>
      </c>
      <c r="Q359" s="1">
        <v>1</v>
      </c>
      <c r="R359" s="1">
        <v>18</v>
      </c>
      <c r="S359" s="1">
        <v>9.25</v>
      </c>
      <c r="T359" s="1">
        <v>0</v>
      </c>
      <c r="V359" s="1" t="s">
        <v>11223</v>
      </c>
      <c r="W359" s="1">
        <v>100</v>
      </c>
      <c r="X359" s="1" t="s">
        <v>298</v>
      </c>
      <c r="Y359" s="1" t="s">
        <v>299</v>
      </c>
      <c r="Z359" s="1">
        <v>1</v>
      </c>
      <c r="AA359" s="1">
        <f>ROUND(H359*I359*Z359, 3)</f>
        <v>154.61600000000001</v>
      </c>
      <c r="AB359" s="1">
        <f>ROUND(VLOOKUP(X359,'Base de dados'!A:B, 2, 0)*AA359, 2)</f>
        <v>15.46</v>
      </c>
      <c r="AC359" s="1">
        <f>ROUND((AA359*(Destino!AG359/100))*(W359/100),2)</f>
        <v>27.83</v>
      </c>
      <c r="AD359" s="1">
        <f>ROUND(AA359*(Destino!AH359/100),2)</f>
        <v>14.3</v>
      </c>
      <c r="AF359" s="1">
        <f>ROUND((AA359+ AB359)*(J359/100),2)</f>
        <v>2.5499999999999998</v>
      </c>
      <c r="AG359" s="1">
        <f>ROUND(AA359*T359,2)</f>
        <v>0</v>
      </c>
      <c r="AH359" s="1">
        <f>ROUND(AA359-(AC359+AD359)+AF359+AG359, 3)</f>
        <v>115.036</v>
      </c>
      <c r="AI359" s="1">
        <f>AH359*M359*K359</f>
        <v>115.036</v>
      </c>
      <c r="BA359" s="1" t="s">
        <v>11671</v>
      </c>
      <c r="BB359" s="1">
        <f>AI359</f>
        <v>115.036</v>
      </c>
      <c r="BD359" s="1">
        <f>N359</f>
        <v>1</v>
      </c>
    </row>
    <row r="360" spans="1:56" x14ac:dyDescent="0.25">
      <c r="A360" s="1">
        <v>600002675</v>
      </c>
      <c r="B360" s="1">
        <v>1000</v>
      </c>
      <c r="C360" s="1">
        <v>2200001473</v>
      </c>
      <c r="D360" s="1" t="s">
        <v>303</v>
      </c>
      <c r="E360" s="1">
        <f>IF(AND(B360&lt;&gt;1110,B360&lt;&gt;1210,B360&lt;&gt;1510,B360&lt;&gt;1710),B360,IF(B360=1110,"1100",IF(B360=1210,"1200",IF(B360=1510,"1500",IF(B360=1710,"1700","X")))))</f>
        <v>1000</v>
      </c>
      <c r="F360" s="1" t="s">
        <v>11198</v>
      </c>
      <c r="G360" s="1" t="s">
        <v>302</v>
      </c>
      <c r="H360" s="1">
        <f>ROUND(P360/(1-((R360+S360))/100)*Q360, 3)</f>
        <v>79.608000000000004</v>
      </c>
      <c r="I360" s="1">
        <v>0.45</v>
      </c>
      <c r="J360" s="1">
        <v>1.5</v>
      </c>
      <c r="K360" s="1">
        <v>1</v>
      </c>
      <c r="L360" s="1" t="s">
        <v>292</v>
      </c>
      <c r="M360" s="1">
        <v>1</v>
      </c>
      <c r="N360" s="1">
        <v>1</v>
      </c>
      <c r="O360" s="1" t="s">
        <v>296</v>
      </c>
      <c r="P360" s="1">
        <v>62.691000000000003</v>
      </c>
      <c r="Q360" s="1">
        <v>1</v>
      </c>
      <c r="R360" s="1">
        <v>12</v>
      </c>
      <c r="S360" s="1">
        <v>9.25</v>
      </c>
      <c r="T360" s="1">
        <v>0</v>
      </c>
      <c r="V360" s="1" t="s">
        <v>11223</v>
      </c>
      <c r="W360" s="1">
        <v>100</v>
      </c>
      <c r="X360" s="1" t="s">
        <v>298</v>
      </c>
      <c r="Y360" s="1" t="s">
        <v>322</v>
      </c>
      <c r="Z360" s="1">
        <v>1</v>
      </c>
      <c r="AA360" s="1">
        <f>ROUND(H360*I360*Z360, 3)</f>
        <v>35.823999999999998</v>
      </c>
      <c r="AB360" s="1">
        <f>ROUND(VLOOKUP(X360,'Base de dados'!A:B, 2, 0)*AA360, 2)</f>
        <v>3.58</v>
      </c>
      <c r="AC360" s="1">
        <f>ROUND((AA360*(Destino!AG360/100))*(W360/100),2)</f>
        <v>4.3</v>
      </c>
      <c r="AD360" s="1">
        <f>ROUND(AA360*(Destino!AH360/100),2)</f>
        <v>3.31</v>
      </c>
      <c r="AF360" s="1">
        <f>ROUND((AA360+ AB360)*(J360/100),2)</f>
        <v>0.59</v>
      </c>
      <c r="AG360" s="1">
        <f>ROUND(AA360*T360,2)</f>
        <v>0</v>
      </c>
      <c r="AH360" s="1">
        <f>ROUND(AA360-(AC360+AD360)+AF360+AG360, 3)</f>
        <v>28.803999999999998</v>
      </c>
      <c r="AI360" s="1">
        <f>AH360*M360*K360</f>
        <v>28.803999999999998</v>
      </c>
      <c r="BA360" s="1" t="s">
        <v>11672</v>
      </c>
      <c r="BB360" s="1">
        <f>AI360</f>
        <v>28.803999999999998</v>
      </c>
      <c r="BD360" s="1">
        <f>N360</f>
        <v>1</v>
      </c>
    </row>
    <row r="361" spans="1:56" x14ac:dyDescent="0.25">
      <c r="A361" s="1">
        <v>600002675</v>
      </c>
      <c r="B361" s="1">
        <v>1100</v>
      </c>
      <c r="C361" s="1">
        <v>2200001473</v>
      </c>
      <c r="D361" s="1" t="s">
        <v>303</v>
      </c>
      <c r="E361" s="1">
        <f>IF(AND(B361&lt;&gt;1110,B361&lt;&gt;1210,B361&lt;&gt;1510,B361&lt;&gt;1710),B361,IF(B361=1110,"1100",IF(B361=1210,"1200",IF(B361=1510,"1500",IF(B361=1710,"1700","X")))))</f>
        <v>1100</v>
      </c>
      <c r="F361" s="1" t="s">
        <v>11198</v>
      </c>
      <c r="G361" s="1" t="s">
        <v>302</v>
      </c>
      <c r="H361" s="1">
        <f>ROUND(P361/(1-((R361+S361))/100)*Q361, 3)</f>
        <v>74.852999999999994</v>
      </c>
      <c r="I361" s="1">
        <v>0.45</v>
      </c>
      <c r="J361" s="1">
        <v>2</v>
      </c>
      <c r="K361" s="1">
        <v>1</v>
      </c>
      <c r="L361" s="1" t="s">
        <v>292</v>
      </c>
      <c r="M361" s="1">
        <v>1</v>
      </c>
      <c r="N361" s="1">
        <v>1</v>
      </c>
      <c r="O361" s="1" t="s">
        <v>296</v>
      </c>
      <c r="P361" s="1">
        <v>62.689</v>
      </c>
      <c r="Q361" s="1">
        <v>1</v>
      </c>
      <c r="R361" s="1">
        <v>7</v>
      </c>
      <c r="S361" s="1">
        <v>9.25</v>
      </c>
      <c r="T361" s="1">
        <v>0</v>
      </c>
      <c r="V361" s="1" t="s">
        <v>11223</v>
      </c>
      <c r="W361" s="1">
        <v>100</v>
      </c>
      <c r="X361" s="1" t="s">
        <v>298</v>
      </c>
      <c r="Y361" s="1" t="s">
        <v>322</v>
      </c>
      <c r="Z361" s="1">
        <v>1</v>
      </c>
      <c r="AA361" s="1">
        <f>ROUND(H361*I361*Z361, 3)</f>
        <v>33.683999999999997</v>
      </c>
      <c r="AB361" s="1">
        <f>ROUND(VLOOKUP(X361,'Base de dados'!A:B, 2, 0)*AA361, 2)</f>
        <v>3.37</v>
      </c>
      <c r="AC361" s="1">
        <f>ROUND((AA361*(Destino!AG361/100))*(W361/100),2)</f>
        <v>2.36</v>
      </c>
      <c r="AD361" s="1">
        <f>ROUND(AA361*(Destino!AH361/100),2)</f>
        <v>3.12</v>
      </c>
      <c r="AF361" s="1">
        <f>ROUND((AA361+ AB361)*(J361/100),2)</f>
        <v>0.74</v>
      </c>
      <c r="AG361" s="1">
        <f>ROUND(AA361*T361,2)</f>
        <v>0</v>
      </c>
      <c r="AH361" s="1">
        <f>ROUND(AA361-(AC361+AD361)+AF361+AG361, 3)</f>
        <v>28.943999999999999</v>
      </c>
      <c r="AI361" s="1">
        <f>AH361*M361*K361</f>
        <v>28.943999999999999</v>
      </c>
      <c r="BA361" s="1" t="s">
        <v>11673</v>
      </c>
      <c r="BB361" s="1">
        <f>AI361</f>
        <v>28.943999999999999</v>
      </c>
      <c r="BD361" s="1">
        <f>N361</f>
        <v>1</v>
      </c>
    </row>
    <row r="362" spans="1:56" x14ac:dyDescent="0.25">
      <c r="A362" s="1">
        <v>600002675</v>
      </c>
      <c r="B362" s="1">
        <v>1110</v>
      </c>
      <c r="C362" s="1">
        <v>2200001473</v>
      </c>
      <c r="D362" s="1" t="s">
        <v>303</v>
      </c>
      <c r="E362" s="1" t="str">
        <f>IF(AND(B362&lt;&gt;1110,B362&lt;&gt;1210,B362&lt;&gt;1510,B362&lt;&gt;1710),B362,IF(B362=1110,"1100",IF(B362=1210,"1200",IF(B362=1510,"1500",IF(B362=1710,"1700","X")))))</f>
        <v>1100</v>
      </c>
      <c r="F362" s="1" t="s">
        <v>447</v>
      </c>
      <c r="G362" s="1" t="s">
        <v>302</v>
      </c>
      <c r="H362" s="1">
        <f>ROUND(P362/(1-((R362+S362))/100)*Q362, 3)</f>
        <v>74.852999999999994</v>
      </c>
      <c r="I362" s="1">
        <v>0.45</v>
      </c>
      <c r="J362" s="1">
        <v>4</v>
      </c>
      <c r="K362" s="1">
        <v>1</v>
      </c>
      <c r="L362" s="1" t="s">
        <v>292</v>
      </c>
      <c r="M362" s="1">
        <v>1</v>
      </c>
      <c r="N362" s="1">
        <v>0.75256100000000004</v>
      </c>
      <c r="O362" s="1" t="s">
        <v>296</v>
      </c>
      <c r="P362" s="1">
        <v>62.689</v>
      </c>
      <c r="Q362" s="1">
        <v>1</v>
      </c>
      <c r="R362" s="1">
        <v>7</v>
      </c>
      <c r="S362" s="1">
        <v>9.25</v>
      </c>
      <c r="T362" s="1">
        <v>0</v>
      </c>
      <c r="V362" s="1" t="s">
        <v>11223</v>
      </c>
      <c r="W362" s="1">
        <v>100</v>
      </c>
      <c r="X362" s="1" t="s">
        <v>298</v>
      </c>
      <c r="Y362" s="1" t="s">
        <v>322</v>
      </c>
      <c r="Z362" s="1">
        <v>1</v>
      </c>
      <c r="AA362" s="1">
        <f>ROUND(H362*I362*Z362, 3)</f>
        <v>33.683999999999997</v>
      </c>
      <c r="AB362" s="1">
        <f>ROUND(VLOOKUP(X362,'Base de dados'!A:B, 2, 0)*AA362, 2)</f>
        <v>3.37</v>
      </c>
      <c r="AC362" s="1">
        <f>ROUND((AA362*(Destino!AG362/100))*(W362/100),2)</f>
        <v>2.36</v>
      </c>
      <c r="AD362" s="1">
        <f>ROUND(AA362*(Destino!AH362/100),2)</f>
        <v>3.12</v>
      </c>
      <c r="AE362" s="1">
        <f>ROUND((((AA362+AB362)*1.5039)*(Destino!AI362/100))-AC362,2)</f>
        <v>7.11</v>
      </c>
      <c r="AF362" s="1">
        <f>ROUND((AA362+AB362+AE362)*(J362/100),2)</f>
        <v>1.77</v>
      </c>
      <c r="AG362" s="1">
        <f>ROUND(AA362*T362,2)</f>
        <v>0</v>
      </c>
      <c r="AH362" s="1">
        <f>ROUND(AA362-AD362+AE362+AF362+AG362, 3)</f>
        <v>39.444000000000003</v>
      </c>
      <c r="AI362" s="1">
        <f>AH362*M362*K362</f>
        <v>39.444000000000003</v>
      </c>
      <c r="BA362" s="1" t="s">
        <v>11674</v>
      </c>
      <c r="BB362" s="1">
        <f>AI362</f>
        <v>39.444000000000003</v>
      </c>
      <c r="BD362" s="1">
        <f>N362</f>
        <v>0.75256100000000004</v>
      </c>
    </row>
    <row r="363" spans="1:56" x14ac:dyDescent="0.25">
      <c r="A363" s="1">
        <v>600002675</v>
      </c>
      <c r="B363" s="1">
        <v>1400</v>
      </c>
      <c r="C363" s="1">
        <v>2200001473</v>
      </c>
      <c r="D363" s="1" t="s">
        <v>303</v>
      </c>
      <c r="E363" s="1">
        <f>IF(AND(B363&lt;&gt;1110,B363&lt;&gt;1210,B363&lt;&gt;1510,B363&lt;&gt;1710),B363,IF(B363=1110,"1100",IF(B363=1210,"1200",IF(B363=1510,"1500",IF(B363=1710,"1700","X")))))</f>
        <v>1400</v>
      </c>
      <c r="F363" s="1" t="s">
        <v>11198</v>
      </c>
      <c r="G363" s="1" t="s">
        <v>302</v>
      </c>
      <c r="H363" s="1">
        <f>ROUND(P363/(1-((R363+S363))/100)*Q363, 3)</f>
        <v>86.17</v>
      </c>
      <c r="I363" s="1">
        <v>0.45</v>
      </c>
      <c r="J363" s="1">
        <v>1.5</v>
      </c>
      <c r="K363" s="1">
        <v>1</v>
      </c>
      <c r="L363" s="1" t="s">
        <v>292</v>
      </c>
      <c r="M363" s="1">
        <v>1</v>
      </c>
      <c r="N363" s="1">
        <v>1</v>
      </c>
      <c r="O363" s="1" t="s">
        <v>296</v>
      </c>
      <c r="P363" s="1">
        <v>62.689</v>
      </c>
      <c r="Q363" s="1">
        <v>1</v>
      </c>
      <c r="R363" s="1">
        <v>18</v>
      </c>
      <c r="S363" s="1">
        <v>9.25</v>
      </c>
      <c r="T363" s="1">
        <v>0</v>
      </c>
      <c r="V363" s="1" t="s">
        <v>11223</v>
      </c>
      <c r="W363" s="1">
        <v>100</v>
      </c>
      <c r="X363" s="1" t="s">
        <v>298</v>
      </c>
      <c r="Y363" s="1" t="s">
        <v>322</v>
      </c>
      <c r="Z363" s="1">
        <v>1</v>
      </c>
      <c r="AA363" s="1">
        <f>ROUND(H363*I363*Z363, 3)</f>
        <v>38.777000000000001</v>
      </c>
      <c r="AB363" s="1">
        <f>ROUND(VLOOKUP(X363,'Base de dados'!A:B, 2, 0)*AA363, 2)</f>
        <v>3.88</v>
      </c>
      <c r="AC363" s="1">
        <f>ROUND((AA363*(Destino!AG363/100))*(W363/100),2)</f>
        <v>6.98</v>
      </c>
      <c r="AD363" s="1">
        <f>ROUND(AA363*(Destino!AH363/100),2)</f>
        <v>3.59</v>
      </c>
      <c r="AF363" s="1">
        <f>ROUND((AA363+ AB363)*(J363/100),2)</f>
        <v>0.64</v>
      </c>
      <c r="AG363" s="1">
        <f>ROUND(AA363*T363,2)</f>
        <v>0</v>
      </c>
      <c r="AH363" s="1">
        <f>ROUND(AA363-(AC363+AD363)+AF363+AG363, 3)</f>
        <v>28.847000000000001</v>
      </c>
      <c r="AI363" s="1">
        <f>AH363*M363*K363</f>
        <v>28.847000000000001</v>
      </c>
      <c r="BA363" s="1" t="s">
        <v>11425</v>
      </c>
      <c r="BB363" s="1">
        <f>AI363</f>
        <v>28.847000000000001</v>
      </c>
      <c r="BD363" s="1">
        <f>N363</f>
        <v>1</v>
      </c>
    </row>
    <row r="364" spans="1:56" x14ac:dyDescent="0.25">
      <c r="A364" s="1">
        <v>600002675</v>
      </c>
      <c r="B364" s="1">
        <v>1700</v>
      </c>
      <c r="C364" s="1">
        <v>2200001421</v>
      </c>
      <c r="D364" s="1" t="s">
        <v>303</v>
      </c>
      <c r="E364" s="1">
        <f>IF(AND(B364&lt;&gt;1110,B364&lt;&gt;1210,B364&lt;&gt;1510,B364&lt;&gt;1710),B364,IF(B364=1110,"1100",IF(B364=1210,"1200",IF(B364=1510,"1500",IF(B364=1710,"1700","X")))))</f>
        <v>1700</v>
      </c>
      <c r="F364" s="1" t="s">
        <v>11238</v>
      </c>
      <c r="G364" s="1" t="s">
        <v>302</v>
      </c>
      <c r="H364" s="1">
        <f>ROUND(P364/(1-((R364+S364))/100)*Q364, 3)</f>
        <v>34.444000000000003</v>
      </c>
      <c r="I364" s="1">
        <v>0.25</v>
      </c>
      <c r="J364" s="1">
        <v>3</v>
      </c>
      <c r="K364" s="1">
        <v>1</v>
      </c>
      <c r="L364" s="1" t="s">
        <v>292</v>
      </c>
      <c r="M364" s="1">
        <v>4</v>
      </c>
      <c r="N364" s="1">
        <v>1</v>
      </c>
      <c r="O364" s="1" t="s">
        <v>296</v>
      </c>
      <c r="P364" s="1">
        <f>IFERROR(VLOOKUP(BC364, BA:BA:BB:BB, 2, 0),)</f>
        <v>28.847000000000001</v>
      </c>
      <c r="Q364" s="1">
        <f>IFERROR(VLOOKUP(BC364, BA:BA:BD:BD, 4, 0),1)</f>
        <v>1</v>
      </c>
      <c r="R364" s="1">
        <v>7</v>
      </c>
      <c r="S364" s="1">
        <v>9.25</v>
      </c>
      <c r="T364" s="1">
        <v>0</v>
      </c>
      <c r="V364" s="1" t="s">
        <v>11223</v>
      </c>
      <c r="W364" s="1">
        <v>100</v>
      </c>
      <c r="X364" s="1" t="s">
        <v>298</v>
      </c>
      <c r="Y364" s="1" t="s">
        <v>322</v>
      </c>
      <c r="Z364" s="1">
        <v>1</v>
      </c>
      <c r="AA364" s="1">
        <f>ROUND(H364*I364*Z364, 3)</f>
        <v>8.6110000000000007</v>
      </c>
      <c r="AB364" s="1">
        <f>ROUND(VLOOKUP(X364,'Base de dados'!A:B, 2, 0)*AA364, 2)</f>
        <v>0.86</v>
      </c>
      <c r="AC364" s="1">
        <f>ROUND((AA364*(Destino!AG364/100))*(W364/100),2)</f>
        <v>0.6</v>
      </c>
      <c r="AD364" s="1">
        <f>ROUND(AA364*(Destino!AH364/100),2)</f>
        <v>0</v>
      </c>
      <c r="AE364" s="1">
        <f>ROUND((((AA364+AB364)*1.48)*(Destino!AI364/100))-AC364,2)</f>
        <v>1.78</v>
      </c>
      <c r="AF364" s="1">
        <f>ROUND((AA364+AB364+AE364)*(J364/100),2)</f>
        <v>0.34</v>
      </c>
      <c r="AG364" s="1">
        <f>ROUND(AA364*T364,2)</f>
        <v>0</v>
      </c>
      <c r="AH364" s="1">
        <f>ROUND(AA364+AB364-AD364+AE364+AF364+AG364, 3)</f>
        <v>11.590999999999999</v>
      </c>
      <c r="AI364" s="1">
        <f>AH364*M364*K364</f>
        <v>46.363999999999997</v>
      </c>
      <c r="BA364" s="1" t="s">
        <v>11316</v>
      </c>
      <c r="BB364" s="1">
        <f>AI364</f>
        <v>46.363999999999997</v>
      </c>
      <c r="BC364" s="1" t="s">
        <v>11425</v>
      </c>
      <c r="BD364" s="1">
        <f>N364</f>
        <v>1</v>
      </c>
    </row>
    <row r="365" spans="1:56" x14ac:dyDescent="0.25">
      <c r="A365" s="1">
        <v>600002677</v>
      </c>
      <c r="B365" s="1">
        <v>1000</v>
      </c>
      <c r="C365" s="1">
        <v>2200001473</v>
      </c>
      <c r="D365" s="1" t="s">
        <v>303</v>
      </c>
      <c r="E365" s="1">
        <f>IF(AND(B365&lt;&gt;1110,B365&lt;&gt;1210,B365&lt;&gt;1510,B365&lt;&gt;1710),B365,IF(B365=1110,"1100",IF(B365=1210,"1200",IF(B365=1510,"1500",IF(B365=1710,"1700","X")))))</f>
        <v>1000</v>
      </c>
      <c r="F365" s="1" t="s">
        <v>11198</v>
      </c>
      <c r="G365" s="1" t="s">
        <v>302</v>
      </c>
      <c r="H365" s="1">
        <f>ROUND(P365/(1-((R365+S365))/100)*Q365, 3)</f>
        <v>97.707999999999998</v>
      </c>
      <c r="I365" s="1">
        <v>0.45</v>
      </c>
      <c r="J365" s="1">
        <v>1.5</v>
      </c>
      <c r="K365" s="1">
        <v>1</v>
      </c>
      <c r="L365" s="1" t="s">
        <v>292</v>
      </c>
      <c r="M365" s="1">
        <v>1</v>
      </c>
      <c r="N365" s="1">
        <v>1</v>
      </c>
      <c r="O365" s="1" t="s">
        <v>296</v>
      </c>
      <c r="P365" s="1">
        <v>76.944999999999993</v>
      </c>
      <c r="Q365" s="1">
        <v>1</v>
      </c>
      <c r="R365" s="1">
        <v>12</v>
      </c>
      <c r="S365" s="1">
        <v>9.25</v>
      </c>
      <c r="T365" s="1">
        <v>0</v>
      </c>
      <c r="V365" s="1" t="s">
        <v>11223</v>
      </c>
      <c r="W365" s="1">
        <v>100</v>
      </c>
      <c r="X365" s="1" t="s">
        <v>298</v>
      </c>
      <c r="Y365" s="1" t="s">
        <v>299</v>
      </c>
      <c r="Z365" s="1">
        <v>1</v>
      </c>
      <c r="AA365" s="1">
        <f>ROUND(H365*I365*Z365, 3)</f>
        <v>43.969000000000001</v>
      </c>
      <c r="AB365" s="1">
        <f>ROUND(VLOOKUP(X365,'Base de dados'!A:B, 2, 0)*AA365, 2)</f>
        <v>4.4000000000000004</v>
      </c>
      <c r="AC365" s="1">
        <f>ROUND((AA365*(Destino!AG365/100))*(W365/100),2)</f>
        <v>5.28</v>
      </c>
      <c r="AD365" s="1">
        <f>ROUND(AA365*(Destino!AH365/100),2)</f>
        <v>4.07</v>
      </c>
      <c r="AF365" s="1">
        <f>ROUND((AA365+ AB365)*(J365/100),2)</f>
        <v>0.73</v>
      </c>
      <c r="AG365" s="1">
        <f>ROUND(AA365*T365,2)</f>
        <v>0</v>
      </c>
      <c r="AH365" s="1">
        <f>ROUND(AA365-(AC365+AD365)+AF365+AG365, 3)</f>
        <v>35.348999999999997</v>
      </c>
      <c r="AI365" s="1">
        <f>AH365*M365*K365</f>
        <v>35.348999999999997</v>
      </c>
      <c r="BA365" s="1" t="s">
        <v>11675</v>
      </c>
      <c r="BB365" s="1">
        <f>AI365</f>
        <v>35.348999999999997</v>
      </c>
      <c r="BD365" s="1">
        <f>N365</f>
        <v>1</v>
      </c>
    </row>
    <row r="366" spans="1:56" x14ac:dyDescent="0.25">
      <c r="A366" s="1">
        <v>600002677</v>
      </c>
      <c r="B366" s="1">
        <v>1100</v>
      </c>
      <c r="C366" s="1">
        <v>2200001473</v>
      </c>
      <c r="D366" s="1" t="s">
        <v>303</v>
      </c>
      <c r="E366" s="1">
        <f>IF(AND(B366&lt;&gt;1110,B366&lt;&gt;1210,B366&lt;&gt;1510,B366&lt;&gt;1710),B366,IF(B366=1110,"1100",IF(B366=1210,"1200",IF(B366=1510,"1500",IF(B366=1710,"1700","X")))))</f>
        <v>1100</v>
      </c>
      <c r="F366" s="1" t="s">
        <v>11198</v>
      </c>
      <c r="G366" s="1" t="s">
        <v>302</v>
      </c>
      <c r="H366" s="1">
        <f>ROUND(P366/(1-((R366+S366))/100)*Q366, 3)</f>
        <v>91.878</v>
      </c>
      <c r="I366" s="1">
        <v>0.45</v>
      </c>
      <c r="J366" s="1">
        <v>2</v>
      </c>
      <c r="K366" s="1">
        <v>1</v>
      </c>
      <c r="L366" s="1" t="s">
        <v>292</v>
      </c>
      <c r="M366" s="1">
        <v>1</v>
      </c>
      <c r="N366" s="1">
        <v>1</v>
      </c>
      <c r="O366" s="1" t="s">
        <v>296</v>
      </c>
      <c r="P366" s="1">
        <v>76.947999999999993</v>
      </c>
      <c r="Q366" s="1">
        <v>1</v>
      </c>
      <c r="R366" s="1">
        <v>7</v>
      </c>
      <c r="S366" s="1">
        <v>9.25</v>
      </c>
      <c r="T366" s="1">
        <v>0</v>
      </c>
      <c r="V366" s="1" t="s">
        <v>11223</v>
      </c>
      <c r="W366" s="1">
        <v>100</v>
      </c>
      <c r="X366" s="1" t="s">
        <v>298</v>
      </c>
      <c r="Y366" s="1" t="s">
        <v>299</v>
      </c>
      <c r="Z366" s="1">
        <v>1</v>
      </c>
      <c r="AA366" s="1">
        <f>ROUND(H366*I366*Z366, 3)</f>
        <v>41.344999999999999</v>
      </c>
      <c r="AB366" s="1">
        <f>ROUND(VLOOKUP(X366,'Base de dados'!A:B, 2, 0)*AA366, 2)</f>
        <v>4.13</v>
      </c>
      <c r="AC366" s="1">
        <f>ROUND((AA366*(Destino!AG366/100))*(W366/100),2)</f>
        <v>2.89</v>
      </c>
      <c r="AD366" s="1">
        <f>ROUND(AA366*(Destino!AH366/100),2)</f>
        <v>3.82</v>
      </c>
      <c r="AF366" s="1">
        <f>ROUND((AA366+ AB366)*(J366/100),2)</f>
        <v>0.91</v>
      </c>
      <c r="AG366" s="1">
        <f>ROUND(AA366*T366,2)</f>
        <v>0</v>
      </c>
      <c r="AH366" s="1">
        <f>ROUND(AA366-(AC366+AD366)+AF366+AG366, 3)</f>
        <v>35.545000000000002</v>
      </c>
      <c r="AI366" s="1">
        <f>AH366*M366*K366</f>
        <v>35.545000000000002</v>
      </c>
      <c r="BA366" s="1" t="s">
        <v>11676</v>
      </c>
      <c r="BB366" s="1">
        <f>AI366</f>
        <v>35.545000000000002</v>
      </c>
      <c r="BD366" s="1">
        <f>N366</f>
        <v>1</v>
      </c>
    </row>
    <row r="367" spans="1:56" x14ac:dyDescent="0.25">
      <c r="A367" s="1">
        <v>600002677</v>
      </c>
      <c r="B367" s="1">
        <v>1110</v>
      </c>
      <c r="C367" s="1">
        <v>2200001473</v>
      </c>
      <c r="D367" s="1" t="s">
        <v>303</v>
      </c>
      <c r="E367" s="1" t="str">
        <f>IF(AND(B367&lt;&gt;1110,B367&lt;&gt;1210,B367&lt;&gt;1510,B367&lt;&gt;1710),B367,IF(B367=1110,"1100",IF(B367=1210,"1200",IF(B367=1510,"1500",IF(B367=1710,"1700","X")))))</f>
        <v>1100</v>
      </c>
      <c r="F367" s="1" t="s">
        <v>447</v>
      </c>
      <c r="G367" s="1" t="s">
        <v>302</v>
      </c>
      <c r="H367" s="1">
        <f>ROUND(P367/(1-((R367+S367))/100)*Q367, 3)</f>
        <v>91.878</v>
      </c>
      <c r="I367" s="1">
        <v>0.45</v>
      </c>
      <c r="J367" s="1">
        <v>4</v>
      </c>
      <c r="K367" s="1">
        <v>1</v>
      </c>
      <c r="L367" s="1" t="s">
        <v>292</v>
      </c>
      <c r="M367" s="1">
        <v>1</v>
      </c>
      <c r="N367" s="1">
        <v>0.75281399999999998</v>
      </c>
      <c r="O367" s="1" t="s">
        <v>296</v>
      </c>
      <c r="P367" s="1">
        <v>76.947999999999993</v>
      </c>
      <c r="Q367" s="1">
        <v>1</v>
      </c>
      <c r="R367" s="1">
        <v>7</v>
      </c>
      <c r="S367" s="1">
        <v>9.25</v>
      </c>
      <c r="T367" s="1">
        <v>0</v>
      </c>
      <c r="V367" s="1" t="s">
        <v>11223</v>
      </c>
      <c r="W367" s="1">
        <v>100</v>
      </c>
      <c r="X367" s="1" t="s">
        <v>298</v>
      </c>
      <c r="Y367" s="1" t="s">
        <v>299</v>
      </c>
      <c r="Z367" s="1">
        <v>1</v>
      </c>
      <c r="AA367" s="1">
        <f>ROUND(H367*I367*Z367, 3)</f>
        <v>41.344999999999999</v>
      </c>
      <c r="AB367" s="1">
        <f>ROUND(VLOOKUP(X367,'Base de dados'!A:B, 2, 0)*AA367, 2)</f>
        <v>4.13</v>
      </c>
      <c r="AC367" s="1">
        <f>ROUND((AA367*(Destino!AG367/100))*(W367/100),2)</f>
        <v>2.89</v>
      </c>
      <c r="AD367" s="1">
        <f>ROUND(AA367*(Destino!AH367/100),2)</f>
        <v>3.82</v>
      </c>
      <c r="AE367" s="1">
        <f>ROUND((((AA367+AB367)*1.5039)*(Destino!AI367/100))-AC367,2)</f>
        <v>8.74</v>
      </c>
      <c r="AF367" s="1">
        <f>ROUND((AA367+AB367+AE367)*(J367/100),2)</f>
        <v>2.17</v>
      </c>
      <c r="AG367" s="1">
        <f>ROUND(AA367*T367,2)</f>
        <v>0</v>
      </c>
      <c r="AH367" s="1">
        <f>ROUND(AA367-AD367+AE367+AF367+AG367, 3)</f>
        <v>48.435000000000002</v>
      </c>
      <c r="AI367" s="1">
        <f>AH367*M367*K367</f>
        <v>48.435000000000002</v>
      </c>
      <c r="BA367" s="1" t="s">
        <v>11677</v>
      </c>
      <c r="BB367" s="1">
        <f>AI367</f>
        <v>48.435000000000002</v>
      </c>
      <c r="BD367" s="1">
        <f>N367</f>
        <v>0.75281399999999998</v>
      </c>
    </row>
    <row r="368" spans="1:56" x14ac:dyDescent="0.25">
      <c r="A368" s="1">
        <v>600002677</v>
      </c>
      <c r="B368" s="1">
        <v>1400</v>
      </c>
      <c r="C368" s="1">
        <v>2200001473</v>
      </c>
      <c r="D368" s="1" t="s">
        <v>303</v>
      </c>
      <c r="E368" s="1">
        <f>IF(AND(B368&lt;&gt;1110,B368&lt;&gt;1210,B368&lt;&gt;1510,B368&lt;&gt;1710),B368,IF(B368=1110,"1100",IF(B368=1210,"1200",IF(B368=1510,"1500",IF(B368=1710,"1700","X")))))</f>
        <v>1400</v>
      </c>
      <c r="F368" s="1" t="s">
        <v>11198</v>
      </c>
      <c r="G368" s="1" t="s">
        <v>302</v>
      </c>
      <c r="H368" s="1">
        <f>ROUND(P368/(1-((R368+S368))/100)*Q368, 3)</f>
        <v>105.77</v>
      </c>
      <c r="I368" s="1">
        <v>0.45</v>
      </c>
      <c r="J368" s="1">
        <v>1.5</v>
      </c>
      <c r="K368" s="1">
        <v>1</v>
      </c>
      <c r="L368" s="1" t="s">
        <v>292</v>
      </c>
      <c r="M368" s="1">
        <v>1</v>
      </c>
      <c r="N368" s="1">
        <v>1</v>
      </c>
      <c r="O368" s="1" t="s">
        <v>296</v>
      </c>
      <c r="P368" s="1">
        <v>76.947999999999993</v>
      </c>
      <c r="Q368" s="1">
        <v>1</v>
      </c>
      <c r="R368" s="1">
        <v>18</v>
      </c>
      <c r="S368" s="1">
        <v>9.25</v>
      </c>
      <c r="T368" s="1">
        <v>0</v>
      </c>
      <c r="V368" s="1" t="s">
        <v>11223</v>
      </c>
      <c r="W368" s="1">
        <v>100</v>
      </c>
      <c r="X368" s="1" t="s">
        <v>298</v>
      </c>
      <c r="Y368" s="1" t="s">
        <v>299</v>
      </c>
      <c r="Z368" s="1">
        <v>1</v>
      </c>
      <c r="AA368" s="1">
        <f>ROUND(H368*I368*Z368, 3)</f>
        <v>47.597000000000001</v>
      </c>
      <c r="AB368" s="1">
        <f>ROUND(VLOOKUP(X368,'Base de dados'!A:B, 2, 0)*AA368, 2)</f>
        <v>4.76</v>
      </c>
      <c r="AC368" s="1">
        <f>ROUND((AA368*(Destino!AG368/100))*(W368/100),2)</f>
        <v>8.57</v>
      </c>
      <c r="AD368" s="1">
        <f>ROUND(AA368*(Destino!AH368/100),2)</f>
        <v>4.4000000000000004</v>
      </c>
      <c r="AF368" s="1">
        <f>ROUND((AA368+ AB368)*(J368/100),2)</f>
        <v>0.79</v>
      </c>
      <c r="AG368" s="1">
        <f>ROUND(AA368*T368,2)</f>
        <v>0</v>
      </c>
      <c r="AH368" s="1">
        <f>ROUND(AA368-(AC368+AD368)+AF368+AG368, 3)</f>
        <v>35.417000000000002</v>
      </c>
      <c r="AI368" s="1">
        <f>AH368*M368*K368</f>
        <v>35.417000000000002</v>
      </c>
      <c r="BA368" s="1" t="s">
        <v>11426</v>
      </c>
      <c r="BB368" s="1">
        <f>AI368</f>
        <v>35.417000000000002</v>
      </c>
      <c r="BD368" s="1">
        <f>N368</f>
        <v>1</v>
      </c>
    </row>
    <row r="369" spans="1:56" x14ac:dyDescent="0.25">
      <c r="A369" s="1">
        <v>600002677</v>
      </c>
      <c r="B369" s="1">
        <v>1700</v>
      </c>
      <c r="C369" s="1">
        <v>2200001421</v>
      </c>
      <c r="D369" s="1" t="s">
        <v>303</v>
      </c>
      <c r="E369" s="1">
        <f>IF(AND(B369&lt;&gt;1110,B369&lt;&gt;1210,B369&lt;&gt;1510,B369&lt;&gt;1710),B369,IF(B369=1110,"1100",IF(B369=1210,"1200",IF(B369=1510,"1500",IF(B369=1710,"1700","X")))))</f>
        <v>1700</v>
      </c>
      <c r="F369" s="1" t="s">
        <v>11238</v>
      </c>
      <c r="G369" s="1" t="s">
        <v>302</v>
      </c>
      <c r="H369" s="1">
        <f>ROUND(P369/(1-((R369+S369))/100)*Q369, 3)</f>
        <v>42.289000000000001</v>
      </c>
      <c r="I369" s="1">
        <v>0.25</v>
      </c>
      <c r="J369" s="1">
        <v>3</v>
      </c>
      <c r="K369" s="1">
        <v>1</v>
      </c>
      <c r="L369" s="1" t="s">
        <v>292</v>
      </c>
      <c r="M369" s="1">
        <v>4</v>
      </c>
      <c r="N369" s="1">
        <v>1</v>
      </c>
      <c r="O369" s="1" t="s">
        <v>296</v>
      </c>
      <c r="P369" s="1">
        <f>IFERROR(VLOOKUP(BC369, BA:BA:BB:BB, 2, 0),)</f>
        <v>35.417000000000002</v>
      </c>
      <c r="Q369" s="1">
        <f>IFERROR(VLOOKUP(BC369, BA:BA:BD:BD, 4, 0),1)</f>
        <v>1</v>
      </c>
      <c r="R369" s="1">
        <v>7</v>
      </c>
      <c r="S369" s="1">
        <v>9.25</v>
      </c>
      <c r="T369" s="1">
        <v>0</v>
      </c>
      <c r="V369" s="1" t="s">
        <v>11223</v>
      </c>
      <c r="W369" s="1">
        <v>100</v>
      </c>
      <c r="X369" s="1" t="s">
        <v>298</v>
      </c>
      <c r="Y369" s="1" t="s">
        <v>299</v>
      </c>
      <c r="Z369" s="1">
        <v>1</v>
      </c>
      <c r="AA369" s="1">
        <f>ROUND(H369*I369*Z369, 3)</f>
        <v>10.571999999999999</v>
      </c>
      <c r="AB369" s="1">
        <f>ROUND(VLOOKUP(X369,'Base de dados'!A:B, 2, 0)*AA369, 2)</f>
        <v>1.06</v>
      </c>
      <c r="AC369" s="1">
        <f>ROUND((AA369*(Destino!AG369/100))*(W369/100),2)</f>
        <v>0.74</v>
      </c>
      <c r="AD369" s="1">
        <f>ROUND(AA369*(Destino!AH369/100),2)</f>
        <v>0</v>
      </c>
      <c r="AE369" s="1">
        <f>ROUND((((AA369+AB369)*1.48)*(Destino!AI369/100))-AC369,2)</f>
        <v>2.19</v>
      </c>
      <c r="AF369" s="1">
        <f>ROUND((AA369+AB369+AE369)*(J369/100),2)</f>
        <v>0.41</v>
      </c>
      <c r="AG369" s="1">
        <f>ROUND(AA369*T369,2)</f>
        <v>0</v>
      </c>
      <c r="AH369" s="1">
        <f>ROUND(AA369+AB369-AD369+AE369+AF369+AG369, 3)</f>
        <v>14.231999999999999</v>
      </c>
      <c r="AI369" s="1">
        <f>AH369*M369*K369</f>
        <v>56.927999999999997</v>
      </c>
      <c r="BA369" s="1" t="s">
        <v>11317</v>
      </c>
      <c r="BB369" s="1">
        <f>AI369</f>
        <v>56.927999999999997</v>
      </c>
      <c r="BC369" s="1" t="s">
        <v>11426</v>
      </c>
      <c r="BD369" s="1">
        <f>N369</f>
        <v>1</v>
      </c>
    </row>
    <row r="370" spans="1:56" x14ac:dyDescent="0.25">
      <c r="A370" s="1">
        <v>600002678</v>
      </c>
      <c r="B370" s="1">
        <v>1000</v>
      </c>
      <c r="C370" s="1">
        <v>2200001473</v>
      </c>
      <c r="D370" s="1" t="s">
        <v>303</v>
      </c>
      <c r="E370" s="1">
        <f>IF(AND(B370&lt;&gt;1110,B370&lt;&gt;1210,B370&lt;&gt;1510,B370&lt;&gt;1710),B370,IF(B370=1110,"1100",IF(B370=1210,"1200",IF(B370=1510,"1500",IF(B370=1710,"1700","X")))))</f>
        <v>1000</v>
      </c>
      <c r="F370" s="1" t="s">
        <v>11198</v>
      </c>
      <c r="G370" s="1" t="s">
        <v>302</v>
      </c>
      <c r="H370" s="1">
        <f>ROUND(P370/(1-((R370+S370))/100)*Q370, 3)</f>
        <v>108.298</v>
      </c>
      <c r="I370" s="1">
        <v>0.45</v>
      </c>
      <c r="J370" s="1">
        <v>1.5</v>
      </c>
      <c r="K370" s="1">
        <v>1</v>
      </c>
      <c r="L370" s="1" t="s">
        <v>292</v>
      </c>
      <c r="M370" s="1">
        <v>1</v>
      </c>
      <c r="N370" s="1">
        <v>1</v>
      </c>
      <c r="O370" s="1" t="s">
        <v>296</v>
      </c>
      <c r="P370" s="1">
        <v>85.284999999999997</v>
      </c>
      <c r="Q370" s="1">
        <v>1</v>
      </c>
      <c r="R370" s="1">
        <v>12</v>
      </c>
      <c r="S370" s="1">
        <v>9.25</v>
      </c>
      <c r="T370" s="1">
        <v>0</v>
      </c>
      <c r="V370" s="1" t="s">
        <v>11223</v>
      </c>
      <c r="W370" s="1">
        <v>100</v>
      </c>
      <c r="X370" s="1" t="s">
        <v>298</v>
      </c>
      <c r="Y370" s="1" t="s">
        <v>299</v>
      </c>
      <c r="Z370" s="1">
        <v>1</v>
      </c>
      <c r="AA370" s="1">
        <f>ROUND(H370*I370*Z370, 3)</f>
        <v>48.734000000000002</v>
      </c>
      <c r="AB370" s="1">
        <f>ROUND(VLOOKUP(X370,'Base de dados'!A:B, 2, 0)*AA370, 2)</f>
        <v>4.87</v>
      </c>
      <c r="AC370" s="1">
        <f>ROUND((AA370*(Destino!AG370/100))*(W370/100),2)</f>
        <v>5.85</v>
      </c>
      <c r="AD370" s="1">
        <f>ROUND(AA370*(Destino!AH370/100),2)</f>
        <v>4.51</v>
      </c>
      <c r="AF370" s="1">
        <f>ROUND((AA370+ AB370)*(J370/100),2)</f>
        <v>0.8</v>
      </c>
      <c r="AG370" s="1">
        <f>ROUND(AA370*T370,2)</f>
        <v>0</v>
      </c>
      <c r="AH370" s="1">
        <f>ROUND(AA370-(AC370+AD370)+AF370+AG370, 3)</f>
        <v>39.173999999999999</v>
      </c>
      <c r="AI370" s="1">
        <f>AH370*M370*K370</f>
        <v>39.173999999999999</v>
      </c>
      <c r="BA370" s="1" t="s">
        <v>11678</v>
      </c>
      <c r="BB370" s="1">
        <f>AI370</f>
        <v>39.173999999999999</v>
      </c>
      <c r="BD370" s="1">
        <f>N370</f>
        <v>1</v>
      </c>
    </row>
    <row r="371" spans="1:56" x14ac:dyDescent="0.25">
      <c r="A371" s="1">
        <v>600002678</v>
      </c>
      <c r="B371" s="1">
        <v>1100</v>
      </c>
      <c r="C371" s="1">
        <v>2200001473</v>
      </c>
      <c r="D371" s="1" t="s">
        <v>303</v>
      </c>
      <c r="E371" s="1">
        <f>IF(AND(B371&lt;&gt;1110,B371&lt;&gt;1210,B371&lt;&gt;1510,B371&lt;&gt;1710),B371,IF(B371=1110,"1100",IF(B371=1210,"1200",IF(B371=1510,"1500",IF(B371=1710,"1700","X")))))</f>
        <v>1100</v>
      </c>
      <c r="F371" s="1" t="s">
        <v>11198</v>
      </c>
      <c r="G371" s="1" t="s">
        <v>302</v>
      </c>
      <c r="H371" s="1">
        <f>ROUND(P371/(1-((R371+S371))/100)*Q371, 3)</f>
        <v>101.833</v>
      </c>
      <c r="I371" s="1">
        <v>0.45</v>
      </c>
      <c r="J371" s="1">
        <v>2</v>
      </c>
      <c r="K371" s="1">
        <v>1</v>
      </c>
      <c r="L371" s="1" t="s">
        <v>292</v>
      </c>
      <c r="M371" s="1">
        <v>1</v>
      </c>
      <c r="N371" s="1">
        <v>1</v>
      </c>
      <c r="O371" s="1" t="s">
        <v>296</v>
      </c>
      <c r="P371" s="1">
        <v>85.284999999999997</v>
      </c>
      <c r="Q371" s="1">
        <v>1</v>
      </c>
      <c r="R371" s="1">
        <v>7</v>
      </c>
      <c r="S371" s="1">
        <v>9.25</v>
      </c>
      <c r="T371" s="1">
        <v>0</v>
      </c>
      <c r="V371" s="1" t="s">
        <v>11223</v>
      </c>
      <c r="W371" s="1">
        <v>100</v>
      </c>
      <c r="X371" s="1" t="s">
        <v>298</v>
      </c>
      <c r="Y371" s="1" t="s">
        <v>299</v>
      </c>
      <c r="Z371" s="1">
        <v>1</v>
      </c>
      <c r="AA371" s="1">
        <f>ROUND(H371*I371*Z371, 3)</f>
        <v>45.825000000000003</v>
      </c>
      <c r="AB371" s="1">
        <f>ROUND(VLOOKUP(X371,'Base de dados'!A:B, 2, 0)*AA371, 2)</f>
        <v>4.58</v>
      </c>
      <c r="AC371" s="1">
        <f>ROUND((AA371*(Destino!AG371/100))*(W371/100),2)</f>
        <v>3.21</v>
      </c>
      <c r="AD371" s="1">
        <f>ROUND(AA371*(Destino!AH371/100),2)</f>
        <v>4.24</v>
      </c>
      <c r="AF371" s="1">
        <f>ROUND((AA371+ AB371)*(J371/100),2)</f>
        <v>1.01</v>
      </c>
      <c r="AG371" s="1">
        <f>ROUND(AA371*T371,2)</f>
        <v>0</v>
      </c>
      <c r="AH371" s="1">
        <f>ROUND(AA371-(AC371+AD371)+AF371+AG371, 3)</f>
        <v>39.384999999999998</v>
      </c>
      <c r="AI371" s="1">
        <f>AH371*M371*K371</f>
        <v>39.384999999999998</v>
      </c>
      <c r="BA371" s="1" t="s">
        <v>11679</v>
      </c>
      <c r="BB371" s="1">
        <f>AI371</f>
        <v>39.384999999999998</v>
      </c>
      <c r="BD371" s="1">
        <f>N371</f>
        <v>1</v>
      </c>
    </row>
    <row r="372" spans="1:56" x14ac:dyDescent="0.25">
      <c r="A372" s="1">
        <v>600002678</v>
      </c>
      <c r="B372" s="1">
        <v>1110</v>
      </c>
      <c r="C372" s="1">
        <v>2200001473</v>
      </c>
      <c r="D372" s="1" t="s">
        <v>303</v>
      </c>
      <c r="E372" s="1" t="str">
        <f>IF(AND(B372&lt;&gt;1110,B372&lt;&gt;1210,B372&lt;&gt;1510,B372&lt;&gt;1710),B372,IF(B372=1110,"1100",IF(B372=1210,"1200",IF(B372=1510,"1500",IF(B372=1710,"1700","X")))))</f>
        <v>1100</v>
      </c>
      <c r="F372" s="1" t="s">
        <v>447</v>
      </c>
      <c r="G372" s="1" t="s">
        <v>302</v>
      </c>
      <c r="H372" s="1">
        <f>ROUND(P372/(1-((R372+S372))/100)*Q372, 3)</f>
        <v>101.833</v>
      </c>
      <c r="I372" s="1">
        <v>0.45</v>
      </c>
      <c r="J372" s="1">
        <v>4</v>
      </c>
      <c r="K372" s="1">
        <v>1</v>
      </c>
      <c r="L372" s="1" t="s">
        <v>292</v>
      </c>
      <c r="M372" s="1">
        <v>1</v>
      </c>
      <c r="N372" s="1">
        <v>0.75272499999999998</v>
      </c>
      <c r="O372" s="1" t="s">
        <v>296</v>
      </c>
      <c r="P372" s="1">
        <v>85.284999999999997</v>
      </c>
      <c r="Q372" s="1">
        <v>1</v>
      </c>
      <c r="R372" s="1">
        <v>7</v>
      </c>
      <c r="S372" s="1">
        <v>9.25</v>
      </c>
      <c r="T372" s="1">
        <v>0</v>
      </c>
      <c r="V372" s="1" t="s">
        <v>11223</v>
      </c>
      <c r="W372" s="1">
        <v>100</v>
      </c>
      <c r="X372" s="1" t="s">
        <v>298</v>
      </c>
      <c r="Y372" s="1" t="s">
        <v>299</v>
      </c>
      <c r="Z372" s="1">
        <v>1</v>
      </c>
      <c r="AA372" s="1">
        <f>ROUND(H372*I372*Z372, 3)</f>
        <v>45.825000000000003</v>
      </c>
      <c r="AB372" s="1">
        <f>ROUND(VLOOKUP(X372,'Base de dados'!A:B, 2, 0)*AA372, 2)</f>
        <v>4.58</v>
      </c>
      <c r="AC372" s="1">
        <f>ROUND((AA372*(Destino!AG372/100))*(W372/100),2)</f>
        <v>3.21</v>
      </c>
      <c r="AD372" s="1">
        <f>ROUND(AA372*(Destino!AH372/100),2)</f>
        <v>4.24</v>
      </c>
      <c r="AE372" s="1">
        <f>ROUND((((AA372+AB372)*1.5039)*(Destino!AI372/100))-AC372,2)</f>
        <v>9.68</v>
      </c>
      <c r="AF372" s="1">
        <f>ROUND((AA372+AB372+AE372)*(J372/100),2)</f>
        <v>2.4</v>
      </c>
      <c r="AG372" s="1">
        <f>ROUND(AA372*T372,2)</f>
        <v>0</v>
      </c>
      <c r="AH372" s="1">
        <f>ROUND(AA372-AD372+AE372+AF372+AG372, 3)</f>
        <v>53.664999999999999</v>
      </c>
      <c r="AI372" s="1">
        <f>AH372*M372*K372</f>
        <v>53.664999999999999</v>
      </c>
      <c r="BA372" s="1" t="s">
        <v>11680</v>
      </c>
      <c r="BB372" s="1">
        <f>AI372</f>
        <v>53.664999999999999</v>
      </c>
      <c r="BD372" s="1">
        <f>N372</f>
        <v>0.75272499999999998</v>
      </c>
    </row>
    <row r="373" spans="1:56" x14ac:dyDescent="0.25">
      <c r="A373" s="1">
        <v>600002678</v>
      </c>
      <c r="B373" s="1">
        <v>1400</v>
      </c>
      <c r="C373" s="1">
        <v>2200001473</v>
      </c>
      <c r="D373" s="1" t="s">
        <v>303</v>
      </c>
      <c r="E373" s="1">
        <f>IF(AND(B373&lt;&gt;1110,B373&lt;&gt;1210,B373&lt;&gt;1510,B373&lt;&gt;1710),B373,IF(B373=1110,"1100",IF(B373=1210,"1200",IF(B373=1510,"1500",IF(B373=1710,"1700","X")))))</f>
        <v>1400</v>
      </c>
      <c r="F373" s="1" t="s">
        <v>11198</v>
      </c>
      <c r="G373" s="1" t="s">
        <v>302</v>
      </c>
      <c r="H373" s="1">
        <f>ROUND(P373/(1-((R373+S373))/100)*Q373, 3)</f>
        <v>117.23</v>
      </c>
      <c r="I373" s="1">
        <v>0.45</v>
      </c>
      <c r="J373" s="1">
        <v>1.5</v>
      </c>
      <c r="K373" s="1">
        <v>1</v>
      </c>
      <c r="L373" s="1" t="s">
        <v>292</v>
      </c>
      <c r="M373" s="1">
        <v>1</v>
      </c>
      <c r="N373" s="1">
        <v>1</v>
      </c>
      <c r="O373" s="1" t="s">
        <v>296</v>
      </c>
      <c r="P373" s="1">
        <v>85.284999999999997</v>
      </c>
      <c r="Q373" s="1">
        <v>1</v>
      </c>
      <c r="R373" s="1">
        <v>18</v>
      </c>
      <c r="S373" s="1">
        <v>9.25</v>
      </c>
      <c r="T373" s="1">
        <v>0</v>
      </c>
      <c r="V373" s="1" t="s">
        <v>11223</v>
      </c>
      <c r="W373" s="1">
        <v>100</v>
      </c>
      <c r="X373" s="1" t="s">
        <v>298</v>
      </c>
      <c r="Y373" s="1" t="s">
        <v>299</v>
      </c>
      <c r="Z373" s="1">
        <v>1</v>
      </c>
      <c r="AA373" s="1">
        <f>ROUND(H373*I373*Z373, 3)</f>
        <v>52.753999999999998</v>
      </c>
      <c r="AB373" s="1">
        <f>ROUND(VLOOKUP(X373,'Base de dados'!A:B, 2, 0)*AA373, 2)</f>
        <v>5.28</v>
      </c>
      <c r="AC373" s="1">
        <f>ROUND((AA373*(Destino!AG373/100))*(W373/100),2)</f>
        <v>9.5</v>
      </c>
      <c r="AD373" s="1">
        <f>ROUND(AA373*(Destino!AH373/100),2)</f>
        <v>4.88</v>
      </c>
      <c r="AF373" s="1">
        <f>ROUND((AA373+ AB373)*(J373/100),2)</f>
        <v>0.87</v>
      </c>
      <c r="AG373" s="1">
        <f>ROUND(AA373*T373,2)</f>
        <v>0</v>
      </c>
      <c r="AH373" s="1">
        <f>ROUND(AA373-(AC373+AD373)+AF373+AG373, 3)</f>
        <v>39.244</v>
      </c>
      <c r="AI373" s="1">
        <f>AH373*M373*K373</f>
        <v>39.244</v>
      </c>
      <c r="BA373" s="1" t="s">
        <v>11427</v>
      </c>
      <c r="BB373" s="1">
        <f>AI373</f>
        <v>39.244</v>
      </c>
      <c r="BD373" s="1">
        <f>N373</f>
        <v>1</v>
      </c>
    </row>
    <row r="374" spans="1:56" x14ac:dyDescent="0.25">
      <c r="A374" s="1">
        <v>600002678</v>
      </c>
      <c r="B374" s="1">
        <v>1700</v>
      </c>
      <c r="C374" s="1">
        <v>2200001421</v>
      </c>
      <c r="D374" s="1" t="s">
        <v>303</v>
      </c>
      <c r="E374" s="1">
        <f>IF(AND(B374&lt;&gt;1110,B374&lt;&gt;1210,B374&lt;&gt;1510,B374&lt;&gt;1710),B374,IF(B374=1110,"1100",IF(B374=1210,"1200",IF(B374=1510,"1500",IF(B374=1710,"1700","X")))))</f>
        <v>1700</v>
      </c>
      <c r="F374" s="1" t="s">
        <v>11238</v>
      </c>
      <c r="G374" s="1" t="s">
        <v>302</v>
      </c>
      <c r="H374" s="1">
        <f>ROUND(P374/(1-((R374+S374))/100)*Q374, 3)</f>
        <v>46.859000000000002</v>
      </c>
      <c r="I374" s="1">
        <v>0.25</v>
      </c>
      <c r="J374" s="1">
        <v>3</v>
      </c>
      <c r="K374" s="1">
        <v>1</v>
      </c>
      <c r="L374" s="1" t="s">
        <v>292</v>
      </c>
      <c r="M374" s="1">
        <v>4</v>
      </c>
      <c r="N374" s="1">
        <v>1</v>
      </c>
      <c r="O374" s="1" t="s">
        <v>296</v>
      </c>
      <c r="P374" s="1">
        <f>IFERROR(VLOOKUP(BC374, BA:BA:BB:BB, 2, 0),)</f>
        <v>39.244</v>
      </c>
      <c r="Q374" s="1">
        <f>IFERROR(VLOOKUP(BC374, BA:BA:BD:BD, 4, 0),1)</f>
        <v>1</v>
      </c>
      <c r="R374" s="1">
        <v>7</v>
      </c>
      <c r="S374" s="1">
        <v>9.25</v>
      </c>
      <c r="T374" s="1">
        <v>0</v>
      </c>
      <c r="V374" s="1" t="s">
        <v>11223</v>
      </c>
      <c r="W374" s="1">
        <v>100</v>
      </c>
      <c r="X374" s="1" t="s">
        <v>298</v>
      </c>
      <c r="Y374" s="1" t="s">
        <v>299</v>
      </c>
      <c r="Z374" s="1">
        <v>1</v>
      </c>
      <c r="AA374" s="1">
        <f>ROUND(H374*I374*Z374, 3)</f>
        <v>11.715</v>
      </c>
      <c r="AB374" s="1">
        <f>ROUND(VLOOKUP(X374,'Base de dados'!A:B, 2, 0)*AA374, 2)</f>
        <v>1.17</v>
      </c>
      <c r="AC374" s="1">
        <f>ROUND((AA374*(Destino!AG374/100))*(W374/100),2)</f>
        <v>0.82</v>
      </c>
      <c r="AD374" s="1">
        <f>ROUND(AA374*(Destino!AH374/100),2)</f>
        <v>0</v>
      </c>
      <c r="AE374" s="1">
        <f>ROUND((((AA374+AB374)*1.48)*(Destino!AI374/100))-AC374,2)</f>
        <v>2.42</v>
      </c>
      <c r="AF374" s="1">
        <f>ROUND((AA374+AB374+AE374)*(J374/100),2)</f>
        <v>0.46</v>
      </c>
      <c r="AG374" s="1">
        <f>ROUND(AA374*T374,2)</f>
        <v>0</v>
      </c>
      <c r="AH374" s="1">
        <f>ROUND(AA374+AB374-AD374+AE374+AF374+AG374, 3)</f>
        <v>15.765000000000001</v>
      </c>
      <c r="AI374" s="1">
        <f>AH374*M374*K374</f>
        <v>63.06</v>
      </c>
      <c r="BA374" s="1" t="s">
        <v>11318</v>
      </c>
      <c r="BB374" s="1">
        <f>AI374</f>
        <v>63.06</v>
      </c>
      <c r="BC374" s="1" t="s">
        <v>11427</v>
      </c>
      <c r="BD374" s="1">
        <f>N374</f>
        <v>1</v>
      </c>
    </row>
    <row r="375" spans="1:56" x14ac:dyDescent="0.25">
      <c r="A375" s="1">
        <v>600002705</v>
      </c>
      <c r="B375" s="1">
        <v>1000</v>
      </c>
      <c r="C375" s="1">
        <v>2200001473</v>
      </c>
      <c r="D375" s="1" t="s">
        <v>303</v>
      </c>
      <c r="E375" s="1">
        <f>IF(AND(B375&lt;&gt;1110,B375&lt;&gt;1210,B375&lt;&gt;1510,B375&lt;&gt;1710),B375,IF(B375=1110,"1100",IF(B375=1210,"1200",IF(B375=1510,"1500",IF(B375=1710,"1700","X")))))</f>
        <v>1000</v>
      </c>
      <c r="F375" s="1" t="s">
        <v>11198</v>
      </c>
      <c r="G375" s="1" t="s">
        <v>302</v>
      </c>
      <c r="H375" s="1">
        <f>ROUND(P375/(1-((R375+S375))/100)*Q375, 3)</f>
        <v>74.7</v>
      </c>
      <c r="I375" s="1">
        <v>0.45</v>
      </c>
      <c r="J375" s="1">
        <v>1.5</v>
      </c>
      <c r="K375" s="1">
        <v>1</v>
      </c>
      <c r="L375" s="1" t="s">
        <v>292</v>
      </c>
      <c r="M375" s="1">
        <v>1</v>
      </c>
      <c r="N375" s="1">
        <v>1</v>
      </c>
      <c r="O375" s="1" t="s">
        <v>296</v>
      </c>
      <c r="P375" s="1">
        <v>58.826000000000001</v>
      </c>
      <c r="Q375" s="1">
        <v>1</v>
      </c>
      <c r="R375" s="1">
        <v>12</v>
      </c>
      <c r="S375" s="1">
        <v>9.25</v>
      </c>
      <c r="T375" s="1">
        <v>0</v>
      </c>
      <c r="V375" s="1" t="s">
        <v>11223</v>
      </c>
      <c r="W375" s="1">
        <v>100</v>
      </c>
      <c r="X375" s="1" t="s">
        <v>298</v>
      </c>
      <c r="Y375" s="1" t="s">
        <v>299</v>
      </c>
      <c r="Z375" s="1">
        <v>1</v>
      </c>
      <c r="AA375" s="1">
        <f>ROUND(H375*I375*Z375, 3)</f>
        <v>33.615000000000002</v>
      </c>
      <c r="AB375" s="1">
        <f>ROUND(VLOOKUP(X375,'Base de dados'!A:B, 2, 0)*AA375, 2)</f>
        <v>3.36</v>
      </c>
      <c r="AC375" s="1">
        <f>ROUND((AA375*(Destino!AG375/100))*(W375/100),2)</f>
        <v>4.03</v>
      </c>
      <c r="AD375" s="1">
        <f>ROUND(AA375*(Destino!AH375/100),2)</f>
        <v>3.11</v>
      </c>
      <c r="AF375" s="1">
        <f>ROUND((AA375+ AB375)*(J375/100),2)</f>
        <v>0.55000000000000004</v>
      </c>
      <c r="AG375" s="1">
        <f>ROUND(AA375*T375,2)</f>
        <v>0</v>
      </c>
      <c r="AH375" s="1">
        <f>ROUND(AA375-(AC375+AD375)+AF375+AG375, 3)</f>
        <v>27.024999999999999</v>
      </c>
      <c r="AI375" s="1">
        <f>AH375*M375*K375</f>
        <v>27.024999999999999</v>
      </c>
      <c r="BA375" s="1" t="s">
        <v>11681</v>
      </c>
      <c r="BB375" s="1">
        <f>AI375</f>
        <v>27.024999999999999</v>
      </c>
      <c r="BD375" s="1">
        <f>N375</f>
        <v>1</v>
      </c>
    </row>
    <row r="376" spans="1:56" x14ac:dyDescent="0.25">
      <c r="A376" s="1">
        <v>600002705</v>
      </c>
      <c r="B376" s="1">
        <v>1100</v>
      </c>
      <c r="C376" s="1">
        <v>2200001473</v>
      </c>
      <c r="D376" s="1" t="s">
        <v>303</v>
      </c>
      <c r="E376" s="1">
        <f>IF(AND(B376&lt;&gt;1110,B376&lt;&gt;1210,B376&lt;&gt;1510,B376&lt;&gt;1710),B376,IF(B376=1110,"1100",IF(B376=1210,"1200",IF(B376=1510,"1500",IF(B376=1710,"1700","X")))))</f>
        <v>1100</v>
      </c>
      <c r="F376" s="1" t="s">
        <v>11198</v>
      </c>
      <c r="G376" s="1" t="s">
        <v>302</v>
      </c>
      <c r="H376" s="1">
        <f>ROUND(P376/(1-((R376+S376))/100)*Q376, 3)</f>
        <v>70.239999999999995</v>
      </c>
      <c r="I376" s="1">
        <v>0.45</v>
      </c>
      <c r="J376" s="1">
        <v>2</v>
      </c>
      <c r="K376" s="1">
        <v>1</v>
      </c>
      <c r="L376" s="1" t="s">
        <v>292</v>
      </c>
      <c r="M376" s="1">
        <v>1</v>
      </c>
      <c r="N376" s="1">
        <v>1</v>
      </c>
      <c r="O376" s="1" t="s">
        <v>296</v>
      </c>
      <c r="P376" s="1">
        <v>58.826000000000001</v>
      </c>
      <c r="Q376" s="1">
        <v>1</v>
      </c>
      <c r="R376" s="1">
        <v>7</v>
      </c>
      <c r="S376" s="1">
        <v>9.25</v>
      </c>
      <c r="T376" s="1">
        <v>0</v>
      </c>
      <c r="V376" s="1" t="s">
        <v>11223</v>
      </c>
      <c r="W376" s="1">
        <v>100</v>
      </c>
      <c r="X376" s="1" t="s">
        <v>298</v>
      </c>
      <c r="Y376" s="1" t="s">
        <v>299</v>
      </c>
      <c r="Z376" s="1">
        <v>1</v>
      </c>
      <c r="AA376" s="1">
        <f>ROUND(H376*I376*Z376, 3)</f>
        <v>31.608000000000001</v>
      </c>
      <c r="AB376" s="1">
        <f>ROUND(VLOOKUP(X376,'Base de dados'!A:B, 2, 0)*AA376, 2)</f>
        <v>3.16</v>
      </c>
      <c r="AC376" s="1">
        <f>ROUND((AA376*(Destino!AG376/100))*(W376/100),2)</f>
        <v>2.21</v>
      </c>
      <c r="AD376" s="1">
        <f>ROUND(AA376*(Destino!AH376/100),2)</f>
        <v>2.92</v>
      </c>
      <c r="AF376" s="1">
        <f>ROUND((AA376+ AB376)*(J376/100),2)</f>
        <v>0.7</v>
      </c>
      <c r="AG376" s="1">
        <f>ROUND(AA376*T376,2)</f>
        <v>0</v>
      </c>
      <c r="AH376" s="1">
        <f>ROUND(AA376-(AC376+AD376)+AF376+AG376, 3)</f>
        <v>27.178000000000001</v>
      </c>
      <c r="AI376" s="1">
        <f>AH376*M376*K376</f>
        <v>27.178000000000001</v>
      </c>
      <c r="BA376" s="1" t="s">
        <v>11682</v>
      </c>
      <c r="BB376" s="1">
        <f>AI376</f>
        <v>27.178000000000001</v>
      </c>
      <c r="BD376" s="1">
        <f>N376</f>
        <v>1</v>
      </c>
    </row>
    <row r="377" spans="1:56" x14ac:dyDescent="0.25">
      <c r="A377" s="1">
        <v>600002705</v>
      </c>
      <c r="B377" s="1">
        <v>1110</v>
      </c>
      <c r="C377" s="1">
        <v>2200001473</v>
      </c>
      <c r="D377" s="1" t="s">
        <v>303</v>
      </c>
      <c r="E377" s="1" t="str">
        <f>IF(AND(B377&lt;&gt;1110,B377&lt;&gt;1210,B377&lt;&gt;1510,B377&lt;&gt;1710),B377,IF(B377=1110,"1100",IF(B377=1210,"1200",IF(B377=1510,"1500",IF(B377=1710,"1700","X")))))</f>
        <v>1100</v>
      </c>
      <c r="F377" s="1" t="s">
        <v>447</v>
      </c>
      <c r="G377" s="1" t="s">
        <v>302</v>
      </c>
      <c r="H377" s="1">
        <f>ROUND(P377/(1-((R377+S377))/100)*Q377, 3)</f>
        <v>70.239999999999995</v>
      </c>
      <c r="I377" s="1">
        <v>0.45</v>
      </c>
      <c r="J377" s="1">
        <v>4</v>
      </c>
      <c r="K377" s="1">
        <v>1</v>
      </c>
      <c r="L377" s="1" t="s">
        <v>292</v>
      </c>
      <c r="M377" s="1">
        <v>1</v>
      </c>
      <c r="N377" s="1">
        <v>0.75261999999999996</v>
      </c>
      <c r="O377" s="1" t="s">
        <v>296</v>
      </c>
      <c r="P377" s="1">
        <v>58.826000000000001</v>
      </c>
      <c r="Q377" s="1">
        <v>1</v>
      </c>
      <c r="R377" s="1">
        <v>7</v>
      </c>
      <c r="S377" s="1">
        <v>9.25</v>
      </c>
      <c r="T377" s="1">
        <v>0</v>
      </c>
      <c r="V377" s="1" t="s">
        <v>11223</v>
      </c>
      <c r="W377" s="1">
        <v>100</v>
      </c>
      <c r="X377" s="1" t="s">
        <v>298</v>
      </c>
      <c r="Y377" s="1" t="s">
        <v>299</v>
      </c>
      <c r="Z377" s="1">
        <v>1</v>
      </c>
      <c r="AA377" s="1">
        <f>ROUND(H377*I377*Z377, 3)</f>
        <v>31.608000000000001</v>
      </c>
      <c r="AB377" s="1">
        <f>ROUND(VLOOKUP(X377,'Base de dados'!A:B, 2, 0)*AA377, 2)</f>
        <v>3.16</v>
      </c>
      <c r="AC377" s="1">
        <f>ROUND((AA377*(Destino!AG377/100))*(W377/100),2)</f>
        <v>2.21</v>
      </c>
      <c r="AD377" s="1">
        <f>ROUND(AA377*(Destino!AH377/100),2)</f>
        <v>2.92</v>
      </c>
      <c r="AE377" s="1">
        <f>ROUND((((AA377+AB377)*1.5039)*(Destino!AI377/100))-AC377,2)</f>
        <v>6.68</v>
      </c>
      <c r="AF377" s="1">
        <f>ROUND((AA377+AB377+AE377)*(J377/100),2)</f>
        <v>1.66</v>
      </c>
      <c r="AG377" s="1">
        <f>ROUND(AA377*T377,2)</f>
        <v>0</v>
      </c>
      <c r="AH377" s="1">
        <f>ROUND(AA377-AD377+AE377+AF377+AG377, 3)</f>
        <v>37.027999999999999</v>
      </c>
      <c r="AI377" s="1">
        <f>AH377*M377*K377</f>
        <v>37.027999999999999</v>
      </c>
      <c r="BA377" s="1" t="s">
        <v>11683</v>
      </c>
      <c r="BB377" s="1">
        <f>AI377</f>
        <v>37.027999999999999</v>
      </c>
      <c r="BD377" s="1">
        <f>N377</f>
        <v>0.75261999999999996</v>
      </c>
    </row>
    <row r="378" spans="1:56" x14ac:dyDescent="0.25">
      <c r="A378" s="1">
        <v>600002705</v>
      </c>
      <c r="B378" s="1">
        <v>1400</v>
      </c>
      <c r="C378" s="1">
        <v>2200001473</v>
      </c>
      <c r="D378" s="1" t="s">
        <v>303</v>
      </c>
      <c r="E378" s="1">
        <f>IF(AND(B378&lt;&gt;1110,B378&lt;&gt;1210,B378&lt;&gt;1510,B378&lt;&gt;1710),B378,IF(B378=1110,"1100",IF(B378=1210,"1200",IF(B378=1510,"1500",IF(B378=1710,"1700","X")))))</f>
        <v>1400</v>
      </c>
      <c r="F378" s="1" t="s">
        <v>11198</v>
      </c>
      <c r="G378" s="1" t="s">
        <v>302</v>
      </c>
      <c r="H378" s="1">
        <f>ROUND(P378/(1-((R378+S378))/100)*Q378, 3)</f>
        <v>80.86</v>
      </c>
      <c r="I378" s="1">
        <v>0.45</v>
      </c>
      <c r="J378" s="1">
        <v>1.5</v>
      </c>
      <c r="K378" s="1">
        <v>1</v>
      </c>
      <c r="L378" s="1" t="s">
        <v>292</v>
      </c>
      <c r="M378" s="1">
        <v>1</v>
      </c>
      <c r="N378" s="1">
        <v>1</v>
      </c>
      <c r="O378" s="1" t="s">
        <v>296</v>
      </c>
      <c r="P378" s="1">
        <v>58.826000000000001</v>
      </c>
      <c r="Q378" s="1">
        <v>1</v>
      </c>
      <c r="R378" s="1">
        <v>18</v>
      </c>
      <c r="S378" s="1">
        <v>9.25</v>
      </c>
      <c r="T378" s="1">
        <v>0</v>
      </c>
      <c r="V378" s="1" t="s">
        <v>11223</v>
      </c>
      <c r="W378" s="1">
        <v>100</v>
      </c>
      <c r="X378" s="1" t="s">
        <v>298</v>
      </c>
      <c r="Y378" s="1" t="s">
        <v>299</v>
      </c>
      <c r="Z378" s="1">
        <v>1</v>
      </c>
      <c r="AA378" s="1">
        <f>ROUND(H378*I378*Z378, 3)</f>
        <v>36.387</v>
      </c>
      <c r="AB378" s="1">
        <f>ROUND(VLOOKUP(X378,'Base de dados'!A:B, 2, 0)*AA378, 2)</f>
        <v>3.64</v>
      </c>
      <c r="AC378" s="1">
        <f>ROUND((AA378*(Destino!AG378/100))*(W378/100),2)</f>
        <v>6.55</v>
      </c>
      <c r="AD378" s="1">
        <f>ROUND(AA378*(Destino!AH378/100),2)</f>
        <v>3.37</v>
      </c>
      <c r="AF378" s="1">
        <f>ROUND((AA378+ AB378)*(J378/100),2)</f>
        <v>0.6</v>
      </c>
      <c r="AG378" s="1">
        <f>ROUND(AA378*T378,2)</f>
        <v>0</v>
      </c>
      <c r="AH378" s="1">
        <f>ROUND(AA378-(AC378+AD378)+AF378+AG378, 3)</f>
        <v>27.067</v>
      </c>
      <c r="AI378" s="1">
        <f>AH378*M378*K378</f>
        <v>27.067</v>
      </c>
      <c r="BA378" s="1" t="s">
        <v>11428</v>
      </c>
      <c r="BB378" s="1">
        <f>AI378</f>
        <v>27.067</v>
      </c>
      <c r="BD378" s="1">
        <f>N378</f>
        <v>1</v>
      </c>
    </row>
    <row r="379" spans="1:56" x14ac:dyDescent="0.25">
      <c r="A379" s="1">
        <v>600002705</v>
      </c>
      <c r="B379" s="1">
        <v>1700</v>
      </c>
      <c r="C379" s="1">
        <v>2200001421</v>
      </c>
      <c r="D379" s="1" t="s">
        <v>303</v>
      </c>
      <c r="E379" s="1">
        <f>IF(AND(B379&lt;&gt;1110,B379&lt;&gt;1210,B379&lt;&gt;1510,B379&lt;&gt;1710),B379,IF(B379=1110,"1100",IF(B379=1210,"1200",IF(B379=1510,"1500",IF(B379=1710,"1700","X")))))</f>
        <v>1700</v>
      </c>
      <c r="F379" s="1" t="s">
        <v>11238</v>
      </c>
      <c r="G379" s="1" t="s">
        <v>302</v>
      </c>
      <c r="H379" s="1">
        <f>ROUND(P379/(1-((R379+S379))/100)*Q379, 3)</f>
        <v>32.319000000000003</v>
      </c>
      <c r="I379" s="1">
        <v>0.25</v>
      </c>
      <c r="J379" s="1">
        <v>3</v>
      </c>
      <c r="K379" s="1">
        <v>1</v>
      </c>
      <c r="L379" s="1" t="s">
        <v>292</v>
      </c>
      <c r="M379" s="1">
        <v>4</v>
      </c>
      <c r="N379" s="1">
        <v>1</v>
      </c>
      <c r="O379" s="1" t="s">
        <v>296</v>
      </c>
      <c r="P379" s="1">
        <f>IFERROR(VLOOKUP(BC379, BA:BA:BB:BB, 2, 0),)</f>
        <v>27.067</v>
      </c>
      <c r="Q379" s="1">
        <f>IFERROR(VLOOKUP(BC379, BA:BA:BD:BD, 4, 0),1)</f>
        <v>1</v>
      </c>
      <c r="R379" s="1">
        <v>7</v>
      </c>
      <c r="S379" s="1">
        <v>9.25</v>
      </c>
      <c r="T379" s="1">
        <v>0</v>
      </c>
      <c r="V379" s="1" t="s">
        <v>11223</v>
      </c>
      <c r="W379" s="1">
        <v>100</v>
      </c>
      <c r="X379" s="1" t="s">
        <v>298</v>
      </c>
      <c r="Y379" s="1" t="s">
        <v>299</v>
      </c>
      <c r="Z379" s="1">
        <v>1</v>
      </c>
      <c r="AA379" s="1">
        <f>ROUND(H379*I379*Z379, 3)</f>
        <v>8.08</v>
      </c>
      <c r="AB379" s="1">
        <f>ROUND(VLOOKUP(X379,'Base de dados'!A:B, 2, 0)*AA379, 2)</f>
        <v>0.81</v>
      </c>
      <c r="AC379" s="1">
        <f>ROUND((AA379*(Destino!AG379/100))*(W379/100),2)</f>
        <v>0.56999999999999995</v>
      </c>
      <c r="AD379" s="1">
        <f>ROUND(AA379*(Destino!AH379/100),2)</f>
        <v>0</v>
      </c>
      <c r="AE379" s="1">
        <f>ROUND((((AA379+AB379)*1.48)*(Destino!AI379/100))-AC379,2)</f>
        <v>1.67</v>
      </c>
      <c r="AF379" s="1">
        <f>ROUND((AA379+AB379+AE379)*(J379/100),2)</f>
        <v>0.32</v>
      </c>
      <c r="AG379" s="1">
        <f>ROUND(AA379*T379,2)</f>
        <v>0</v>
      </c>
      <c r="AH379" s="1">
        <f>ROUND(AA379+AB379-AD379+AE379+AF379+AG379, 3)</f>
        <v>10.88</v>
      </c>
      <c r="AI379" s="1">
        <f>AH379*M379*K379</f>
        <v>43.52</v>
      </c>
      <c r="BA379" s="1" t="s">
        <v>11319</v>
      </c>
      <c r="BB379" s="1">
        <f>AI379</f>
        <v>43.52</v>
      </c>
      <c r="BC379" s="1" t="s">
        <v>11428</v>
      </c>
      <c r="BD379" s="1">
        <f>N379</f>
        <v>1</v>
      </c>
    </row>
    <row r="380" spans="1:56" x14ac:dyDescent="0.25">
      <c r="A380" s="1">
        <v>600002706</v>
      </c>
      <c r="B380" s="1">
        <v>1000</v>
      </c>
      <c r="C380" s="1">
        <v>2200001473</v>
      </c>
      <c r="D380" s="1" t="s">
        <v>303</v>
      </c>
      <c r="E380" s="1">
        <f>IF(AND(B380&lt;&gt;1110,B380&lt;&gt;1210,B380&lt;&gt;1510,B380&lt;&gt;1710),B380,IF(B380=1110,"1100",IF(B380=1210,"1200",IF(B380=1510,"1500",IF(B380=1710,"1700","X")))))</f>
        <v>1000</v>
      </c>
      <c r="F380" s="1" t="s">
        <v>11198</v>
      </c>
      <c r="G380" s="1" t="s">
        <v>302</v>
      </c>
      <c r="H380" s="1">
        <f>ROUND(P380/(1-((R380+S380))/100)*Q380, 3)</f>
        <v>89.007000000000005</v>
      </c>
      <c r="I380" s="1">
        <v>0.45</v>
      </c>
      <c r="J380" s="1">
        <v>1.5</v>
      </c>
      <c r="K380" s="1">
        <v>1</v>
      </c>
      <c r="L380" s="1" t="s">
        <v>292</v>
      </c>
      <c r="M380" s="1">
        <v>1</v>
      </c>
      <c r="N380" s="1">
        <v>1</v>
      </c>
      <c r="O380" s="1" t="s">
        <v>296</v>
      </c>
      <c r="P380" s="1">
        <v>70.093000000000004</v>
      </c>
      <c r="Q380" s="1">
        <v>1</v>
      </c>
      <c r="R380" s="1">
        <v>12</v>
      </c>
      <c r="S380" s="1">
        <v>9.25</v>
      </c>
      <c r="T380" s="1">
        <v>0</v>
      </c>
      <c r="V380" s="1" t="s">
        <v>11223</v>
      </c>
      <c r="W380" s="1">
        <v>100</v>
      </c>
      <c r="X380" s="1" t="s">
        <v>298</v>
      </c>
      <c r="Y380" s="1" t="s">
        <v>299</v>
      </c>
      <c r="Z380" s="1">
        <v>1</v>
      </c>
      <c r="AA380" s="1">
        <f>ROUND(H380*I380*Z380, 3)</f>
        <v>40.052999999999997</v>
      </c>
      <c r="AB380" s="1">
        <f>ROUND(VLOOKUP(X380,'Base de dados'!A:B, 2, 0)*AA380, 2)</f>
        <v>4.01</v>
      </c>
      <c r="AC380" s="1">
        <f>ROUND((AA380*(Destino!AG380/100))*(W380/100),2)</f>
        <v>4.8099999999999996</v>
      </c>
      <c r="AD380" s="1">
        <f>ROUND(AA380*(Destino!AH380/100),2)</f>
        <v>3.7</v>
      </c>
      <c r="AF380" s="1">
        <f>ROUND((AA380+ AB380)*(J380/100),2)</f>
        <v>0.66</v>
      </c>
      <c r="AG380" s="1">
        <f>ROUND(AA380*T380,2)</f>
        <v>0</v>
      </c>
      <c r="AH380" s="1">
        <f>ROUND(AA380-(AC380+AD380)+AF380+AG380, 3)</f>
        <v>32.203000000000003</v>
      </c>
      <c r="AI380" s="1">
        <f>AH380*M380*K380</f>
        <v>32.203000000000003</v>
      </c>
      <c r="BA380" s="1" t="s">
        <v>11684</v>
      </c>
      <c r="BB380" s="1">
        <f>AI380</f>
        <v>32.203000000000003</v>
      </c>
      <c r="BD380" s="1">
        <f>N380</f>
        <v>1</v>
      </c>
    </row>
    <row r="381" spans="1:56" x14ac:dyDescent="0.25">
      <c r="A381" s="1">
        <v>600002706</v>
      </c>
      <c r="B381" s="1">
        <v>1100</v>
      </c>
      <c r="C381" s="1">
        <v>2200001473</v>
      </c>
      <c r="D381" s="1" t="s">
        <v>303</v>
      </c>
      <c r="E381" s="1">
        <f>IF(AND(B381&lt;&gt;1110,B381&lt;&gt;1210,B381&lt;&gt;1510,B381&lt;&gt;1710),B381,IF(B381=1110,"1100",IF(B381=1210,"1200",IF(B381=1510,"1500",IF(B381=1710,"1700","X")))))</f>
        <v>1100</v>
      </c>
      <c r="F381" s="1" t="s">
        <v>11198</v>
      </c>
      <c r="G381" s="1" t="s">
        <v>302</v>
      </c>
      <c r="H381" s="1">
        <f>ROUND(P381/(1-((R381+S381))/100)*Q381, 3)</f>
        <v>83.695999999999998</v>
      </c>
      <c r="I381" s="1">
        <v>0.45</v>
      </c>
      <c r="J381" s="1">
        <v>2</v>
      </c>
      <c r="K381" s="1">
        <v>1</v>
      </c>
      <c r="L381" s="1" t="s">
        <v>292</v>
      </c>
      <c r="M381" s="1">
        <v>1</v>
      </c>
      <c r="N381" s="1">
        <v>1</v>
      </c>
      <c r="O381" s="1" t="s">
        <v>296</v>
      </c>
      <c r="P381" s="1">
        <v>70.094999999999999</v>
      </c>
      <c r="Q381" s="1">
        <v>1</v>
      </c>
      <c r="R381" s="1">
        <v>7</v>
      </c>
      <c r="S381" s="1">
        <v>9.25</v>
      </c>
      <c r="T381" s="1">
        <v>0</v>
      </c>
      <c r="V381" s="1" t="s">
        <v>11223</v>
      </c>
      <c r="W381" s="1">
        <v>100</v>
      </c>
      <c r="X381" s="1" t="s">
        <v>298</v>
      </c>
      <c r="Y381" s="1" t="s">
        <v>299</v>
      </c>
      <c r="Z381" s="1">
        <v>1</v>
      </c>
      <c r="AA381" s="1">
        <f>ROUND(H381*I381*Z381, 3)</f>
        <v>37.662999999999997</v>
      </c>
      <c r="AB381" s="1">
        <f>ROUND(VLOOKUP(X381,'Base de dados'!A:B, 2, 0)*AA381, 2)</f>
        <v>3.77</v>
      </c>
      <c r="AC381" s="1">
        <f>ROUND((AA381*(Destino!AG381/100))*(W381/100),2)</f>
        <v>2.64</v>
      </c>
      <c r="AD381" s="1">
        <f>ROUND(AA381*(Destino!AH381/100),2)</f>
        <v>3.48</v>
      </c>
      <c r="AF381" s="1">
        <f>ROUND((AA381+ AB381)*(J381/100),2)</f>
        <v>0.83</v>
      </c>
      <c r="AG381" s="1">
        <f>ROUND(AA381*T381,2)</f>
        <v>0</v>
      </c>
      <c r="AH381" s="1">
        <f>ROUND(AA381-(AC381+AD381)+AF381+AG381, 3)</f>
        <v>32.372999999999998</v>
      </c>
      <c r="AI381" s="1">
        <f>AH381*M381*K381</f>
        <v>32.372999999999998</v>
      </c>
      <c r="BA381" s="1" t="s">
        <v>11685</v>
      </c>
      <c r="BB381" s="1">
        <f>AI381</f>
        <v>32.372999999999998</v>
      </c>
      <c r="BD381" s="1">
        <f>N381</f>
        <v>1</v>
      </c>
    </row>
    <row r="382" spans="1:56" x14ac:dyDescent="0.25">
      <c r="A382" s="1">
        <v>600002706</v>
      </c>
      <c r="B382" s="1">
        <v>1110</v>
      </c>
      <c r="C382" s="1">
        <v>2200001473</v>
      </c>
      <c r="D382" s="1" t="s">
        <v>303</v>
      </c>
      <c r="E382" s="1" t="str">
        <f>IF(AND(B382&lt;&gt;1110,B382&lt;&gt;1210,B382&lt;&gt;1510,B382&lt;&gt;1710),B382,IF(B382=1110,"1100",IF(B382=1210,"1200",IF(B382=1510,"1500",IF(B382=1710,"1700","X")))))</f>
        <v>1100</v>
      </c>
      <c r="F382" s="1" t="s">
        <v>447</v>
      </c>
      <c r="G382" s="1" t="s">
        <v>302</v>
      </c>
      <c r="H382" s="1">
        <f>ROUND(P382/(1-((R382+S382))/100)*Q382, 3)</f>
        <v>83.695999999999998</v>
      </c>
      <c r="I382" s="1">
        <v>0.45</v>
      </c>
      <c r="J382" s="1">
        <v>4</v>
      </c>
      <c r="K382" s="1">
        <v>1</v>
      </c>
      <c r="L382" s="1" t="s">
        <v>292</v>
      </c>
      <c r="M382" s="1">
        <v>1</v>
      </c>
      <c r="N382" s="1">
        <v>0.75268100000000004</v>
      </c>
      <c r="O382" s="1" t="s">
        <v>296</v>
      </c>
      <c r="P382" s="1">
        <v>70.094999999999999</v>
      </c>
      <c r="Q382" s="1">
        <v>1</v>
      </c>
      <c r="R382" s="1">
        <v>7</v>
      </c>
      <c r="S382" s="1">
        <v>9.25</v>
      </c>
      <c r="T382" s="1">
        <v>0</v>
      </c>
      <c r="V382" s="1" t="s">
        <v>11223</v>
      </c>
      <c r="W382" s="1">
        <v>100</v>
      </c>
      <c r="X382" s="1" t="s">
        <v>298</v>
      </c>
      <c r="Y382" s="1" t="s">
        <v>299</v>
      </c>
      <c r="Z382" s="1">
        <v>1</v>
      </c>
      <c r="AA382" s="1">
        <f>ROUND(H382*I382*Z382, 3)</f>
        <v>37.662999999999997</v>
      </c>
      <c r="AB382" s="1">
        <f>ROUND(VLOOKUP(X382,'Base de dados'!A:B, 2, 0)*AA382, 2)</f>
        <v>3.77</v>
      </c>
      <c r="AC382" s="1">
        <f>ROUND((AA382*(Destino!AG382/100))*(W382/100),2)</f>
        <v>2.64</v>
      </c>
      <c r="AD382" s="1">
        <f>ROUND(AA382*(Destino!AH382/100),2)</f>
        <v>3.48</v>
      </c>
      <c r="AE382" s="1">
        <f>ROUND((((AA382+AB382)*1.5039)*(Destino!AI382/100))-AC382,2)</f>
        <v>7.95</v>
      </c>
      <c r="AF382" s="1">
        <f>ROUND((AA382+AB382+AE382)*(J382/100),2)</f>
        <v>1.98</v>
      </c>
      <c r="AG382" s="1">
        <f>ROUND(AA382*T382,2)</f>
        <v>0</v>
      </c>
      <c r="AH382" s="1">
        <f>ROUND(AA382-AD382+AE382+AF382+AG382, 3)</f>
        <v>44.113</v>
      </c>
      <c r="AI382" s="1">
        <f>AH382*M382*K382</f>
        <v>44.113</v>
      </c>
      <c r="BA382" s="1" t="s">
        <v>11686</v>
      </c>
      <c r="BB382" s="1">
        <f>AI382</f>
        <v>44.113</v>
      </c>
      <c r="BD382" s="1">
        <f>N382</f>
        <v>0.75268100000000004</v>
      </c>
    </row>
    <row r="383" spans="1:56" x14ac:dyDescent="0.25">
      <c r="A383" s="1">
        <v>600002706</v>
      </c>
      <c r="B383" s="1">
        <v>1400</v>
      </c>
      <c r="C383" s="1">
        <v>2200001473</v>
      </c>
      <c r="D383" s="1" t="s">
        <v>303</v>
      </c>
      <c r="E383" s="1">
        <f>IF(AND(B383&lt;&gt;1110,B383&lt;&gt;1210,B383&lt;&gt;1510,B383&lt;&gt;1710),B383,IF(B383=1110,"1100",IF(B383=1210,"1200",IF(B383=1510,"1500",IF(B383=1710,"1700","X")))))</f>
        <v>1400</v>
      </c>
      <c r="F383" s="1" t="s">
        <v>11198</v>
      </c>
      <c r="G383" s="1" t="s">
        <v>302</v>
      </c>
      <c r="H383" s="1">
        <f>ROUND(P383/(1-((R383+S383))/100)*Q383, 3)</f>
        <v>96.350999999999999</v>
      </c>
      <c r="I383" s="1">
        <v>0.45</v>
      </c>
      <c r="J383" s="1">
        <v>1.5</v>
      </c>
      <c r="K383" s="1">
        <v>1</v>
      </c>
      <c r="L383" s="1" t="s">
        <v>292</v>
      </c>
      <c r="M383" s="1">
        <v>1</v>
      </c>
      <c r="N383" s="1">
        <v>1</v>
      </c>
      <c r="O383" s="1" t="s">
        <v>296</v>
      </c>
      <c r="P383" s="1">
        <v>70.094999999999999</v>
      </c>
      <c r="Q383" s="1">
        <v>1</v>
      </c>
      <c r="R383" s="1">
        <v>18</v>
      </c>
      <c r="S383" s="1">
        <v>9.25</v>
      </c>
      <c r="T383" s="1">
        <v>0</v>
      </c>
      <c r="V383" s="1" t="s">
        <v>11223</v>
      </c>
      <c r="W383" s="1">
        <v>100</v>
      </c>
      <c r="X383" s="1" t="s">
        <v>298</v>
      </c>
      <c r="Y383" s="1" t="s">
        <v>299</v>
      </c>
      <c r="Z383" s="1">
        <v>1</v>
      </c>
      <c r="AA383" s="1">
        <f>ROUND(H383*I383*Z383, 3)</f>
        <v>43.357999999999997</v>
      </c>
      <c r="AB383" s="1">
        <f>ROUND(VLOOKUP(X383,'Base de dados'!A:B, 2, 0)*AA383, 2)</f>
        <v>4.34</v>
      </c>
      <c r="AC383" s="1">
        <f>ROUND((AA383*(Destino!AG383/100))*(W383/100),2)</f>
        <v>7.8</v>
      </c>
      <c r="AD383" s="1">
        <f>ROUND(AA383*(Destino!AH383/100),2)</f>
        <v>4.01</v>
      </c>
      <c r="AF383" s="1">
        <f>ROUND((AA383+ AB383)*(J383/100),2)</f>
        <v>0.72</v>
      </c>
      <c r="AG383" s="1">
        <f>ROUND(AA383*T383,2)</f>
        <v>0</v>
      </c>
      <c r="AH383" s="1">
        <f>ROUND(AA383-(AC383+AD383)+AF383+AG383, 3)</f>
        <v>32.268000000000001</v>
      </c>
      <c r="AI383" s="1">
        <f>AH383*M383*K383</f>
        <v>32.268000000000001</v>
      </c>
      <c r="BA383" s="1" t="s">
        <v>11429</v>
      </c>
      <c r="BB383" s="1">
        <f>AI383</f>
        <v>32.268000000000001</v>
      </c>
      <c r="BD383" s="1">
        <f>N383</f>
        <v>1</v>
      </c>
    </row>
    <row r="384" spans="1:56" x14ac:dyDescent="0.25">
      <c r="A384" s="1">
        <v>600002706</v>
      </c>
      <c r="B384" s="1">
        <v>1700</v>
      </c>
      <c r="C384" s="1">
        <v>2200001421</v>
      </c>
      <c r="D384" s="1" t="s">
        <v>303</v>
      </c>
      <c r="E384" s="1">
        <f>IF(AND(B384&lt;&gt;1110,B384&lt;&gt;1210,B384&lt;&gt;1510,B384&lt;&gt;1710),B384,IF(B384=1110,"1100",IF(B384=1210,"1200",IF(B384=1510,"1500",IF(B384=1710,"1700","X")))))</f>
        <v>1700</v>
      </c>
      <c r="F384" s="1" t="s">
        <v>11238</v>
      </c>
      <c r="G384" s="1" t="s">
        <v>302</v>
      </c>
      <c r="H384" s="1">
        <f>ROUND(P384/(1-((R384+S384))/100)*Q384, 3)</f>
        <v>38.529000000000003</v>
      </c>
      <c r="I384" s="1">
        <v>0.25</v>
      </c>
      <c r="J384" s="1">
        <v>3</v>
      </c>
      <c r="K384" s="1">
        <v>1</v>
      </c>
      <c r="L384" s="1" t="s">
        <v>292</v>
      </c>
      <c r="M384" s="1">
        <v>4</v>
      </c>
      <c r="N384" s="1">
        <v>1</v>
      </c>
      <c r="O384" s="1" t="s">
        <v>296</v>
      </c>
      <c r="P384" s="1">
        <f>IFERROR(VLOOKUP(BC384, BA:BA:BB:BB, 2, 0),)</f>
        <v>32.268000000000001</v>
      </c>
      <c r="Q384" s="1">
        <f>IFERROR(VLOOKUP(BC384, BA:BA:BD:BD, 4, 0),1)</f>
        <v>1</v>
      </c>
      <c r="R384" s="1">
        <v>7</v>
      </c>
      <c r="S384" s="1">
        <v>9.25</v>
      </c>
      <c r="T384" s="1">
        <v>0</v>
      </c>
      <c r="V384" s="1" t="s">
        <v>11223</v>
      </c>
      <c r="W384" s="1">
        <v>100</v>
      </c>
      <c r="X384" s="1" t="s">
        <v>298</v>
      </c>
      <c r="Y384" s="1" t="s">
        <v>299</v>
      </c>
      <c r="Z384" s="1">
        <v>1</v>
      </c>
      <c r="AA384" s="1">
        <f>ROUND(H384*I384*Z384, 3)</f>
        <v>9.6319999999999997</v>
      </c>
      <c r="AB384" s="1">
        <f>ROUND(VLOOKUP(X384,'Base de dados'!A:B, 2, 0)*AA384, 2)</f>
        <v>0.96</v>
      </c>
      <c r="AC384" s="1">
        <f>ROUND((AA384*(Destino!AG384/100))*(W384/100),2)</f>
        <v>0.67</v>
      </c>
      <c r="AD384" s="1">
        <f>ROUND(AA384*(Destino!AH384/100),2)</f>
        <v>0</v>
      </c>
      <c r="AE384" s="1">
        <f>ROUND((((AA384+AB384)*1.48)*(Destino!AI384/100))-AC384,2)</f>
        <v>1.99</v>
      </c>
      <c r="AF384" s="1">
        <f>ROUND((AA384+AB384+AE384)*(J384/100),2)</f>
        <v>0.38</v>
      </c>
      <c r="AG384" s="1">
        <f>ROUND(AA384*T384,2)</f>
        <v>0</v>
      </c>
      <c r="AH384" s="1">
        <f>ROUND(AA384+AB384-AD384+AE384+AF384+AG384, 3)</f>
        <v>12.962</v>
      </c>
      <c r="AI384" s="1">
        <f>AH384*M384*K384</f>
        <v>51.847999999999999</v>
      </c>
      <c r="BA384" s="1" t="s">
        <v>11320</v>
      </c>
      <c r="BB384" s="1">
        <f>AI384</f>
        <v>51.847999999999999</v>
      </c>
      <c r="BC384" s="1" t="s">
        <v>11429</v>
      </c>
      <c r="BD384" s="1">
        <f>N384</f>
        <v>1</v>
      </c>
    </row>
    <row r="385" spans="1:56" x14ac:dyDescent="0.25">
      <c r="A385" s="1">
        <v>600002707</v>
      </c>
      <c r="B385" s="1">
        <v>1000</v>
      </c>
      <c r="C385" s="1">
        <v>2200001473</v>
      </c>
      <c r="D385" s="1" t="s">
        <v>303</v>
      </c>
      <c r="E385" s="1">
        <f>IF(AND(B385&lt;&gt;1110,B385&lt;&gt;1210,B385&lt;&gt;1510,B385&lt;&gt;1710),B385,IF(B385=1110,"1100",IF(B385=1210,"1200",IF(B385=1510,"1500",IF(B385=1710,"1700","X")))))</f>
        <v>1000</v>
      </c>
      <c r="F385" s="1" t="s">
        <v>11198</v>
      </c>
      <c r="G385" s="1" t="s">
        <v>302</v>
      </c>
      <c r="H385" s="1">
        <f>ROUND(P385/(1-((R385+S385))/100)*Q385, 3)</f>
        <v>95.725999999999999</v>
      </c>
      <c r="I385" s="1">
        <v>0.45</v>
      </c>
      <c r="J385" s="1">
        <v>1.5</v>
      </c>
      <c r="K385" s="1">
        <v>1</v>
      </c>
      <c r="L385" s="1" t="s">
        <v>292</v>
      </c>
      <c r="M385" s="1">
        <v>1</v>
      </c>
      <c r="N385" s="1">
        <v>1</v>
      </c>
      <c r="O385" s="1" t="s">
        <v>296</v>
      </c>
      <c r="P385" s="1">
        <v>75.384</v>
      </c>
      <c r="Q385" s="1">
        <v>1</v>
      </c>
      <c r="R385" s="1">
        <v>12</v>
      </c>
      <c r="S385" s="1">
        <v>9.25</v>
      </c>
      <c r="T385" s="1">
        <v>0</v>
      </c>
      <c r="V385" s="1" t="s">
        <v>11223</v>
      </c>
      <c r="W385" s="1">
        <v>100</v>
      </c>
      <c r="X385" s="1" t="s">
        <v>298</v>
      </c>
      <c r="Y385" s="1" t="s">
        <v>299</v>
      </c>
      <c r="Z385" s="1">
        <v>1</v>
      </c>
      <c r="AA385" s="1">
        <f>ROUND(H385*I385*Z385, 3)</f>
        <v>43.076999999999998</v>
      </c>
      <c r="AB385" s="1">
        <f>ROUND(VLOOKUP(X385,'Base de dados'!A:B, 2, 0)*AA385, 2)</f>
        <v>4.3099999999999996</v>
      </c>
      <c r="AC385" s="1">
        <f>ROUND((AA385*(Destino!AG385/100))*(W385/100),2)</f>
        <v>5.17</v>
      </c>
      <c r="AD385" s="1">
        <f>ROUND(AA385*(Destino!AH385/100),2)</f>
        <v>3.98</v>
      </c>
      <c r="AF385" s="1">
        <f>ROUND((AA385+ AB385)*(J385/100),2)</f>
        <v>0.71</v>
      </c>
      <c r="AG385" s="1">
        <f>ROUND(AA385*T385,2)</f>
        <v>0</v>
      </c>
      <c r="AH385" s="1">
        <f>ROUND(AA385-(AC385+AD385)+AF385+AG385, 3)</f>
        <v>34.637</v>
      </c>
      <c r="AI385" s="1">
        <f>AH385*M385*K385</f>
        <v>34.637</v>
      </c>
      <c r="BA385" s="1" t="s">
        <v>11687</v>
      </c>
      <c r="BB385" s="1">
        <f>AI385</f>
        <v>34.637</v>
      </c>
      <c r="BD385" s="1">
        <f>N385</f>
        <v>1</v>
      </c>
    </row>
    <row r="386" spans="1:56" x14ac:dyDescent="0.25">
      <c r="A386" s="1">
        <v>600002707</v>
      </c>
      <c r="B386" s="1">
        <v>1100</v>
      </c>
      <c r="C386" s="1">
        <v>2200001473</v>
      </c>
      <c r="D386" s="1" t="s">
        <v>303</v>
      </c>
      <c r="E386" s="1">
        <f>IF(AND(B386&lt;&gt;1110,B386&lt;&gt;1210,B386&lt;&gt;1510,B386&lt;&gt;1710),B386,IF(B386=1110,"1100",IF(B386=1210,"1200",IF(B386=1510,"1500",IF(B386=1710,"1700","X")))))</f>
        <v>1100</v>
      </c>
      <c r="F386" s="1" t="s">
        <v>11198</v>
      </c>
      <c r="G386" s="1" t="s">
        <v>302</v>
      </c>
      <c r="H386" s="1">
        <f>ROUND(P386/(1-((R386+S386))/100)*Q386, 3)</f>
        <v>90.010999999999996</v>
      </c>
      <c r="I386" s="1">
        <v>0.45</v>
      </c>
      <c r="J386" s="1">
        <v>2</v>
      </c>
      <c r="K386" s="1">
        <v>1</v>
      </c>
      <c r="L386" s="1" t="s">
        <v>292</v>
      </c>
      <c r="M386" s="1">
        <v>1</v>
      </c>
      <c r="N386" s="1">
        <v>1</v>
      </c>
      <c r="O386" s="1" t="s">
        <v>296</v>
      </c>
      <c r="P386" s="1">
        <v>75.384</v>
      </c>
      <c r="Q386" s="1">
        <v>1</v>
      </c>
      <c r="R386" s="1">
        <v>7</v>
      </c>
      <c r="S386" s="1">
        <v>9.25</v>
      </c>
      <c r="T386" s="1">
        <v>0</v>
      </c>
      <c r="V386" s="1" t="s">
        <v>11223</v>
      </c>
      <c r="W386" s="1">
        <v>100</v>
      </c>
      <c r="X386" s="1" t="s">
        <v>298</v>
      </c>
      <c r="Y386" s="1" t="s">
        <v>299</v>
      </c>
      <c r="Z386" s="1">
        <v>1</v>
      </c>
      <c r="AA386" s="1">
        <f>ROUND(H386*I386*Z386, 3)</f>
        <v>40.505000000000003</v>
      </c>
      <c r="AB386" s="1">
        <f>ROUND(VLOOKUP(X386,'Base de dados'!A:B, 2, 0)*AA386, 2)</f>
        <v>4.05</v>
      </c>
      <c r="AC386" s="1">
        <f>ROUND((AA386*(Destino!AG386/100))*(W386/100),2)</f>
        <v>2.84</v>
      </c>
      <c r="AD386" s="1">
        <f>ROUND(AA386*(Destino!AH386/100),2)</f>
        <v>3.75</v>
      </c>
      <c r="AF386" s="1">
        <f>ROUND((AA386+ AB386)*(J386/100),2)</f>
        <v>0.89</v>
      </c>
      <c r="AG386" s="1">
        <f>ROUND(AA386*T386,2)</f>
        <v>0</v>
      </c>
      <c r="AH386" s="1">
        <f>ROUND(AA386-(AC386+AD386)+AF386+AG386, 3)</f>
        <v>34.805</v>
      </c>
      <c r="AI386" s="1">
        <f>AH386*M386*K386</f>
        <v>34.805</v>
      </c>
      <c r="BA386" s="1" t="s">
        <v>11688</v>
      </c>
      <c r="BB386" s="1">
        <f>AI386</f>
        <v>34.805</v>
      </c>
      <c r="BD386" s="1">
        <f>N386</f>
        <v>1</v>
      </c>
    </row>
    <row r="387" spans="1:56" x14ac:dyDescent="0.25">
      <c r="A387" s="1">
        <v>600002707</v>
      </c>
      <c r="B387" s="1">
        <v>1110</v>
      </c>
      <c r="C387" s="1">
        <v>2200001473</v>
      </c>
      <c r="D387" s="1" t="s">
        <v>303</v>
      </c>
      <c r="E387" s="1" t="str">
        <f>IF(AND(B387&lt;&gt;1110,B387&lt;&gt;1210,B387&lt;&gt;1510,B387&lt;&gt;1710),B387,IF(B387=1110,"1100",IF(B387=1210,"1200",IF(B387=1510,"1500",IF(B387=1710,"1700","X")))))</f>
        <v>1100</v>
      </c>
      <c r="F387" s="1" t="s">
        <v>447</v>
      </c>
      <c r="G387" s="1" t="s">
        <v>302</v>
      </c>
      <c r="H387" s="1">
        <f>ROUND(P387/(1-((R387+S387))/100)*Q387, 3)</f>
        <v>90.010999999999996</v>
      </c>
      <c r="I387" s="1">
        <v>0.45</v>
      </c>
      <c r="J387" s="1">
        <v>4</v>
      </c>
      <c r="K387" s="1">
        <v>1</v>
      </c>
      <c r="L387" s="1" t="s">
        <v>292</v>
      </c>
      <c r="M387" s="1">
        <v>1</v>
      </c>
      <c r="N387" s="1">
        <v>0.75250300000000003</v>
      </c>
      <c r="O387" s="1" t="s">
        <v>296</v>
      </c>
      <c r="P387" s="1">
        <v>75.384</v>
      </c>
      <c r="Q387" s="1">
        <v>1</v>
      </c>
      <c r="R387" s="1">
        <v>7</v>
      </c>
      <c r="S387" s="1">
        <v>9.25</v>
      </c>
      <c r="T387" s="1">
        <v>0</v>
      </c>
      <c r="V387" s="1" t="s">
        <v>11223</v>
      </c>
      <c r="W387" s="1">
        <v>100</v>
      </c>
      <c r="X387" s="1" t="s">
        <v>298</v>
      </c>
      <c r="Y387" s="1" t="s">
        <v>299</v>
      </c>
      <c r="Z387" s="1">
        <v>1</v>
      </c>
      <c r="AA387" s="1">
        <f>ROUND(H387*I387*Z387, 3)</f>
        <v>40.505000000000003</v>
      </c>
      <c r="AB387" s="1">
        <f>ROUND(VLOOKUP(X387,'Base de dados'!A:B, 2, 0)*AA387, 2)</f>
        <v>4.05</v>
      </c>
      <c r="AC387" s="1">
        <f>ROUND((AA387*(Destino!AG387/100))*(W387/100),2)</f>
        <v>2.84</v>
      </c>
      <c r="AD387" s="1">
        <f>ROUND(AA387*(Destino!AH387/100),2)</f>
        <v>3.75</v>
      </c>
      <c r="AE387" s="1">
        <f>ROUND((((AA387+AB387)*1.5039)*(Destino!AI387/100))-AC387,2)</f>
        <v>8.5500000000000007</v>
      </c>
      <c r="AF387" s="1">
        <f>ROUND((AA387+AB387+AE387)*(J387/100),2)</f>
        <v>2.12</v>
      </c>
      <c r="AG387" s="1">
        <f>ROUND(AA387*T387,2)</f>
        <v>0</v>
      </c>
      <c r="AH387" s="1">
        <f>ROUND(AA387-AD387+AE387+AF387+AG387, 3)</f>
        <v>47.424999999999997</v>
      </c>
      <c r="AI387" s="1">
        <f>AH387*M387*K387</f>
        <v>47.424999999999997</v>
      </c>
      <c r="BA387" s="1" t="s">
        <v>11689</v>
      </c>
      <c r="BB387" s="1">
        <f>AI387</f>
        <v>47.424999999999997</v>
      </c>
      <c r="BD387" s="1">
        <f>N387</f>
        <v>0.75250300000000003</v>
      </c>
    </row>
    <row r="388" spans="1:56" x14ac:dyDescent="0.25">
      <c r="A388" s="1">
        <v>600002707</v>
      </c>
      <c r="B388" s="1">
        <v>1400</v>
      </c>
      <c r="C388" s="1">
        <v>2200001473</v>
      </c>
      <c r="D388" s="1" t="s">
        <v>303</v>
      </c>
      <c r="E388" s="1">
        <f>IF(AND(B388&lt;&gt;1110,B388&lt;&gt;1210,B388&lt;&gt;1510,B388&lt;&gt;1710),B388,IF(B388=1110,"1100",IF(B388=1210,"1200",IF(B388=1510,"1500",IF(B388=1710,"1700","X")))))</f>
        <v>1400</v>
      </c>
      <c r="F388" s="1" t="s">
        <v>11198</v>
      </c>
      <c r="G388" s="1" t="s">
        <v>302</v>
      </c>
      <c r="H388" s="1">
        <f>ROUND(P388/(1-((R388+S388))/100)*Q388, 3)</f>
        <v>103.621</v>
      </c>
      <c r="I388" s="1">
        <v>0.45</v>
      </c>
      <c r="J388" s="1">
        <v>1.5</v>
      </c>
      <c r="K388" s="1">
        <v>1</v>
      </c>
      <c r="L388" s="1" t="s">
        <v>292</v>
      </c>
      <c r="M388" s="1">
        <v>1</v>
      </c>
      <c r="N388" s="1">
        <v>1</v>
      </c>
      <c r="O388" s="1" t="s">
        <v>296</v>
      </c>
      <c r="P388" s="1">
        <v>75.384</v>
      </c>
      <c r="Q388" s="1">
        <v>1</v>
      </c>
      <c r="R388" s="1">
        <v>18</v>
      </c>
      <c r="S388" s="1">
        <v>9.25</v>
      </c>
      <c r="T388" s="1">
        <v>0</v>
      </c>
      <c r="V388" s="1" t="s">
        <v>11223</v>
      </c>
      <c r="W388" s="1">
        <v>100</v>
      </c>
      <c r="X388" s="1" t="s">
        <v>298</v>
      </c>
      <c r="Y388" s="1" t="s">
        <v>299</v>
      </c>
      <c r="Z388" s="1">
        <v>1</v>
      </c>
      <c r="AA388" s="1">
        <f>ROUND(H388*I388*Z388, 3)</f>
        <v>46.628999999999998</v>
      </c>
      <c r="AB388" s="1">
        <f>ROUND(VLOOKUP(X388,'Base de dados'!A:B, 2, 0)*AA388, 2)</f>
        <v>4.66</v>
      </c>
      <c r="AC388" s="1">
        <f>ROUND((AA388*(Destino!AG388/100))*(W388/100),2)</f>
        <v>8.39</v>
      </c>
      <c r="AD388" s="1">
        <f>ROUND(AA388*(Destino!AH388/100),2)</f>
        <v>4.3099999999999996</v>
      </c>
      <c r="AF388" s="1">
        <f>ROUND((AA388+ AB388)*(J388/100),2)</f>
        <v>0.77</v>
      </c>
      <c r="AG388" s="1">
        <f>ROUND(AA388*T388,2)</f>
        <v>0</v>
      </c>
      <c r="AH388" s="1">
        <f>ROUND(AA388-(AC388+AD388)+AF388+AG388, 3)</f>
        <v>34.698999999999998</v>
      </c>
      <c r="AI388" s="1">
        <f>AH388*M388*K388</f>
        <v>34.698999999999998</v>
      </c>
      <c r="BA388" s="1" t="s">
        <v>11430</v>
      </c>
      <c r="BB388" s="1">
        <f>AI388</f>
        <v>34.698999999999998</v>
      </c>
      <c r="BD388" s="1">
        <f>N388</f>
        <v>1</v>
      </c>
    </row>
    <row r="389" spans="1:56" x14ac:dyDescent="0.25">
      <c r="A389" s="1">
        <v>600002707</v>
      </c>
      <c r="B389" s="1">
        <v>1700</v>
      </c>
      <c r="C389" s="1">
        <v>2200001421</v>
      </c>
      <c r="D389" s="1" t="s">
        <v>303</v>
      </c>
      <c r="E389" s="1">
        <f>IF(AND(B389&lt;&gt;1110,B389&lt;&gt;1210,B389&lt;&gt;1510,B389&lt;&gt;1710),B389,IF(B389=1110,"1100",IF(B389=1210,"1200",IF(B389=1510,"1500",IF(B389=1710,"1700","X")))))</f>
        <v>1700</v>
      </c>
      <c r="F389" s="1" t="s">
        <v>11238</v>
      </c>
      <c r="G389" s="1" t="s">
        <v>302</v>
      </c>
      <c r="H389" s="1">
        <f>ROUND(P389/(1-((R389+S389))/100)*Q389, 3)</f>
        <v>41.432000000000002</v>
      </c>
      <c r="I389" s="1">
        <v>0.25</v>
      </c>
      <c r="J389" s="1">
        <v>3</v>
      </c>
      <c r="K389" s="1">
        <v>1</v>
      </c>
      <c r="L389" s="1" t="s">
        <v>292</v>
      </c>
      <c r="M389" s="1">
        <v>4</v>
      </c>
      <c r="N389" s="1">
        <v>1</v>
      </c>
      <c r="O389" s="1" t="s">
        <v>296</v>
      </c>
      <c r="P389" s="1">
        <f>IFERROR(VLOOKUP(BC389, BA:BA:BB:BB, 2, 0),)</f>
        <v>34.698999999999998</v>
      </c>
      <c r="Q389" s="1">
        <f>IFERROR(VLOOKUP(BC389, BA:BA:BD:BD, 4, 0),1)</f>
        <v>1</v>
      </c>
      <c r="R389" s="1">
        <v>7</v>
      </c>
      <c r="S389" s="1">
        <v>9.25</v>
      </c>
      <c r="T389" s="1">
        <v>0</v>
      </c>
      <c r="V389" s="1" t="s">
        <v>11223</v>
      </c>
      <c r="W389" s="1">
        <v>100</v>
      </c>
      <c r="X389" s="1" t="s">
        <v>298</v>
      </c>
      <c r="Y389" s="1" t="s">
        <v>299</v>
      </c>
      <c r="Z389" s="1">
        <v>1</v>
      </c>
      <c r="AA389" s="1">
        <f>ROUND(H389*I389*Z389, 3)</f>
        <v>10.358000000000001</v>
      </c>
      <c r="AB389" s="1">
        <f>ROUND(VLOOKUP(X389,'Base de dados'!A:B, 2, 0)*AA389, 2)</f>
        <v>1.04</v>
      </c>
      <c r="AC389" s="1">
        <f>ROUND((AA389*(Destino!AG389/100))*(W389/100),2)</f>
        <v>0.73</v>
      </c>
      <c r="AD389" s="1">
        <f>ROUND(AA389*(Destino!AH389/100),2)</f>
        <v>0</v>
      </c>
      <c r="AE389" s="1">
        <f>ROUND((((AA389+AB389)*1.48)*(Destino!AI389/100))-AC389,2)</f>
        <v>2.14</v>
      </c>
      <c r="AF389" s="1">
        <f>ROUND((AA389+AB389+AE389)*(J389/100),2)</f>
        <v>0.41</v>
      </c>
      <c r="AG389" s="1">
        <f>ROUND(AA389*T389,2)</f>
        <v>0</v>
      </c>
      <c r="AH389" s="1">
        <f>ROUND(AA389+AB389-AD389+AE389+AF389+AG389, 3)</f>
        <v>13.948</v>
      </c>
      <c r="AI389" s="1">
        <f>AH389*M389*K389</f>
        <v>55.792000000000002</v>
      </c>
      <c r="BA389" s="1" t="s">
        <v>11321</v>
      </c>
      <c r="BB389" s="1">
        <f>AI389</f>
        <v>55.792000000000002</v>
      </c>
      <c r="BC389" s="1" t="s">
        <v>11430</v>
      </c>
      <c r="BD389" s="1">
        <f>N389</f>
        <v>1</v>
      </c>
    </row>
    <row r="390" spans="1:56" x14ac:dyDescent="0.25">
      <c r="A390" s="1">
        <v>600002716</v>
      </c>
      <c r="B390" s="1">
        <v>1000</v>
      </c>
      <c r="C390" s="1">
        <v>2200001473</v>
      </c>
      <c r="D390" s="1" t="s">
        <v>303</v>
      </c>
      <c r="E390" s="1">
        <f>IF(AND(B390&lt;&gt;1110,B390&lt;&gt;1210,B390&lt;&gt;1510,B390&lt;&gt;1710),B390,IF(B390=1110,"1100",IF(B390=1210,"1200",IF(B390=1510,"1500",IF(B390=1710,"1700","X")))))</f>
        <v>1000</v>
      </c>
      <c r="F390" s="1" t="s">
        <v>11198</v>
      </c>
      <c r="G390" s="1" t="s">
        <v>302</v>
      </c>
      <c r="H390" s="1">
        <f>ROUND(P390/(1-((R390+S390))/100)*Q390, 3)</f>
        <v>96.658000000000001</v>
      </c>
      <c r="I390" s="1">
        <v>0.45</v>
      </c>
      <c r="J390" s="1">
        <v>1.5</v>
      </c>
      <c r="K390" s="1">
        <v>1</v>
      </c>
      <c r="L390" s="1" t="s">
        <v>292</v>
      </c>
      <c r="M390" s="1">
        <v>1</v>
      </c>
      <c r="N390" s="1">
        <v>1</v>
      </c>
      <c r="O390" s="1" t="s">
        <v>296</v>
      </c>
      <c r="P390" s="1">
        <v>76.117999999999995</v>
      </c>
      <c r="Q390" s="1">
        <v>1</v>
      </c>
      <c r="R390" s="1">
        <v>12</v>
      </c>
      <c r="S390" s="1">
        <v>9.25</v>
      </c>
      <c r="T390" s="1">
        <v>0</v>
      </c>
      <c r="V390" s="1" t="s">
        <v>11223</v>
      </c>
      <c r="W390" s="1">
        <v>100</v>
      </c>
      <c r="X390" s="1" t="s">
        <v>298</v>
      </c>
      <c r="Y390" s="1" t="s">
        <v>299</v>
      </c>
      <c r="Z390" s="1">
        <v>1</v>
      </c>
      <c r="AA390" s="1">
        <f>ROUND(H390*I390*Z390, 3)</f>
        <v>43.496000000000002</v>
      </c>
      <c r="AB390" s="1">
        <f>ROUND(VLOOKUP(X390,'Base de dados'!A:B, 2, 0)*AA390, 2)</f>
        <v>4.3499999999999996</v>
      </c>
      <c r="AC390" s="1">
        <f>ROUND((AA390*(Destino!AG390/100))*(W390/100),2)</f>
        <v>5.22</v>
      </c>
      <c r="AD390" s="1">
        <f>ROUND(AA390*(Destino!AH390/100),2)</f>
        <v>4.0199999999999996</v>
      </c>
      <c r="AF390" s="1">
        <f>ROUND((AA390+ AB390)*(J390/100),2)</f>
        <v>0.72</v>
      </c>
      <c r="AG390" s="1">
        <f>ROUND(AA390*T390,2)</f>
        <v>0</v>
      </c>
      <c r="AH390" s="1">
        <f>ROUND(AA390-(AC390+AD390)+AF390+AG390, 3)</f>
        <v>34.975999999999999</v>
      </c>
      <c r="AI390" s="1">
        <f>AH390*M390*K390</f>
        <v>34.975999999999999</v>
      </c>
      <c r="BA390" s="1" t="s">
        <v>11690</v>
      </c>
      <c r="BB390" s="1">
        <f>AI390</f>
        <v>34.975999999999999</v>
      </c>
      <c r="BD390" s="1">
        <f>N390</f>
        <v>1</v>
      </c>
    </row>
    <row r="391" spans="1:56" x14ac:dyDescent="0.25">
      <c r="A391" s="1">
        <v>600002716</v>
      </c>
      <c r="B391" s="1">
        <v>1100</v>
      </c>
      <c r="C391" s="1">
        <v>2200001473</v>
      </c>
      <c r="D391" s="1" t="s">
        <v>303</v>
      </c>
      <c r="E391" s="1">
        <f>IF(AND(B391&lt;&gt;1110,B391&lt;&gt;1210,B391&lt;&gt;1510,B391&lt;&gt;1710),B391,IF(B391=1110,"1100",IF(B391=1210,"1200",IF(B391=1510,"1500",IF(B391=1710,"1700","X")))))</f>
        <v>1100</v>
      </c>
      <c r="F391" s="1" t="s">
        <v>11198</v>
      </c>
      <c r="G391" s="1" t="s">
        <v>302</v>
      </c>
      <c r="H391" s="1">
        <f>ROUND(P391/(1-((R391+S391))/100)*Q391, 3)</f>
        <v>90.887</v>
      </c>
      <c r="I391" s="1">
        <v>0.45</v>
      </c>
      <c r="J391" s="1">
        <v>2</v>
      </c>
      <c r="K391" s="1">
        <v>1</v>
      </c>
      <c r="L391" s="1" t="s">
        <v>292</v>
      </c>
      <c r="M391" s="1">
        <v>1</v>
      </c>
      <c r="N391" s="1">
        <v>1</v>
      </c>
      <c r="O391" s="1" t="s">
        <v>296</v>
      </c>
      <c r="P391" s="1">
        <v>76.117999999999995</v>
      </c>
      <c r="Q391" s="1">
        <v>1</v>
      </c>
      <c r="R391" s="1">
        <v>7</v>
      </c>
      <c r="S391" s="1">
        <v>9.25</v>
      </c>
      <c r="T391" s="1">
        <v>0</v>
      </c>
      <c r="V391" s="1" t="s">
        <v>11223</v>
      </c>
      <c r="W391" s="1">
        <v>100</v>
      </c>
      <c r="X391" s="1" t="s">
        <v>298</v>
      </c>
      <c r="Y391" s="1" t="s">
        <v>299</v>
      </c>
      <c r="Z391" s="1">
        <v>1</v>
      </c>
      <c r="AA391" s="1">
        <f>ROUND(H391*I391*Z391, 3)</f>
        <v>40.899000000000001</v>
      </c>
      <c r="AB391" s="1">
        <f>ROUND(VLOOKUP(X391,'Base de dados'!A:B, 2, 0)*AA391, 2)</f>
        <v>4.09</v>
      </c>
      <c r="AC391" s="1">
        <f>ROUND((AA391*(Destino!AG391/100))*(W391/100),2)</f>
        <v>2.86</v>
      </c>
      <c r="AD391" s="1">
        <f>ROUND(AA391*(Destino!AH391/100),2)</f>
        <v>3.78</v>
      </c>
      <c r="AF391" s="1">
        <f>ROUND((AA391+ AB391)*(J391/100),2)</f>
        <v>0.9</v>
      </c>
      <c r="AG391" s="1">
        <f>ROUND(AA391*T391,2)</f>
        <v>0</v>
      </c>
      <c r="AH391" s="1">
        <f>ROUND(AA391-(AC391+AD391)+AF391+AG391, 3)</f>
        <v>35.158999999999999</v>
      </c>
      <c r="AI391" s="1">
        <f>AH391*M391*K391</f>
        <v>35.158999999999999</v>
      </c>
      <c r="BA391" s="1" t="s">
        <v>11691</v>
      </c>
      <c r="BB391" s="1">
        <f>AI391</f>
        <v>35.158999999999999</v>
      </c>
      <c r="BD391" s="1">
        <f>N391</f>
        <v>1</v>
      </c>
    </row>
    <row r="392" spans="1:56" x14ac:dyDescent="0.25">
      <c r="A392" s="1">
        <v>600002716</v>
      </c>
      <c r="B392" s="1">
        <v>1110</v>
      </c>
      <c r="C392" s="1">
        <v>2200001473</v>
      </c>
      <c r="D392" s="1" t="s">
        <v>303</v>
      </c>
      <c r="E392" s="1" t="str">
        <f>IF(AND(B392&lt;&gt;1110,B392&lt;&gt;1210,B392&lt;&gt;1510,B392&lt;&gt;1710),B392,IF(B392=1110,"1100",IF(B392=1210,"1200",IF(B392=1510,"1500",IF(B392=1710,"1700","X")))))</f>
        <v>1100</v>
      </c>
      <c r="F392" s="1" t="s">
        <v>447</v>
      </c>
      <c r="G392" s="1" t="s">
        <v>302</v>
      </c>
      <c r="H392" s="1">
        <f>ROUND(P392/(1-((R392+S392))/100)*Q392, 3)</f>
        <v>90.887</v>
      </c>
      <c r="I392" s="1">
        <v>0.45</v>
      </c>
      <c r="J392" s="1">
        <v>4</v>
      </c>
      <c r="K392" s="1">
        <v>1</v>
      </c>
      <c r="L392" s="1" t="s">
        <v>292</v>
      </c>
      <c r="M392" s="1">
        <v>1</v>
      </c>
      <c r="N392" s="1">
        <v>0.75265599999999999</v>
      </c>
      <c r="O392" s="1" t="s">
        <v>296</v>
      </c>
      <c r="P392" s="1">
        <v>76.117999999999995</v>
      </c>
      <c r="Q392" s="1">
        <v>1</v>
      </c>
      <c r="R392" s="1">
        <v>7</v>
      </c>
      <c r="S392" s="1">
        <v>9.25</v>
      </c>
      <c r="T392" s="1">
        <v>0</v>
      </c>
      <c r="V392" s="1" t="s">
        <v>11223</v>
      </c>
      <c r="W392" s="1">
        <v>100</v>
      </c>
      <c r="X392" s="1" t="s">
        <v>298</v>
      </c>
      <c r="Y392" s="1" t="s">
        <v>299</v>
      </c>
      <c r="Z392" s="1">
        <v>1</v>
      </c>
      <c r="AA392" s="1">
        <f>ROUND(H392*I392*Z392, 3)</f>
        <v>40.899000000000001</v>
      </c>
      <c r="AB392" s="1">
        <f>ROUND(VLOOKUP(X392,'Base de dados'!A:B, 2, 0)*AA392, 2)</f>
        <v>4.09</v>
      </c>
      <c r="AC392" s="1">
        <f>ROUND((AA392*(Destino!AG392/100))*(W392/100),2)</f>
        <v>2.86</v>
      </c>
      <c r="AD392" s="1">
        <f>ROUND(AA392*(Destino!AH392/100),2)</f>
        <v>3.78</v>
      </c>
      <c r="AE392" s="1">
        <f>ROUND((((AA392+AB392)*1.5039)*(Destino!AI392/100))-AC392,2)</f>
        <v>8.64</v>
      </c>
      <c r="AF392" s="1">
        <f>ROUND((AA392+AB392+AE392)*(J392/100),2)</f>
        <v>2.15</v>
      </c>
      <c r="AG392" s="1">
        <f>ROUND(AA392*T392,2)</f>
        <v>0</v>
      </c>
      <c r="AH392" s="1">
        <f>ROUND(AA392-AD392+AE392+AF392+AG392, 3)</f>
        <v>47.908999999999999</v>
      </c>
      <c r="AI392" s="1">
        <f>AH392*M392*K392</f>
        <v>47.908999999999999</v>
      </c>
      <c r="BA392" s="1" t="s">
        <v>11692</v>
      </c>
      <c r="BB392" s="1">
        <f>AI392</f>
        <v>47.908999999999999</v>
      </c>
      <c r="BD392" s="1">
        <f>N392</f>
        <v>0.75265599999999999</v>
      </c>
    </row>
    <row r="393" spans="1:56" x14ac:dyDescent="0.25">
      <c r="A393" s="1">
        <v>600002716</v>
      </c>
      <c r="B393" s="1">
        <v>1400</v>
      </c>
      <c r="C393" s="1">
        <v>2200001473</v>
      </c>
      <c r="D393" s="1" t="s">
        <v>303</v>
      </c>
      <c r="E393" s="1">
        <f>IF(AND(B393&lt;&gt;1110,B393&lt;&gt;1210,B393&lt;&gt;1510,B393&lt;&gt;1710),B393,IF(B393=1110,"1100",IF(B393=1210,"1200",IF(B393=1510,"1500",IF(B393=1710,"1700","X")))))</f>
        <v>1400</v>
      </c>
      <c r="F393" s="1" t="s">
        <v>11198</v>
      </c>
      <c r="G393" s="1" t="s">
        <v>302</v>
      </c>
      <c r="H393" s="1">
        <f>ROUND(P393/(1-((R393+S393))/100)*Q393, 3)</f>
        <v>104.63</v>
      </c>
      <c r="I393" s="1">
        <v>0.45</v>
      </c>
      <c r="J393" s="1">
        <v>1.5</v>
      </c>
      <c r="K393" s="1">
        <v>1</v>
      </c>
      <c r="L393" s="1" t="s">
        <v>292</v>
      </c>
      <c r="M393" s="1">
        <v>1</v>
      </c>
      <c r="N393" s="1">
        <v>1</v>
      </c>
      <c r="O393" s="1" t="s">
        <v>296</v>
      </c>
      <c r="P393" s="1">
        <v>76.117999999999995</v>
      </c>
      <c r="Q393" s="1">
        <v>1</v>
      </c>
      <c r="R393" s="1">
        <v>18</v>
      </c>
      <c r="S393" s="1">
        <v>9.25</v>
      </c>
      <c r="T393" s="1">
        <v>0</v>
      </c>
      <c r="V393" s="1" t="s">
        <v>11223</v>
      </c>
      <c r="W393" s="1">
        <v>100</v>
      </c>
      <c r="X393" s="1" t="s">
        <v>298</v>
      </c>
      <c r="Y393" s="1" t="s">
        <v>299</v>
      </c>
      <c r="Z393" s="1">
        <v>1</v>
      </c>
      <c r="AA393" s="1">
        <f>ROUND(H393*I393*Z393, 3)</f>
        <v>47.084000000000003</v>
      </c>
      <c r="AB393" s="1">
        <f>ROUND(VLOOKUP(X393,'Base de dados'!A:B, 2, 0)*AA393, 2)</f>
        <v>4.71</v>
      </c>
      <c r="AC393" s="1">
        <f>ROUND((AA393*(Destino!AG393/100))*(W393/100),2)</f>
        <v>8.48</v>
      </c>
      <c r="AD393" s="1">
        <f>ROUND(AA393*(Destino!AH393/100),2)</f>
        <v>4.3600000000000003</v>
      </c>
      <c r="AF393" s="1">
        <f>ROUND((AA393+ AB393)*(J393/100),2)</f>
        <v>0.78</v>
      </c>
      <c r="AG393" s="1">
        <f>ROUND(AA393*T393,2)</f>
        <v>0</v>
      </c>
      <c r="AH393" s="1">
        <f>ROUND(AA393-(AC393+AD393)+AF393+AG393, 3)</f>
        <v>35.024000000000001</v>
      </c>
      <c r="AI393" s="1">
        <f>AH393*M393*K393</f>
        <v>35.024000000000001</v>
      </c>
      <c r="BA393" s="1" t="s">
        <v>11431</v>
      </c>
      <c r="BB393" s="1">
        <f>AI393</f>
        <v>35.024000000000001</v>
      </c>
      <c r="BD393" s="1">
        <f>N393</f>
        <v>1</v>
      </c>
    </row>
    <row r="394" spans="1:56" x14ac:dyDescent="0.25">
      <c r="A394" s="1">
        <v>600002716</v>
      </c>
      <c r="B394" s="1">
        <v>1700</v>
      </c>
      <c r="C394" s="1">
        <v>2200001421</v>
      </c>
      <c r="D394" s="1" t="s">
        <v>303</v>
      </c>
      <c r="E394" s="1">
        <f>IF(AND(B394&lt;&gt;1110,B394&lt;&gt;1210,B394&lt;&gt;1510,B394&lt;&gt;1710),B394,IF(B394=1110,"1100",IF(B394=1210,"1200",IF(B394=1510,"1500",IF(B394=1710,"1700","X")))))</f>
        <v>1700</v>
      </c>
      <c r="F394" s="1" t="s">
        <v>11238</v>
      </c>
      <c r="G394" s="1" t="s">
        <v>302</v>
      </c>
      <c r="H394" s="1">
        <f>ROUND(P394/(1-((R394+S394))/100)*Q394, 3)</f>
        <v>41.82</v>
      </c>
      <c r="I394" s="1">
        <v>0.25</v>
      </c>
      <c r="J394" s="1">
        <v>3</v>
      </c>
      <c r="K394" s="1">
        <v>1</v>
      </c>
      <c r="L394" s="1" t="s">
        <v>292</v>
      </c>
      <c r="M394" s="1">
        <v>4</v>
      </c>
      <c r="N394" s="1">
        <v>1</v>
      </c>
      <c r="O394" s="1" t="s">
        <v>296</v>
      </c>
      <c r="P394" s="1">
        <f>IFERROR(VLOOKUP(BC394, BA:BA:BB:BB, 2, 0),)</f>
        <v>35.024000000000001</v>
      </c>
      <c r="Q394" s="1">
        <f>IFERROR(VLOOKUP(BC394, BA:BA:BD:BD, 4, 0),1)</f>
        <v>1</v>
      </c>
      <c r="R394" s="1">
        <v>7</v>
      </c>
      <c r="S394" s="1">
        <v>9.25</v>
      </c>
      <c r="T394" s="1">
        <v>0</v>
      </c>
      <c r="V394" s="1" t="s">
        <v>11223</v>
      </c>
      <c r="W394" s="1">
        <v>100</v>
      </c>
      <c r="X394" s="1" t="s">
        <v>298</v>
      </c>
      <c r="Y394" s="1" t="s">
        <v>299</v>
      </c>
      <c r="Z394" s="1">
        <v>1</v>
      </c>
      <c r="AA394" s="1">
        <f>ROUND(H394*I394*Z394, 3)</f>
        <v>10.455</v>
      </c>
      <c r="AB394" s="1">
        <f>ROUND(VLOOKUP(X394,'Base de dados'!A:B, 2, 0)*AA394, 2)</f>
        <v>1.05</v>
      </c>
      <c r="AC394" s="1">
        <f>ROUND((AA394*(Destino!AG394/100))*(W394/100),2)</f>
        <v>0.73</v>
      </c>
      <c r="AD394" s="1">
        <f>ROUND(AA394*(Destino!AH394/100),2)</f>
        <v>0</v>
      </c>
      <c r="AE394" s="1">
        <f>ROUND((((AA394+AB394)*1.48)*(Destino!AI394/100))-AC394,2)</f>
        <v>2.16</v>
      </c>
      <c r="AF394" s="1">
        <f>ROUND((AA394+AB394+AE394)*(J394/100),2)</f>
        <v>0.41</v>
      </c>
      <c r="AG394" s="1">
        <f>ROUND(AA394*T394,2)</f>
        <v>0</v>
      </c>
      <c r="AH394" s="1">
        <f>ROUND(AA394+AB394-AD394+AE394+AF394+AG394, 3)</f>
        <v>14.074999999999999</v>
      </c>
      <c r="AI394" s="1">
        <f>AH394*M394*K394</f>
        <v>56.3</v>
      </c>
      <c r="BA394" s="1" t="s">
        <v>11322</v>
      </c>
      <c r="BB394" s="1">
        <f>AI394</f>
        <v>56.3</v>
      </c>
      <c r="BC394" s="1" t="s">
        <v>11431</v>
      </c>
      <c r="BD394" s="1">
        <f>N394</f>
        <v>1</v>
      </c>
    </row>
    <row r="395" spans="1:56" x14ac:dyDescent="0.25">
      <c r="A395" s="1">
        <v>600002718</v>
      </c>
      <c r="B395" s="1">
        <v>1000</v>
      </c>
      <c r="C395" s="1">
        <v>2200001473</v>
      </c>
      <c r="D395" s="1" t="s">
        <v>303</v>
      </c>
      <c r="E395" s="1">
        <f>IF(AND(B395&lt;&gt;1110,B395&lt;&gt;1210,B395&lt;&gt;1510,B395&lt;&gt;1710),B395,IF(B395=1110,"1100",IF(B395=1210,"1200",IF(B395=1510,"1500",IF(B395=1710,"1700","X")))))</f>
        <v>1000</v>
      </c>
      <c r="F395" s="1" t="s">
        <v>11198</v>
      </c>
      <c r="G395" s="1" t="s">
        <v>302</v>
      </c>
      <c r="H395" s="1">
        <f>ROUND(P395/(1-((R395+S395))/100)*Q395, 3)</f>
        <v>119.252</v>
      </c>
      <c r="I395" s="1">
        <v>0.45</v>
      </c>
      <c r="J395" s="1">
        <v>1.5</v>
      </c>
      <c r="K395" s="1">
        <v>1</v>
      </c>
      <c r="L395" s="1" t="s">
        <v>292</v>
      </c>
      <c r="M395" s="1">
        <v>1</v>
      </c>
      <c r="N395" s="1">
        <v>1</v>
      </c>
      <c r="O395" s="1" t="s">
        <v>296</v>
      </c>
      <c r="P395" s="1">
        <v>93.911000000000001</v>
      </c>
      <c r="Q395" s="1">
        <v>1</v>
      </c>
      <c r="R395" s="1">
        <v>12</v>
      </c>
      <c r="S395" s="1">
        <v>9.25</v>
      </c>
      <c r="T395" s="1">
        <v>0</v>
      </c>
      <c r="V395" s="1" t="s">
        <v>11223</v>
      </c>
      <c r="W395" s="1">
        <v>100</v>
      </c>
      <c r="X395" s="1" t="s">
        <v>298</v>
      </c>
      <c r="Y395" s="1" t="s">
        <v>299</v>
      </c>
      <c r="Z395" s="1">
        <v>1</v>
      </c>
      <c r="AA395" s="1">
        <f>ROUND(H395*I395*Z395, 3)</f>
        <v>53.662999999999997</v>
      </c>
      <c r="AB395" s="1">
        <f>ROUND(VLOOKUP(X395,'Base de dados'!A:B, 2, 0)*AA395, 2)</f>
        <v>5.37</v>
      </c>
      <c r="AC395" s="1">
        <f>ROUND((AA395*(Destino!AG395/100))*(W395/100),2)</f>
        <v>6.44</v>
      </c>
      <c r="AD395" s="1">
        <f>ROUND(AA395*(Destino!AH395/100),2)</f>
        <v>4.96</v>
      </c>
      <c r="AF395" s="1">
        <f>ROUND((AA395+ AB395)*(J395/100),2)</f>
        <v>0.89</v>
      </c>
      <c r="AG395" s="1">
        <f>ROUND(AA395*T395,2)</f>
        <v>0</v>
      </c>
      <c r="AH395" s="1">
        <f>ROUND(AA395-(AC395+AD395)+AF395+AG395, 3)</f>
        <v>43.152999999999999</v>
      </c>
      <c r="AI395" s="1">
        <f>AH395*M395*K395</f>
        <v>43.152999999999999</v>
      </c>
      <c r="BA395" s="1" t="s">
        <v>11693</v>
      </c>
      <c r="BB395" s="1">
        <f>AI395</f>
        <v>43.152999999999999</v>
      </c>
      <c r="BD395" s="1">
        <f>N395</f>
        <v>1</v>
      </c>
    </row>
    <row r="396" spans="1:56" x14ac:dyDescent="0.25">
      <c r="A396" s="1">
        <v>600002718</v>
      </c>
      <c r="B396" s="1">
        <v>1100</v>
      </c>
      <c r="C396" s="1">
        <v>2200001473</v>
      </c>
      <c r="D396" s="1" t="s">
        <v>303</v>
      </c>
      <c r="E396" s="1">
        <f>IF(AND(B396&lt;&gt;1110,B396&lt;&gt;1210,B396&lt;&gt;1510,B396&lt;&gt;1710),B396,IF(B396=1110,"1100",IF(B396=1210,"1200",IF(B396=1510,"1500",IF(B396=1710,"1700","X")))))</f>
        <v>1100</v>
      </c>
      <c r="F396" s="1" t="s">
        <v>11198</v>
      </c>
      <c r="G396" s="1" t="s">
        <v>302</v>
      </c>
      <c r="H396" s="1">
        <f>ROUND(P396/(1-((R396+S396))/100)*Q396, 3)</f>
        <v>112.13500000000001</v>
      </c>
      <c r="I396" s="1">
        <v>0.45</v>
      </c>
      <c r="J396" s="1">
        <v>2</v>
      </c>
      <c r="K396" s="1">
        <v>1</v>
      </c>
      <c r="L396" s="1" t="s">
        <v>292</v>
      </c>
      <c r="M396" s="1">
        <v>1</v>
      </c>
      <c r="N396" s="1">
        <v>1</v>
      </c>
      <c r="O396" s="1" t="s">
        <v>296</v>
      </c>
      <c r="P396" s="1">
        <v>93.912999999999997</v>
      </c>
      <c r="Q396" s="1">
        <v>1</v>
      </c>
      <c r="R396" s="1">
        <v>7</v>
      </c>
      <c r="S396" s="1">
        <v>9.25</v>
      </c>
      <c r="T396" s="1">
        <v>0</v>
      </c>
      <c r="V396" s="1" t="s">
        <v>11223</v>
      </c>
      <c r="W396" s="1">
        <v>100</v>
      </c>
      <c r="X396" s="1" t="s">
        <v>298</v>
      </c>
      <c r="Y396" s="1" t="s">
        <v>299</v>
      </c>
      <c r="Z396" s="1">
        <v>1</v>
      </c>
      <c r="AA396" s="1">
        <f>ROUND(H396*I396*Z396, 3)</f>
        <v>50.460999999999999</v>
      </c>
      <c r="AB396" s="1">
        <f>ROUND(VLOOKUP(X396,'Base de dados'!A:B, 2, 0)*AA396, 2)</f>
        <v>5.05</v>
      </c>
      <c r="AC396" s="1">
        <f>ROUND((AA396*(Destino!AG396/100))*(W396/100),2)</f>
        <v>3.53</v>
      </c>
      <c r="AD396" s="1">
        <f>ROUND(AA396*(Destino!AH396/100),2)</f>
        <v>4.67</v>
      </c>
      <c r="AF396" s="1">
        <f>ROUND((AA396+ AB396)*(J396/100),2)</f>
        <v>1.1100000000000001</v>
      </c>
      <c r="AG396" s="1">
        <f>ROUND(AA396*T396,2)</f>
        <v>0</v>
      </c>
      <c r="AH396" s="1">
        <f>ROUND(AA396-(AC396+AD396)+AF396+AG396, 3)</f>
        <v>43.371000000000002</v>
      </c>
      <c r="AI396" s="1">
        <f>AH396*M396*K396</f>
        <v>43.371000000000002</v>
      </c>
      <c r="BA396" s="1" t="s">
        <v>11694</v>
      </c>
      <c r="BB396" s="1">
        <f>AI396</f>
        <v>43.371000000000002</v>
      </c>
      <c r="BD396" s="1">
        <f>N396</f>
        <v>1</v>
      </c>
    </row>
    <row r="397" spans="1:56" x14ac:dyDescent="0.25">
      <c r="A397" s="1">
        <v>600002718</v>
      </c>
      <c r="B397" s="1">
        <v>1110</v>
      </c>
      <c r="C397" s="1">
        <v>2200001473</v>
      </c>
      <c r="D397" s="1" t="s">
        <v>303</v>
      </c>
      <c r="E397" s="1" t="str">
        <f>IF(AND(B397&lt;&gt;1110,B397&lt;&gt;1210,B397&lt;&gt;1510,B397&lt;&gt;1710),B397,IF(B397=1110,"1100",IF(B397=1210,"1200",IF(B397=1510,"1500",IF(B397=1710,"1700","X")))))</f>
        <v>1100</v>
      </c>
      <c r="F397" s="1" t="s">
        <v>447</v>
      </c>
      <c r="G397" s="1" t="s">
        <v>302</v>
      </c>
      <c r="H397" s="1">
        <f>ROUND(P397/(1-((R397+S397))/100)*Q397, 3)</f>
        <v>112.13500000000001</v>
      </c>
      <c r="I397" s="1">
        <v>0.45</v>
      </c>
      <c r="J397" s="1">
        <v>4</v>
      </c>
      <c r="K397" s="1">
        <v>1</v>
      </c>
      <c r="L397" s="1" t="s">
        <v>292</v>
      </c>
      <c r="M397" s="1">
        <v>1</v>
      </c>
      <c r="N397" s="1">
        <v>0.75266900000000003</v>
      </c>
      <c r="O397" s="1" t="s">
        <v>296</v>
      </c>
      <c r="P397" s="1">
        <v>93.912999999999997</v>
      </c>
      <c r="Q397" s="1">
        <v>1</v>
      </c>
      <c r="R397" s="1">
        <v>7</v>
      </c>
      <c r="S397" s="1">
        <v>9.25</v>
      </c>
      <c r="T397" s="1">
        <v>0</v>
      </c>
      <c r="V397" s="1" t="s">
        <v>11223</v>
      </c>
      <c r="W397" s="1">
        <v>100</v>
      </c>
      <c r="X397" s="1" t="s">
        <v>298</v>
      </c>
      <c r="Y397" s="1" t="s">
        <v>299</v>
      </c>
      <c r="Z397" s="1">
        <v>1</v>
      </c>
      <c r="AA397" s="1">
        <f>ROUND(H397*I397*Z397, 3)</f>
        <v>50.460999999999999</v>
      </c>
      <c r="AB397" s="1">
        <f>ROUND(VLOOKUP(X397,'Base de dados'!A:B, 2, 0)*AA397, 2)</f>
        <v>5.05</v>
      </c>
      <c r="AC397" s="1">
        <f>ROUND((AA397*(Destino!AG397/100))*(W397/100),2)</f>
        <v>3.53</v>
      </c>
      <c r="AD397" s="1">
        <f>ROUND(AA397*(Destino!AH397/100),2)</f>
        <v>4.67</v>
      </c>
      <c r="AE397" s="1">
        <f>ROUND((((AA397+AB397)*1.5039)*(Destino!AI397/100))-AC397,2)</f>
        <v>10.66</v>
      </c>
      <c r="AF397" s="1">
        <f>ROUND((AA397+AB397+AE397)*(J397/100),2)</f>
        <v>2.65</v>
      </c>
      <c r="AG397" s="1">
        <f>ROUND(AA397*T397,2)</f>
        <v>0</v>
      </c>
      <c r="AH397" s="1">
        <f>ROUND(AA397-AD397+AE397+AF397+AG397, 3)</f>
        <v>59.100999999999999</v>
      </c>
      <c r="AI397" s="1">
        <f>AH397*M397*K397</f>
        <v>59.100999999999999</v>
      </c>
      <c r="BA397" s="1" t="s">
        <v>11695</v>
      </c>
      <c r="BB397" s="1">
        <f>AI397</f>
        <v>59.100999999999999</v>
      </c>
      <c r="BD397" s="1">
        <f>N397</f>
        <v>0.75266900000000003</v>
      </c>
    </row>
    <row r="398" spans="1:56" x14ac:dyDescent="0.25">
      <c r="A398" s="1">
        <v>600002718</v>
      </c>
      <c r="B398" s="1">
        <v>1400</v>
      </c>
      <c r="C398" s="1">
        <v>2200001473</v>
      </c>
      <c r="D398" s="1" t="s">
        <v>303</v>
      </c>
      <c r="E398" s="1">
        <f>IF(AND(B398&lt;&gt;1110,B398&lt;&gt;1210,B398&lt;&gt;1510,B398&lt;&gt;1710),B398,IF(B398=1110,"1100",IF(B398=1210,"1200",IF(B398=1510,"1500",IF(B398=1710,"1700","X")))))</f>
        <v>1400</v>
      </c>
      <c r="F398" s="1" t="s">
        <v>11198</v>
      </c>
      <c r="G398" s="1" t="s">
        <v>302</v>
      </c>
      <c r="H398" s="1">
        <f>ROUND(P398/(1-((R398+S398))/100)*Q398, 3)</f>
        <v>129.09</v>
      </c>
      <c r="I398" s="1">
        <v>0.45</v>
      </c>
      <c r="J398" s="1">
        <v>1.5</v>
      </c>
      <c r="K398" s="1">
        <v>1</v>
      </c>
      <c r="L398" s="1" t="s">
        <v>292</v>
      </c>
      <c r="M398" s="1">
        <v>1</v>
      </c>
      <c r="N398" s="1">
        <v>1</v>
      </c>
      <c r="O398" s="1" t="s">
        <v>296</v>
      </c>
      <c r="P398" s="1">
        <v>93.912999999999997</v>
      </c>
      <c r="Q398" s="1">
        <v>1</v>
      </c>
      <c r="R398" s="1">
        <v>18</v>
      </c>
      <c r="S398" s="1">
        <v>9.25</v>
      </c>
      <c r="T398" s="1">
        <v>0</v>
      </c>
      <c r="V398" s="1" t="s">
        <v>11223</v>
      </c>
      <c r="W398" s="1">
        <v>100</v>
      </c>
      <c r="X398" s="1" t="s">
        <v>298</v>
      </c>
      <c r="Y398" s="1" t="s">
        <v>299</v>
      </c>
      <c r="Z398" s="1">
        <v>1</v>
      </c>
      <c r="AA398" s="1">
        <f>ROUND(H398*I398*Z398, 3)</f>
        <v>58.091000000000001</v>
      </c>
      <c r="AB398" s="1">
        <f>ROUND(VLOOKUP(X398,'Base de dados'!A:B, 2, 0)*AA398, 2)</f>
        <v>5.81</v>
      </c>
      <c r="AC398" s="1">
        <f>ROUND((AA398*(Destino!AG398/100))*(W398/100),2)</f>
        <v>10.46</v>
      </c>
      <c r="AD398" s="1">
        <f>ROUND(AA398*(Destino!AH398/100),2)</f>
        <v>5.37</v>
      </c>
      <c r="AF398" s="1">
        <f>ROUND((AA398+ AB398)*(J398/100),2)</f>
        <v>0.96</v>
      </c>
      <c r="AG398" s="1">
        <f>ROUND(AA398*T398,2)</f>
        <v>0</v>
      </c>
      <c r="AH398" s="1">
        <f>ROUND(AA398-(AC398+AD398)+AF398+AG398, 3)</f>
        <v>43.220999999999997</v>
      </c>
      <c r="AI398" s="1">
        <f>AH398*M398*K398</f>
        <v>43.220999999999997</v>
      </c>
      <c r="BA398" s="1" t="s">
        <v>11432</v>
      </c>
      <c r="BB398" s="1">
        <f>AI398</f>
        <v>43.220999999999997</v>
      </c>
      <c r="BD398" s="1">
        <f>N398</f>
        <v>1</v>
      </c>
    </row>
    <row r="399" spans="1:56" x14ac:dyDescent="0.25">
      <c r="A399" s="1">
        <v>600002718</v>
      </c>
      <c r="B399" s="1">
        <v>1700</v>
      </c>
      <c r="C399" s="1">
        <v>2200001421</v>
      </c>
      <c r="D399" s="1" t="s">
        <v>303</v>
      </c>
      <c r="E399" s="1">
        <f>IF(AND(B399&lt;&gt;1110,B399&lt;&gt;1210,B399&lt;&gt;1510,B399&lt;&gt;1710),B399,IF(B399=1110,"1100",IF(B399=1210,"1200",IF(B399=1510,"1500",IF(B399=1710,"1700","X")))))</f>
        <v>1700</v>
      </c>
      <c r="F399" s="1" t="s">
        <v>11238</v>
      </c>
      <c r="G399" s="1" t="s">
        <v>302</v>
      </c>
      <c r="H399" s="1">
        <f>ROUND(P399/(1-((R399+S399))/100)*Q399, 3)</f>
        <v>51.606999999999999</v>
      </c>
      <c r="I399" s="1">
        <v>0.25</v>
      </c>
      <c r="J399" s="1">
        <v>3</v>
      </c>
      <c r="K399" s="1">
        <v>1</v>
      </c>
      <c r="L399" s="1" t="s">
        <v>292</v>
      </c>
      <c r="M399" s="1">
        <v>4</v>
      </c>
      <c r="N399" s="1">
        <v>1</v>
      </c>
      <c r="O399" s="1" t="s">
        <v>296</v>
      </c>
      <c r="P399" s="1">
        <f>IFERROR(VLOOKUP(BC399, BA:BA:BB:BB, 2, 0),)</f>
        <v>43.220999999999997</v>
      </c>
      <c r="Q399" s="1">
        <f>IFERROR(VLOOKUP(BC399, BA:BA:BD:BD, 4, 0),1)</f>
        <v>1</v>
      </c>
      <c r="R399" s="1">
        <v>7</v>
      </c>
      <c r="S399" s="1">
        <v>9.25</v>
      </c>
      <c r="T399" s="1">
        <v>0</v>
      </c>
      <c r="V399" s="1" t="s">
        <v>11223</v>
      </c>
      <c r="W399" s="1">
        <v>100</v>
      </c>
      <c r="X399" s="1" t="s">
        <v>298</v>
      </c>
      <c r="Y399" s="1" t="s">
        <v>299</v>
      </c>
      <c r="Z399" s="1">
        <v>1</v>
      </c>
      <c r="AA399" s="1">
        <f>ROUND(H399*I399*Z399, 3)</f>
        <v>12.901999999999999</v>
      </c>
      <c r="AB399" s="1">
        <f>ROUND(VLOOKUP(X399,'Base de dados'!A:B, 2, 0)*AA399, 2)</f>
        <v>1.29</v>
      </c>
      <c r="AC399" s="1">
        <f>ROUND((AA399*(Destino!AG399/100))*(W399/100),2)</f>
        <v>0.9</v>
      </c>
      <c r="AD399" s="1">
        <f>ROUND(AA399*(Destino!AH399/100),2)</f>
        <v>0</v>
      </c>
      <c r="AE399" s="1">
        <f>ROUND((((AA399+AB399)*1.48)*(Destino!AI399/100))-AC399,2)</f>
        <v>2.67</v>
      </c>
      <c r="AF399" s="1">
        <f>ROUND((AA399+AB399+AE399)*(J399/100),2)</f>
        <v>0.51</v>
      </c>
      <c r="AG399" s="1">
        <f>ROUND(AA399*T399,2)</f>
        <v>0</v>
      </c>
      <c r="AH399" s="1">
        <f>ROUND(AA399+AB399-AD399+AE399+AF399+AG399, 3)</f>
        <v>17.372</v>
      </c>
      <c r="AI399" s="1">
        <f>AH399*M399*K399</f>
        <v>69.488</v>
      </c>
      <c r="BA399" s="1" t="s">
        <v>11323</v>
      </c>
      <c r="BB399" s="1">
        <f>AI399</f>
        <v>69.488</v>
      </c>
      <c r="BC399" s="1" t="s">
        <v>11432</v>
      </c>
      <c r="BD399" s="1">
        <f>N399</f>
        <v>1</v>
      </c>
    </row>
    <row r="400" spans="1:56" x14ac:dyDescent="0.25">
      <c r="A400" s="1">
        <v>600002719</v>
      </c>
      <c r="B400" s="1">
        <v>1000</v>
      </c>
      <c r="C400" s="1">
        <v>2200001473</v>
      </c>
      <c r="D400" s="1" t="s">
        <v>303</v>
      </c>
      <c r="E400" s="1">
        <f>IF(AND(B400&lt;&gt;1110,B400&lt;&gt;1210,B400&lt;&gt;1510,B400&lt;&gt;1710),B400,IF(B400=1110,"1100",IF(B400=1210,"1200",IF(B400=1510,"1500",IF(B400=1710,"1700","X")))))</f>
        <v>1000</v>
      </c>
      <c r="F400" s="1" t="s">
        <v>11198</v>
      </c>
      <c r="G400" s="1" t="s">
        <v>302</v>
      </c>
      <c r="H400" s="1">
        <f>ROUND(P400/(1-((R400+S400))/100)*Q400, 3)</f>
        <v>128.22499999999999</v>
      </c>
      <c r="I400" s="1">
        <v>0.45</v>
      </c>
      <c r="J400" s="1">
        <v>1.5</v>
      </c>
      <c r="K400" s="1">
        <v>1</v>
      </c>
      <c r="L400" s="1" t="s">
        <v>292</v>
      </c>
      <c r="M400" s="1">
        <v>1</v>
      </c>
      <c r="N400" s="1">
        <v>1</v>
      </c>
      <c r="O400" s="1" t="s">
        <v>296</v>
      </c>
      <c r="P400" s="1">
        <v>100.977</v>
      </c>
      <c r="Q400" s="1">
        <v>1</v>
      </c>
      <c r="R400" s="1">
        <v>12</v>
      </c>
      <c r="S400" s="1">
        <v>9.25</v>
      </c>
      <c r="T400" s="1">
        <v>0</v>
      </c>
      <c r="V400" s="1" t="s">
        <v>11223</v>
      </c>
      <c r="W400" s="1">
        <v>100</v>
      </c>
      <c r="X400" s="1" t="s">
        <v>298</v>
      </c>
      <c r="Y400" s="1" t="s">
        <v>299</v>
      </c>
      <c r="Z400" s="1">
        <v>1</v>
      </c>
      <c r="AA400" s="1">
        <f>ROUND(H400*I400*Z400, 3)</f>
        <v>57.701000000000001</v>
      </c>
      <c r="AB400" s="1">
        <f>ROUND(VLOOKUP(X400,'Base de dados'!A:B, 2, 0)*AA400, 2)</f>
        <v>5.77</v>
      </c>
      <c r="AC400" s="1">
        <f>ROUND((AA400*(Destino!AG400/100))*(W400/100),2)</f>
        <v>6.92</v>
      </c>
      <c r="AD400" s="1">
        <f>ROUND(AA400*(Destino!AH400/100),2)</f>
        <v>5.34</v>
      </c>
      <c r="AF400" s="1">
        <f>ROUND((AA400+ AB400)*(J400/100),2)</f>
        <v>0.95</v>
      </c>
      <c r="AG400" s="1">
        <f>ROUND(AA400*T400,2)</f>
        <v>0</v>
      </c>
      <c r="AH400" s="1">
        <f>ROUND(AA400-(AC400+AD400)+AF400+AG400, 3)</f>
        <v>46.390999999999998</v>
      </c>
      <c r="AI400" s="1">
        <f>AH400*M400*K400</f>
        <v>46.390999999999998</v>
      </c>
      <c r="BA400" s="1" t="s">
        <v>11696</v>
      </c>
      <c r="BB400" s="1">
        <f>AI400</f>
        <v>46.390999999999998</v>
      </c>
      <c r="BD400" s="1">
        <f>N400</f>
        <v>1</v>
      </c>
    </row>
    <row r="401" spans="1:56" x14ac:dyDescent="0.25">
      <c r="A401" s="1">
        <v>600002719</v>
      </c>
      <c r="B401" s="1">
        <v>1100</v>
      </c>
      <c r="C401" s="1">
        <v>2200001473</v>
      </c>
      <c r="D401" s="1" t="s">
        <v>303</v>
      </c>
      <c r="E401" s="1">
        <f>IF(AND(B401&lt;&gt;1110,B401&lt;&gt;1210,B401&lt;&gt;1510,B401&lt;&gt;1710),B401,IF(B401=1110,"1100",IF(B401=1210,"1200",IF(B401=1510,"1500",IF(B401=1710,"1700","X")))))</f>
        <v>1100</v>
      </c>
      <c r="F401" s="1" t="s">
        <v>11198</v>
      </c>
      <c r="G401" s="1" t="s">
        <v>302</v>
      </c>
      <c r="H401" s="1">
        <f>ROUND(P401/(1-((R401+S401))/100)*Q401, 3)</f>
        <v>120.57</v>
      </c>
      <c r="I401" s="1">
        <v>0.45</v>
      </c>
      <c r="J401" s="1">
        <v>2</v>
      </c>
      <c r="K401" s="1">
        <v>1</v>
      </c>
      <c r="L401" s="1" t="s">
        <v>292</v>
      </c>
      <c r="M401" s="1">
        <v>1</v>
      </c>
      <c r="N401" s="1">
        <v>1</v>
      </c>
      <c r="O401" s="1" t="s">
        <v>296</v>
      </c>
      <c r="P401" s="1">
        <v>100.977</v>
      </c>
      <c r="Q401" s="1">
        <v>1</v>
      </c>
      <c r="R401" s="1">
        <v>7</v>
      </c>
      <c r="S401" s="1">
        <v>9.25</v>
      </c>
      <c r="T401" s="1">
        <v>0</v>
      </c>
      <c r="V401" s="1" t="s">
        <v>11223</v>
      </c>
      <c r="W401" s="1">
        <v>100</v>
      </c>
      <c r="X401" s="1" t="s">
        <v>298</v>
      </c>
      <c r="Y401" s="1" t="s">
        <v>299</v>
      </c>
      <c r="Z401" s="1">
        <v>1</v>
      </c>
      <c r="AA401" s="1">
        <f>ROUND(H401*I401*Z401, 3)</f>
        <v>54.256999999999998</v>
      </c>
      <c r="AB401" s="1">
        <f>ROUND(VLOOKUP(X401,'Base de dados'!A:B, 2, 0)*AA401, 2)</f>
        <v>5.43</v>
      </c>
      <c r="AC401" s="1">
        <f>ROUND((AA401*(Destino!AG401/100))*(W401/100),2)</f>
        <v>3.8</v>
      </c>
      <c r="AD401" s="1">
        <f>ROUND(AA401*(Destino!AH401/100),2)</f>
        <v>5.0199999999999996</v>
      </c>
      <c r="AF401" s="1">
        <f>ROUND((AA401+ AB401)*(J401/100),2)</f>
        <v>1.19</v>
      </c>
      <c r="AG401" s="1">
        <f>ROUND(AA401*T401,2)</f>
        <v>0</v>
      </c>
      <c r="AH401" s="1">
        <f>ROUND(AA401-(AC401+AD401)+AF401+AG401, 3)</f>
        <v>46.627000000000002</v>
      </c>
      <c r="AI401" s="1">
        <f>AH401*M401*K401</f>
        <v>46.627000000000002</v>
      </c>
      <c r="BA401" s="1" t="s">
        <v>11697</v>
      </c>
      <c r="BB401" s="1">
        <f>AI401</f>
        <v>46.627000000000002</v>
      </c>
      <c r="BD401" s="1">
        <f>N401</f>
        <v>1</v>
      </c>
    </row>
    <row r="402" spans="1:56" x14ac:dyDescent="0.25">
      <c r="A402" s="1">
        <v>600002719</v>
      </c>
      <c r="B402" s="1">
        <v>1110</v>
      </c>
      <c r="C402" s="1">
        <v>2200001473</v>
      </c>
      <c r="D402" s="1" t="s">
        <v>303</v>
      </c>
      <c r="E402" s="1" t="str">
        <f>IF(AND(B402&lt;&gt;1110,B402&lt;&gt;1210,B402&lt;&gt;1510,B402&lt;&gt;1710),B402,IF(B402=1110,"1100",IF(B402=1210,"1200",IF(B402=1510,"1500",IF(B402=1710,"1700","X")))))</f>
        <v>1100</v>
      </c>
      <c r="F402" s="1" t="s">
        <v>447</v>
      </c>
      <c r="G402" s="1" t="s">
        <v>302</v>
      </c>
      <c r="H402" s="1">
        <f>ROUND(P402/(1-((R402+S402))/100)*Q402, 3)</f>
        <v>120.57</v>
      </c>
      <c r="I402" s="1">
        <v>0.45</v>
      </c>
      <c r="J402" s="1">
        <v>4</v>
      </c>
      <c r="K402" s="1">
        <v>1</v>
      </c>
      <c r="L402" s="1" t="s">
        <v>292</v>
      </c>
      <c r="M402" s="1">
        <v>1</v>
      </c>
      <c r="N402" s="1">
        <v>0.75262399999999996</v>
      </c>
      <c r="O402" s="1" t="s">
        <v>296</v>
      </c>
      <c r="P402" s="1">
        <v>100.977</v>
      </c>
      <c r="Q402" s="1">
        <v>1</v>
      </c>
      <c r="R402" s="1">
        <v>7</v>
      </c>
      <c r="S402" s="1">
        <v>9.25</v>
      </c>
      <c r="T402" s="1">
        <v>0</v>
      </c>
      <c r="V402" s="1" t="s">
        <v>11223</v>
      </c>
      <c r="W402" s="1">
        <v>100</v>
      </c>
      <c r="X402" s="1" t="s">
        <v>298</v>
      </c>
      <c r="Y402" s="1" t="s">
        <v>299</v>
      </c>
      <c r="Z402" s="1">
        <v>1</v>
      </c>
      <c r="AA402" s="1">
        <f>ROUND(H402*I402*Z402, 3)</f>
        <v>54.256999999999998</v>
      </c>
      <c r="AB402" s="1">
        <f>ROUND(VLOOKUP(X402,'Base de dados'!A:B, 2, 0)*AA402, 2)</f>
        <v>5.43</v>
      </c>
      <c r="AC402" s="1">
        <f>ROUND((AA402*(Destino!AG402/100))*(W402/100),2)</f>
        <v>3.8</v>
      </c>
      <c r="AD402" s="1">
        <f>ROUND(AA402*(Destino!AH402/100),2)</f>
        <v>5.0199999999999996</v>
      </c>
      <c r="AE402" s="1">
        <f>ROUND((((AA402+AB402)*1.5039)*(Destino!AI402/100))-AC402,2)</f>
        <v>11.46</v>
      </c>
      <c r="AF402" s="1">
        <f>ROUND((AA402+AB402+AE402)*(J402/100),2)</f>
        <v>2.85</v>
      </c>
      <c r="AG402" s="1">
        <f>ROUND(AA402*T402,2)</f>
        <v>0</v>
      </c>
      <c r="AH402" s="1">
        <f>ROUND(AA402-AD402+AE402+AF402+AG402, 3)</f>
        <v>63.546999999999997</v>
      </c>
      <c r="AI402" s="1">
        <f>AH402*M402*K402</f>
        <v>63.546999999999997</v>
      </c>
      <c r="BA402" s="1" t="s">
        <v>11698</v>
      </c>
      <c r="BB402" s="1">
        <f>AI402</f>
        <v>63.546999999999997</v>
      </c>
      <c r="BD402" s="1">
        <f>N402</f>
        <v>0.75262399999999996</v>
      </c>
    </row>
    <row r="403" spans="1:56" x14ac:dyDescent="0.25">
      <c r="A403" s="1">
        <v>600002719</v>
      </c>
      <c r="B403" s="1">
        <v>1400</v>
      </c>
      <c r="C403" s="1">
        <v>2200001473</v>
      </c>
      <c r="D403" s="1" t="s">
        <v>303</v>
      </c>
      <c r="E403" s="1">
        <f>IF(AND(B403&lt;&gt;1110,B403&lt;&gt;1210,B403&lt;&gt;1510,B403&lt;&gt;1710),B403,IF(B403=1110,"1100",IF(B403=1210,"1200",IF(B403=1510,"1500",IF(B403=1710,"1700","X")))))</f>
        <v>1400</v>
      </c>
      <c r="F403" s="1" t="s">
        <v>11198</v>
      </c>
      <c r="G403" s="1" t="s">
        <v>302</v>
      </c>
      <c r="H403" s="1">
        <f>ROUND(P403/(1-((R403+S403))/100)*Q403, 3)</f>
        <v>138.80000000000001</v>
      </c>
      <c r="I403" s="1">
        <v>0.45</v>
      </c>
      <c r="J403" s="1">
        <v>1.5</v>
      </c>
      <c r="K403" s="1">
        <v>1</v>
      </c>
      <c r="L403" s="1" t="s">
        <v>292</v>
      </c>
      <c r="M403" s="1">
        <v>1</v>
      </c>
      <c r="N403" s="1">
        <v>1</v>
      </c>
      <c r="O403" s="1" t="s">
        <v>296</v>
      </c>
      <c r="P403" s="1">
        <v>100.977</v>
      </c>
      <c r="Q403" s="1">
        <v>1</v>
      </c>
      <c r="R403" s="1">
        <v>18</v>
      </c>
      <c r="S403" s="1">
        <v>9.25</v>
      </c>
      <c r="T403" s="1">
        <v>0</v>
      </c>
      <c r="V403" s="1" t="s">
        <v>11223</v>
      </c>
      <c r="W403" s="1">
        <v>100</v>
      </c>
      <c r="X403" s="1" t="s">
        <v>298</v>
      </c>
      <c r="Y403" s="1" t="s">
        <v>299</v>
      </c>
      <c r="Z403" s="1">
        <v>1</v>
      </c>
      <c r="AA403" s="1">
        <f>ROUND(H403*I403*Z403, 3)</f>
        <v>62.46</v>
      </c>
      <c r="AB403" s="1">
        <f>ROUND(VLOOKUP(X403,'Base de dados'!A:B, 2, 0)*AA403, 2)</f>
        <v>6.25</v>
      </c>
      <c r="AC403" s="1">
        <f>ROUND((AA403*(Destino!AG403/100))*(W403/100),2)</f>
        <v>11.24</v>
      </c>
      <c r="AD403" s="1">
        <f>ROUND(AA403*(Destino!AH403/100),2)</f>
        <v>5.78</v>
      </c>
      <c r="AF403" s="1">
        <f>ROUND((AA403+ AB403)*(J403/100),2)</f>
        <v>1.03</v>
      </c>
      <c r="AG403" s="1">
        <f>ROUND(AA403*T403,2)</f>
        <v>0</v>
      </c>
      <c r="AH403" s="1">
        <f>ROUND(AA403-(AC403+AD403)+AF403+AG403, 3)</f>
        <v>46.47</v>
      </c>
      <c r="AI403" s="1">
        <f>AH403*M403*K403</f>
        <v>46.47</v>
      </c>
      <c r="BA403" s="1" t="s">
        <v>11433</v>
      </c>
      <c r="BB403" s="1">
        <f>AI403</f>
        <v>46.47</v>
      </c>
      <c r="BD403" s="1">
        <f>N403</f>
        <v>1</v>
      </c>
    </row>
    <row r="404" spans="1:56" x14ac:dyDescent="0.25">
      <c r="A404" s="1">
        <v>600002719</v>
      </c>
      <c r="B404" s="1">
        <v>1700</v>
      </c>
      <c r="C404" s="1">
        <v>2200001421</v>
      </c>
      <c r="D404" s="1" t="s">
        <v>303</v>
      </c>
      <c r="E404" s="1">
        <f>IF(AND(B404&lt;&gt;1110,B404&lt;&gt;1210,B404&lt;&gt;1510,B404&lt;&gt;1710),B404,IF(B404=1110,"1100",IF(B404=1210,"1200",IF(B404=1510,"1500",IF(B404=1710,"1700","X")))))</f>
        <v>1700</v>
      </c>
      <c r="F404" s="1" t="s">
        <v>11238</v>
      </c>
      <c r="G404" s="1" t="s">
        <v>302</v>
      </c>
      <c r="H404" s="1">
        <f>ROUND(P404/(1-((R404+S404))/100)*Q404, 3)</f>
        <v>55.487000000000002</v>
      </c>
      <c r="I404" s="1">
        <v>0.25</v>
      </c>
      <c r="J404" s="1">
        <v>3</v>
      </c>
      <c r="K404" s="1">
        <v>1</v>
      </c>
      <c r="L404" s="1" t="s">
        <v>292</v>
      </c>
      <c r="M404" s="1">
        <v>4</v>
      </c>
      <c r="N404" s="1">
        <v>1</v>
      </c>
      <c r="O404" s="1" t="s">
        <v>296</v>
      </c>
      <c r="P404" s="1">
        <f>IFERROR(VLOOKUP(BC404, BA:BA:BB:BB, 2, 0),)</f>
        <v>46.47</v>
      </c>
      <c r="Q404" s="1">
        <f>IFERROR(VLOOKUP(BC404, BA:BA:BD:BD, 4, 0),1)</f>
        <v>1</v>
      </c>
      <c r="R404" s="1">
        <v>7</v>
      </c>
      <c r="S404" s="1">
        <v>9.25</v>
      </c>
      <c r="T404" s="1">
        <v>0</v>
      </c>
      <c r="V404" s="1" t="s">
        <v>11223</v>
      </c>
      <c r="W404" s="1">
        <v>100</v>
      </c>
      <c r="X404" s="1" t="s">
        <v>298</v>
      </c>
      <c r="Y404" s="1" t="s">
        <v>299</v>
      </c>
      <c r="Z404" s="1">
        <v>1</v>
      </c>
      <c r="AA404" s="1">
        <f>ROUND(H404*I404*Z404, 3)</f>
        <v>13.872</v>
      </c>
      <c r="AB404" s="1">
        <f>ROUND(VLOOKUP(X404,'Base de dados'!A:B, 2, 0)*AA404, 2)</f>
        <v>1.39</v>
      </c>
      <c r="AC404" s="1">
        <f>ROUND((AA404*(Destino!AG404/100))*(W404/100),2)</f>
        <v>0.97</v>
      </c>
      <c r="AD404" s="1">
        <f>ROUND(AA404*(Destino!AH404/100),2)</f>
        <v>0</v>
      </c>
      <c r="AE404" s="1">
        <f>ROUND((((AA404+AB404)*1.48)*(Destino!AI404/100))-AC404,2)</f>
        <v>2.87</v>
      </c>
      <c r="AF404" s="1">
        <f>ROUND((AA404+AB404+AE404)*(J404/100),2)</f>
        <v>0.54</v>
      </c>
      <c r="AG404" s="1">
        <f>ROUND(AA404*T404,2)</f>
        <v>0</v>
      </c>
      <c r="AH404" s="1">
        <f>ROUND(AA404+AB404-AD404+AE404+AF404+AG404, 3)</f>
        <v>18.672000000000001</v>
      </c>
      <c r="AI404" s="1">
        <f>AH404*M404*K404</f>
        <v>74.688000000000002</v>
      </c>
      <c r="BA404" s="1" t="s">
        <v>11324</v>
      </c>
      <c r="BB404" s="1">
        <f>AI404</f>
        <v>74.688000000000002</v>
      </c>
      <c r="BC404" s="1" t="s">
        <v>11433</v>
      </c>
      <c r="BD404" s="1">
        <f>N404</f>
        <v>1</v>
      </c>
    </row>
    <row r="405" spans="1:56" x14ac:dyDescent="0.25">
      <c r="A405" s="1">
        <v>600002730</v>
      </c>
      <c r="B405" s="1">
        <v>1000</v>
      </c>
      <c r="C405" s="1">
        <v>2200001473</v>
      </c>
      <c r="D405" s="1" t="s">
        <v>303</v>
      </c>
      <c r="E405" s="1">
        <f>IF(AND(B405&lt;&gt;1110,B405&lt;&gt;1210,B405&lt;&gt;1510,B405&lt;&gt;1710),B405,IF(B405=1110,"1100",IF(B405=1210,"1200",IF(B405=1510,"1500",IF(B405=1710,"1700","X")))))</f>
        <v>1000</v>
      </c>
      <c r="F405" s="1" t="s">
        <v>11198</v>
      </c>
      <c r="G405" s="1" t="s">
        <v>302</v>
      </c>
      <c r="H405" s="1">
        <f>ROUND(P405/(1-((R405+S405))/100)*Q405, 3)</f>
        <v>132.93</v>
      </c>
      <c r="I405" s="1">
        <v>0.45</v>
      </c>
      <c r="J405" s="1">
        <v>1.5</v>
      </c>
      <c r="K405" s="1">
        <v>1</v>
      </c>
      <c r="L405" s="1" t="s">
        <v>292</v>
      </c>
      <c r="M405" s="1">
        <v>1</v>
      </c>
      <c r="N405" s="1">
        <v>1</v>
      </c>
      <c r="O405" s="1" t="s">
        <v>296</v>
      </c>
      <c r="P405" s="1">
        <v>104.682</v>
      </c>
      <c r="Q405" s="1">
        <v>1</v>
      </c>
      <c r="R405" s="1">
        <v>12</v>
      </c>
      <c r="S405" s="1">
        <v>9.25</v>
      </c>
      <c r="T405" s="1">
        <v>0</v>
      </c>
      <c r="V405" s="1" t="s">
        <v>11223</v>
      </c>
      <c r="W405" s="1">
        <v>100</v>
      </c>
      <c r="X405" s="1" t="s">
        <v>298</v>
      </c>
      <c r="Y405" s="1" t="s">
        <v>299</v>
      </c>
      <c r="Z405" s="1">
        <v>1</v>
      </c>
      <c r="AA405" s="1">
        <f>ROUND(H405*I405*Z405, 3)</f>
        <v>59.819000000000003</v>
      </c>
      <c r="AB405" s="1">
        <f>ROUND(VLOOKUP(X405,'Base de dados'!A:B, 2, 0)*AA405, 2)</f>
        <v>5.98</v>
      </c>
      <c r="AC405" s="1">
        <f>ROUND((AA405*(Destino!AG405/100))*(W405/100),2)</f>
        <v>7.18</v>
      </c>
      <c r="AD405" s="1">
        <f>ROUND(AA405*(Destino!AH405/100),2)</f>
        <v>5.53</v>
      </c>
      <c r="AF405" s="1">
        <f>ROUND((AA405+ AB405)*(J405/100),2)</f>
        <v>0.99</v>
      </c>
      <c r="AG405" s="1">
        <f>ROUND(AA405*T405,2)</f>
        <v>0</v>
      </c>
      <c r="AH405" s="1">
        <f>ROUND(AA405-(AC405+AD405)+AF405+AG405, 3)</f>
        <v>48.098999999999997</v>
      </c>
      <c r="AI405" s="1">
        <f>AH405*M405*K405</f>
        <v>48.098999999999997</v>
      </c>
      <c r="BA405" s="1" t="s">
        <v>11699</v>
      </c>
      <c r="BB405" s="1">
        <f>AI405</f>
        <v>48.098999999999997</v>
      </c>
      <c r="BD405" s="1">
        <f>N405</f>
        <v>1</v>
      </c>
    </row>
    <row r="406" spans="1:56" x14ac:dyDescent="0.25">
      <c r="A406" s="1">
        <v>600002730</v>
      </c>
      <c r="B406" s="1">
        <v>1100</v>
      </c>
      <c r="C406" s="1">
        <v>2200001473</v>
      </c>
      <c r="D406" s="1" t="s">
        <v>303</v>
      </c>
      <c r="E406" s="1">
        <f>IF(AND(B406&lt;&gt;1110,B406&lt;&gt;1210,B406&lt;&gt;1510,B406&lt;&gt;1710),B406,IF(B406=1110,"1100",IF(B406=1210,"1200",IF(B406=1510,"1500",IF(B406=1710,"1700","X")))))</f>
        <v>1100</v>
      </c>
      <c r="F406" s="1" t="s">
        <v>11198</v>
      </c>
      <c r="G406" s="1" t="s">
        <v>302</v>
      </c>
      <c r="H406" s="1">
        <f>ROUND(P406/(1-((R406+S406))/100)*Q406, 3)</f>
        <v>124.991</v>
      </c>
      <c r="I406" s="1">
        <v>0.45</v>
      </c>
      <c r="J406" s="1">
        <v>2</v>
      </c>
      <c r="K406" s="1">
        <v>1</v>
      </c>
      <c r="L406" s="1" t="s">
        <v>292</v>
      </c>
      <c r="M406" s="1">
        <v>1</v>
      </c>
      <c r="N406" s="1">
        <v>1</v>
      </c>
      <c r="O406" s="1" t="s">
        <v>296</v>
      </c>
      <c r="P406" s="1">
        <v>104.68</v>
      </c>
      <c r="Q406" s="1">
        <v>1</v>
      </c>
      <c r="R406" s="1">
        <v>7</v>
      </c>
      <c r="S406" s="1">
        <v>9.25</v>
      </c>
      <c r="T406" s="1">
        <v>0</v>
      </c>
      <c r="V406" s="1" t="s">
        <v>11223</v>
      </c>
      <c r="W406" s="1">
        <v>100</v>
      </c>
      <c r="X406" s="1" t="s">
        <v>298</v>
      </c>
      <c r="Y406" s="1" t="s">
        <v>299</v>
      </c>
      <c r="Z406" s="1">
        <v>1</v>
      </c>
      <c r="AA406" s="1">
        <f>ROUND(H406*I406*Z406, 3)</f>
        <v>56.246000000000002</v>
      </c>
      <c r="AB406" s="1">
        <f>ROUND(VLOOKUP(X406,'Base de dados'!A:B, 2, 0)*AA406, 2)</f>
        <v>5.62</v>
      </c>
      <c r="AC406" s="1">
        <f>ROUND((AA406*(Destino!AG406/100))*(W406/100),2)</f>
        <v>3.94</v>
      </c>
      <c r="AD406" s="1">
        <f>ROUND(AA406*(Destino!AH406/100),2)</f>
        <v>5.2</v>
      </c>
      <c r="AF406" s="1">
        <f>ROUND((AA406+ AB406)*(J406/100),2)</f>
        <v>1.24</v>
      </c>
      <c r="AG406" s="1">
        <f>ROUND(AA406*T406,2)</f>
        <v>0</v>
      </c>
      <c r="AH406" s="1">
        <f>ROUND(AA406-(AC406+AD406)+AF406+AG406, 3)</f>
        <v>48.345999999999997</v>
      </c>
      <c r="AI406" s="1">
        <f>AH406*M406*K406</f>
        <v>48.345999999999997</v>
      </c>
      <c r="BA406" s="1" t="s">
        <v>11700</v>
      </c>
      <c r="BB406" s="1">
        <f>AI406</f>
        <v>48.345999999999997</v>
      </c>
      <c r="BD406" s="1">
        <f>N406</f>
        <v>1</v>
      </c>
    </row>
    <row r="407" spans="1:56" x14ac:dyDescent="0.25">
      <c r="A407" s="1">
        <v>600002730</v>
      </c>
      <c r="B407" s="1">
        <v>1110</v>
      </c>
      <c r="C407" s="1">
        <v>2200001473</v>
      </c>
      <c r="D407" s="1" t="s">
        <v>303</v>
      </c>
      <c r="E407" s="1" t="str">
        <f>IF(AND(B407&lt;&gt;1110,B407&lt;&gt;1210,B407&lt;&gt;1510,B407&lt;&gt;1710),B407,IF(B407=1110,"1100",IF(B407=1210,"1200",IF(B407=1510,"1500",IF(B407=1710,"1700","X")))))</f>
        <v>1100</v>
      </c>
      <c r="F407" s="1" t="s">
        <v>447</v>
      </c>
      <c r="G407" s="1" t="s">
        <v>302</v>
      </c>
      <c r="H407" s="1">
        <f>ROUND(P407/(1-((R407+S407))/100)*Q407, 3)</f>
        <v>124.991</v>
      </c>
      <c r="I407" s="1">
        <v>0.45</v>
      </c>
      <c r="J407" s="1">
        <v>4</v>
      </c>
      <c r="K407" s="1">
        <v>1</v>
      </c>
      <c r="L407" s="1" t="s">
        <v>292</v>
      </c>
      <c r="M407" s="1">
        <v>1</v>
      </c>
      <c r="N407" s="1">
        <v>0.75268000000000002</v>
      </c>
      <c r="O407" s="1" t="s">
        <v>296</v>
      </c>
      <c r="P407" s="1">
        <v>104.68</v>
      </c>
      <c r="Q407" s="1">
        <v>1</v>
      </c>
      <c r="R407" s="1">
        <v>7</v>
      </c>
      <c r="S407" s="1">
        <v>9.25</v>
      </c>
      <c r="T407" s="1">
        <v>0</v>
      </c>
      <c r="V407" s="1" t="s">
        <v>11223</v>
      </c>
      <c r="W407" s="1">
        <v>100</v>
      </c>
      <c r="X407" s="1" t="s">
        <v>298</v>
      </c>
      <c r="Y407" s="1" t="s">
        <v>299</v>
      </c>
      <c r="Z407" s="1">
        <v>1</v>
      </c>
      <c r="AA407" s="1">
        <f>ROUND(H407*I407*Z407, 3)</f>
        <v>56.246000000000002</v>
      </c>
      <c r="AB407" s="1">
        <f>ROUND(VLOOKUP(X407,'Base de dados'!A:B, 2, 0)*AA407, 2)</f>
        <v>5.62</v>
      </c>
      <c r="AC407" s="1">
        <f>ROUND((AA407*(Destino!AG407/100))*(W407/100),2)</f>
        <v>3.94</v>
      </c>
      <c r="AD407" s="1">
        <f>ROUND(AA407*(Destino!AH407/100),2)</f>
        <v>5.2</v>
      </c>
      <c r="AE407" s="1">
        <f>ROUND((((AA407+AB407)*1.5039)*(Destino!AI407/100))-AC407,2)</f>
        <v>11.88</v>
      </c>
      <c r="AF407" s="1">
        <f>ROUND((AA407+AB407+AE407)*(J407/100),2)</f>
        <v>2.95</v>
      </c>
      <c r="AG407" s="1">
        <f>ROUND(AA407*T407,2)</f>
        <v>0</v>
      </c>
      <c r="AH407" s="1">
        <f>ROUND(AA407-AD407+AE407+AF407+AG407, 3)</f>
        <v>65.876000000000005</v>
      </c>
      <c r="AI407" s="1">
        <f>AH407*M407*K407</f>
        <v>65.876000000000005</v>
      </c>
      <c r="BA407" s="1" t="s">
        <v>11701</v>
      </c>
      <c r="BB407" s="1">
        <f>AI407</f>
        <v>65.876000000000005</v>
      </c>
      <c r="BD407" s="1">
        <f>N407</f>
        <v>0.75268000000000002</v>
      </c>
    </row>
    <row r="408" spans="1:56" x14ac:dyDescent="0.25">
      <c r="A408" s="1">
        <v>600002730</v>
      </c>
      <c r="B408" s="1">
        <v>1400</v>
      </c>
      <c r="C408" s="1">
        <v>2200001473</v>
      </c>
      <c r="D408" s="1" t="s">
        <v>303</v>
      </c>
      <c r="E408" s="1">
        <f>IF(AND(B408&lt;&gt;1110,B408&lt;&gt;1210,B408&lt;&gt;1510,B408&lt;&gt;1710),B408,IF(B408=1110,"1100",IF(B408=1210,"1200",IF(B408=1510,"1500",IF(B408=1710,"1700","X")))))</f>
        <v>1400</v>
      </c>
      <c r="F408" s="1" t="s">
        <v>11198</v>
      </c>
      <c r="G408" s="1" t="s">
        <v>302</v>
      </c>
      <c r="H408" s="1">
        <f>ROUND(P408/(1-((R408+S408))/100)*Q408, 3)</f>
        <v>143.88999999999999</v>
      </c>
      <c r="I408" s="1">
        <v>0.45</v>
      </c>
      <c r="J408" s="1">
        <v>1.5</v>
      </c>
      <c r="K408" s="1">
        <v>1</v>
      </c>
      <c r="L408" s="1" t="s">
        <v>292</v>
      </c>
      <c r="M408" s="1">
        <v>1</v>
      </c>
      <c r="N408" s="1">
        <v>1</v>
      </c>
      <c r="O408" s="1" t="s">
        <v>296</v>
      </c>
      <c r="P408" s="1">
        <v>104.68</v>
      </c>
      <c r="Q408" s="1">
        <v>1</v>
      </c>
      <c r="R408" s="1">
        <v>18</v>
      </c>
      <c r="S408" s="1">
        <v>9.25</v>
      </c>
      <c r="T408" s="1">
        <v>0</v>
      </c>
      <c r="V408" s="1" t="s">
        <v>11223</v>
      </c>
      <c r="W408" s="1">
        <v>100</v>
      </c>
      <c r="X408" s="1" t="s">
        <v>298</v>
      </c>
      <c r="Y408" s="1" t="s">
        <v>299</v>
      </c>
      <c r="Z408" s="1">
        <v>1</v>
      </c>
      <c r="AA408" s="1">
        <f>ROUND(H408*I408*Z408, 3)</f>
        <v>64.751000000000005</v>
      </c>
      <c r="AB408" s="1">
        <f>ROUND(VLOOKUP(X408,'Base de dados'!A:B, 2, 0)*AA408, 2)</f>
        <v>6.48</v>
      </c>
      <c r="AC408" s="1">
        <f>ROUND((AA408*(Destino!AG408/100))*(W408/100),2)</f>
        <v>11.66</v>
      </c>
      <c r="AD408" s="1">
        <f>ROUND(AA408*(Destino!AH408/100),2)</f>
        <v>5.99</v>
      </c>
      <c r="AF408" s="1">
        <f>ROUND((AA408+ AB408)*(J408/100),2)</f>
        <v>1.07</v>
      </c>
      <c r="AG408" s="1">
        <f>ROUND(AA408*T408,2)</f>
        <v>0</v>
      </c>
      <c r="AH408" s="1">
        <f>ROUND(AA408-(AC408+AD408)+AF408+AG408, 3)</f>
        <v>48.170999999999999</v>
      </c>
      <c r="AI408" s="1">
        <f>AH408*M408*K408</f>
        <v>48.170999999999999</v>
      </c>
      <c r="BA408" s="1" t="s">
        <v>11434</v>
      </c>
      <c r="BB408" s="1">
        <f>AI408</f>
        <v>48.170999999999999</v>
      </c>
      <c r="BD408" s="1">
        <f>N408</f>
        <v>1</v>
      </c>
    </row>
    <row r="409" spans="1:56" x14ac:dyDescent="0.25">
      <c r="A409" s="1">
        <v>600002730</v>
      </c>
      <c r="B409" s="1">
        <v>1700</v>
      </c>
      <c r="C409" s="1">
        <v>2200001421</v>
      </c>
      <c r="D409" s="1" t="s">
        <v>303</v>
      </c>
      <c r="E409" s="1">
        <f>IF(AND(B409&lt;&gt;1110,B409&lt;&gt;1210,B409&lt;&gt;1510,B409&lt;&gt;1710),B409,IF(B409=1110,"1100",IF(B409=1210,"1200",IF(B409=1510,"1500",IF(B409=1710,"1700","X")))))</f>
        <v>1700</v>
      </c>
      <c r="F409" s="1" t="s">
        <v>11238</v>
      </c>
      <c r="G409" s="1" t="s">
        <v>302</v>
      </c>
      <c r="H409" s="1">
        <f>ROUND(P409/(1-((R409+S409))/100)*Q409, 3)</f>
        <v>57.518000000000001</v>
      </c>
      <c r="I409" s="1">
        <v>0.25</v>
      </c>
      <c r="J409" s="1">
        <v>3</v>
      </c>
      <c r="K409" s="1">
        <v>1</v>
      </c>
      <c r="L409" s="1" t="s">
        <v>292</v>
      </c>
      <c r="M409" s="1">
        <v>4</v>
      </c>
      <c r="N409" s="1">
        <v>1</v>
      </c>
      <c r="O409" s="1" t="s">
        <v>296</v>
      </c>
      <c r="P409" s="1">
        <f>IFERROR(VLOOKUP(BC409, BA:BA:BB:BB, 2, 0),)</f>
        <v>48.170999999999999</v>
      </c>
      <c r="Q409" s="1">
        <f>IFERROR(VLOOKUP(BC409, BA:BA:BD:BD, 4, 0),1)</f>
        <v>1</v>
      </c>
      <c r="R409" s="1">
        <v>7</v>
      </c>
      <c r="S409" s="1">
        <v>9.25</v>
      </c>
      <c r="T409" s="1">
        <v>0</v>
      </c>
      <c r="V409" s="1" t="s">
        <v>11223</v>
      </c>
      <c r="W409" s="1">
        <v>100</v>
      </c>
      <c r="X409" s="1" t="s">
        <v>298</v>
      </c>
      <c r="Y409" s="1" t="s">
        <v>299</v>
      </c>
      <c r="Z409" s="1">
        <v>1</v>
      </c>
      <c r="AA409" s="1">
        <f>ROUND(H409*I409*Z409, 3)</f>
        <v>14.38</v>
      </c>
      <c r="AB409" s="1">
        <f>ROUND(VLOOKUP(X409,'Base de dados'!A:B, 2, 0)*AA409, 2)</f>
        <v>1.44</v>
      </c>
      <c r="AC409" s="1">
        <f>ROUND((AA409*(Destino!AG409/100))*(W409/100),2)</f>
        <v>1.01</v>
      </c>
      <c r="AD409" s="1">
        <f>ROUND(AA409*(Destino!AH409/100),2)</f>
        <v>0</v>
      </c>
      <c r="AE409" s="1">
        <f>ROUND((((AA409+AB409)*1.48)*(Destino!AI409/100))-AC409,2)</f>
        <v>2.97</v>
      </c>
      <c r="AF409" s="1">
        <f>ROUND((AA409+AB409+AE409)*(J409/100),2)</f>
        <v>0.56000000000000005</v>
      </c>
      <c r="AG409" s="1">
        <f>ROUND(AA409*T409,2)</f>
        <v>0</v>
      </c>
      <c r="AH409" s="1">
        <f>ROUND(AA409+AB409-AD409+AE409+AF409+AG409, 3)</f>
        <v>19.350000000000001</v>
      </c>
      <c r="AI409" s="1">
        <f>AH409*M409*K409</f>
        <v>77.400000000000006</v>
      </c>
      <c r="BA409" s="1" t="s">
        <v>11325</v>
      </c>
      <c r="BB409" s="1">
        <f>AI409</f>
        <v>77.400000000000006</v>
      </c>
      <c r="BC409" s="1" t="s">
        <v>11434</v>
      </c>
      <c r="BD409" s="1">
        <f>N409</f>
        <v>1</v>
      </c>
    </row>
    <row r="410" spans="1:56" x14ac:dyDescent="0.25">
      <c r="A410" s="1">
        <v>600002731</v>
      </c>
      <c r="B410" s="1">
        <v>1000</v>
      </c>
      <c r="C410" s="1">
        <v>2200001473</v>
      </c>
      <c r="D410" s="1" t="s">
        <v>303</v>
      </c>
      <c r="E410" s="1">
        <f>IF(AND(B410&lt;&gt;1110,B410&lt;&gt;1210,B410&lt;&gt;1510,B410&lt;&gt;1710),B410,IF(B410=1110,"1100",IF(B410=1210,"1200",IF(B410=1510,"1500",IF(B410=1710,"1700","X")))))</f>
        <v>1000</v>
      </c>
      <c r="F410" s="1" t="s">
        <v>11198</v>
      </c>
      <c r="G410" s="1" t="s">
        <v>302</v>
      </c>
      <c r="H410" s="1">
        <f>ROUND(P410/(1-((R410+S410))/100)*Q410, 3)</f>
        <v>137.5</v>
      </c>
      <c r="I410" s="1">
        <v>0.45</v>
      </c>
      <c r="J410" s="1">
        <v>1.5</v>
      </c>
      <c r="K410" s="1">
        <v>1</v>
      </c>
      <c r="L410" s="1" t="s">
        <v>292</v>
      </c>
      <c r="M410" s="1">
        <v>1</v>
      </c>
      <c r="N410" s="1">
        <v>1</v>
      </c>
      <c r="O410" s="1" t="s">
        <v>296</v>
      </c>
      <c r="P410" s="1">
        <v>108.28100000000001</v>
      </c>
      <c r="Q410" s="1">
        <v>1</v>
      </c>
      <c r="R410" s="1">
        <v>12</v>
      </c>
      <c r="S410" s="1">
        <v>9.25</v>
      </c>
      <c r="T410" s="1">
        <v>0</v>
      </c>
      <c r="V410" s="1" t="s">
        <v>11223</v>
      </c>
      <c r="W410" s="1">
        <v>100</v>
      </c>
      <c r="X410" s="1" t="s">
        <v>298</v>
      </c>
      <c r="Y410" s="1" t="s">
        <v>299</v>
      </c>
      <c r="Z410" s="1">
        <v>1</v>
      </c>
      <c r="AA410" s="1">
        <f>ROUND(H410*I410*Z410, 3)</f>
        <v>61.875</v>
      </c>
      <c r="AB410" s="1">
        <f>ROUND(VLOOKUP(X410,'Base de dados'!A:B, 2, 0)*AA410, 2)</f>
        <v>6.19</v>
      </c>
      <c r="AC410" s="1">
        <f>ROUND((AA410*(Destino!AG410/100))*(W410/100),2)</f>
        <v>7.43</v>
      </c>
      <c r="AD410" s="1">
        <f>ROUND(AA410*(Destino!AH410/100),2)</f>
        <v>5.72</v>
      </c>
      <c r="AF410" s="1">
        <f>ROUND((AA410+ AB410)*(J410/100),2)</f>
        <v>1.02</v>
      </c>
      <c r="AG410" s="1">
        <f>ROUND(AA410*T410,2)</f>
        <v>0</v>
      </c>
      <c r="AH410" s="1">
        <f>ROUND(AA410-(AC410+AD410)+AF410+AG410, 3)</f>
        <v>49.744999999999997</v>
      </c>
      <c r="AI410" s="1">
        <f>AH410*M410*K410</f>
        <v>49.744999999999997</v>
      </c>
      <c r="BA410" s="1" t="s">
        <v>11702</v>
      </c>
      <c r="BB410" s="1">
        <f>AI410</f>
        <v>49.744999999999997</v>
      </c>
      <c r="BD410" s="1">
        <f>N410</f>
        <v>1</v>
      </c>
    </row>
    <row r="411" spans="1:56" x14ac:dyDescent="0.25">
      <c r="A411" s="1">
        <v>600002731</v>
      </c>
      <c r="B411" s="1">
        <v>1100</v>
      </c>
      <c r="C411" s="1">
        <v>2200001473</v>
      </c>
      <c r="D411" s="1" t="s">
        <v>303</v>
      </c>
      <c r="E411" s="1">
        <f>IF(AND(B411&lt;&gt;1110,B411&lt;&gt;1210,B411&lt;&gt;1510,B411&lt;&gt;1710),B411,IF(B411=1110,"1100",IF(B411=1210,"1200",IF(B411=1510,"1500",IF(B411=1710,"1700","X")))))</f>
        <v>1100</v>
      </c>
      <c r="F411" s="1" t="s">
        <v>11198</v>
      </c>
      <c r="G411" s="1" t="s">
        <v>302</v>
      </c>
      <c r="H411" s="1">
        <f>ROUND(P411/(1-((R411+S411))/100)*Q411, 3)</f>
        <v>129.291</v>
      </c>
      <c r="I411" s="1">
        <v>0.45</v>
      </c>
      <c r="J411" s="1">
        <v>2</v>
      </c>
      <c r="K411" s="1">
        <v>1</v>
      </c>
      <c r="L411" s="1" t="s">
        <v>292</v>
      </c>
      <c r="M411" s="1">
        <v>1</v>
      </c>
      <c r="N411" s="1">
        <v>1</v>
      </c>
      <c r="O411" s="1" t="s">
        <v>296</v>
      </c>
      <c r="P411" s="1">
        <v>108.28100000000001</v>
      </c>
      <c r="Q411" s="1">
        <v>1</v>
      </c>
      <c r="R411" s="1">
        <v>7</v>
      </c>
      <c r="S411" s="1">
        <v>9.25</v>
      </c>
      <c r="T411" s="1">
        <v>0</v>
      </c>
      <c r="V411" s="1" t="s">
        <v>11223</v>
      </c>
      <c r="W411" s="1">
        <v>100</v>
      </c>
      <c r="X411" s="1" t="s">
        <v>298</v>
      </c>
      <c r="Y411" s="1" t="s">
        <v>299</v>
      </c>
      <c r="Z411" s="1">
        <v>1</v>
      </c>
      <c r="AA411" s="1">
        <f>ROUND(H411*I411*Z411, 3)</f>
        <v>58.180999999999997</v>
      </c>
      <c r="AB411" s="1">
        <f>ROUND(VLOOKUP(X411,'Base de dados'!A:B, 2, 0)*AA411, 2)</f>
        <v>5.82</v>
      </c>
      <c r="AC411" s="1">
        <f>ROUND((AA411*(Destino!AG411/100))*(W411/100),2)</f>
        <v>4.07</v>
      </c>
      <c r="AD411" s="1">
        <f>ROUND(AA411*(Destino!AH411/100),2)</f>
        <v>5.38</v>
      </c>
      <c r="AF411" s="1">
        <f>ROUND((AA411+ AB411)*(J411/100),2)</f>
        <v>1.28</v>
      </c>
      <c r="AG411" s="1">
        <f>ROUND(AA411*T411,2)</f>
        <v>0</v>
      </c>
      <c r="AH411" s="1">
        <f>ROUND(AA411-(AC411+AD411)+AF411+AG411, 3)</f>
        <v>50.011000000000003</v>
      </c>
      <c r="AI411" s="1">
        <f>AH411*M411*K411</f>
        <v>50.011000000000003</v>
      </c>
      <c r="BA411" s="1" t="s">
        <v>11703</v>
      </c>
      <c r="BB411" s="1">
        <f>AI411</f>
        <v>50.011000000000003</v>
      </c>
      <c r="BD411" s="1">
        <f>N411</f>
        <v>1</v>
      </c>
    </row>
    <row r="412" spans="1:56" x14ac:dyDescent="0.25">
      <c r="A412" s="1">
        <v>600002731</v>
      </c>
      <c r="B412" s="1">
        <v>1110</v>
      </c>
      <c r="C412" s="1">
        <v>2200001473</v>
      </c>
      <c r="D412" s="1" t="s">
        <v>303</v>
      </c>
      <c r="E412" s="1" t="str">
        <f>IF(AND(B412&lt;&gt;1110,B412&lt;&gt;1210,B412&lt;&gt;1510,B412&lt;&gt;1710),B412,IF(B412=1110,"1100",IF(B412=1210,"1200",IF(B412=1510,"1500",IF(B412=1710,"1700","X")))))</f>
        <v>1100</v>
      </c>
      <c r="F412" s="1" t="s">
        <v>447</v>
      </c>
      <c r="G412" s="1" t="s">
        <v>302</v>
      </c>
      <c r="H412" s="1">
        <f>ROUND(P412/(1-((R412+S412))/100)*Q412, 3)</f>
        <v>129.291</v>
      </c>
      <c r="I412" s="1">
        <v>0.45</v>
      </c>
      <c r="J412" s="1">
        <v>4</v>
      </c>
      <c r="K412" s="1">
        <v>1</v>
      </c>
      <c r="L412" s="1" t="s">
        <v>292</v>
      </c>
      <c r="M412" s="1">
        <v>1</v>
      </c>
      <c r="N412" s="1">
        <v>0.75271900000000003</v>
      </c>
      <c r="O412" s="1" t="s">
        <v>296</v>
      </c>
      <c r="P412" s="1">
        <v>108.28100000000001</v>
      </c>
      <c r="Q412" s="1">
        <v>1</v>
      </c>
      <c r="R412" s="1">
        <v>7</v>
      </c>
      <c r="S412" s="1">
        <v>9.25</v>
      </c>
      <c r="T412" s="1">
        <v>0</v>
      </c>
      <c r="V412" s="1" t="s">
        <v>11223</v>
      </c>
      <c r="W412" s="1">
        <v>100</v>
      </c>
      <c r="X412" s="1" t="s">
        <v>298</v>
      </c>
      <c r="Y412" s="1" t="s">
        <v>299</v>
      </c>
      <c r="Z412" s="1">
        <v>1</v>
      </c>
      <c r="AA412" s="1">
        <f>ROUND(H412*I412*Z412, 3)</f>
        <v>58.180999999999997</v>
      </c>
      <c r="AB412" s="1">
        <f>ROUND(VLOOKUP(X412,'Base de dados'!A:B, 2, 0)*AA412, 2)</f>
        <v>5.82</v>
      </c>
      <c r="AC412" s="1">
        <f>ROUND((AA412*(Destino!AG412/100))*(W412/100),2)</f>
        <v>4.07</v>
      </c>
      <c r="AD412" s="1">
        <f>ROUND(AA412*(Destino!AH412/100),2)</f>
        <v>5.38</v>
      </c>
      <c r="AE412" s="1">
        <f>ROUND((((AA412+AB412)*1.5039)*(Destino!AI412/100))-AC412,2)</f>
        <v>12.29</v>
      </c>
      <c r="AF412" s="1">
        <f>ROUND((AA412+AB412+AE412)*(J412/100),2)</f>
        <v>3.05</v>
      </c>
      <c r="AG412" s="1">
        <f>ROUND(AA412*T412,2)</f>
        <v>0</v>
      </c>
      <c r="AH412" s="1">
        <f>ROUND(AA412-AD412+AE412+AF412+AG412, 3)</f>
        <v>68.141000000000005</v>
      </c>
      <c r="AI412" s="1">
        <f>AH412*M412*K412</f>
        <v>68.141000000000005</v>
      </c>
      <c r="BA412" s="1" t="s">
        <v>11704</v>
      </c>
      <c r="BB412" s="1">
        <f>AI412</f>
        <v>68.141000000000005</v>
      </c>
      <c r="BD412" s="1">
        <f>N412</f>
        <v>0.75271900000000003</v>
      </c>
    </row>
    <row r="413" spans="1:56" x14ac:dyDescent="0.25">
      <c r="A413" s="1">
        <v>600002731</v>
      </c>
      <c r="B413" s="1">
        <v>1400</v>
      </c>
      <c r="C413" s="1">
        <v>2200001473</v>
      </c>
      <c r="D413" s="1" t="s">
        <v>303</v>
      </c>
      <c r="E413" s="1">
        <f>IF(AND(B413&lt;&gt;1110,B413&lt;&gt;1210,B413&lt;&gt;1510,B413&lt;&gt;1710),B413,IF(B413=1110,"1100",IF(B413=1210,"1200",IF(B413=1510,"1500",IF(B413=1710,"1700","X")))))</f>
        <v>1400</v>
      </c>
      <c r="F413" s="1" t="s">
        <v>11198</v>
      </c>
      <c r="G413" s="1" t="s">
        <v>302</v>
      </c>
      <c r="H413" s="1">
        <f>ROUND(P413/(1-((R413+S413))/100)*Q413, 3)</f>
        <v>148.84</v>
      </c>
      <c r="I413" s="1">
        <v>0.45</v>
      </c>
      <c r="J413" s="1">
        <v>1.5</v>
      </c>
      <c r="K413" s="1">
        <v>1</v>
      </c>
      <c r="L413" s="1" t="s">
        <v>292</v>
      </c>
      <c r="M413" s="1">
        <v>1</v>
      </c>
      <c r="N413" s="1">
        <v>1</v>
      </c>
      <c r="O413" s="1" t="s">
        <v>296</v>
      </c>
      <c r="P413" s="1">
        <v>108.28100000000001</v>
      </c>
      <c r="Q413" s="1">
        <v>1</v>
      </c>
      <c r="R413" s="1">
        <v>18</v>
      </c>
      <c r="S413" s="1">
        <v>9.25</v>
      </c>
      <c r="T413" s="1">
        <v>0</v>
      </c>
      <c r="V413" s="1" t="s">
        <v>11223</v>
      </c>
      <c r="W413" s="1">
        <v>100</v>
      </c>
      <c r="X413" s="1" t="s">
        <v>298</v>
      </c>
      <c r="Y413" s="1" t="s">
        <v>299</v>
      </c>
      <c r="Z413" s="1">
        <v>1</v>
      </c>
      <c r="AA413" s="1">
        <f>ROUND(H413*I413*Z413, 3)</f>
        <v>66.977999999999994</v>
      </c>
      <c r="AB413" s="1">
        <f>ROUND(VLOOKUP(X413,'Base de dados'!A:B, 2, 0)*AA413, 2)</f>
        <v>6.7</v>
      </c>
      <c r="AC413" s="1">
        <f>ROUND((AA413*(Destino!AG413/100))*(W413/100),2)</f>
        <v>12.06</v>
      </c>
      <c r="AD413" s="1">
        <f>ROUND(AA413*(Destino!AH413/100),2)</f>
        <v>6.2</v>
      </c>
      <c r="AF413" s="1">
        <f>ROUND((AA413+ AB413)*(J413/100),2)</f>
        <v>1.1100000000000001</v>
      </c>
      <c r="AG413" s="1">
        <f>ROUND(AA413*T413,2)</f>
        <v>0</v>
      </c>
      <c r="AH413" s="1">
        <f>ROUND(AA413-(AC413+AD413)+AF413+AG413, 3)</f>
        <v>49.828000000000003</v>
      </c>
      <c r="AI413" s="1">
        <f>AH413*M413*K413</f>
        <v>49.828000000000003</v>
      </c>
      <c r="BA413" s="1" t="s">
        <v>11435</v>
      </c>
      <c r="BB413" s="1">
        <f>AI413</f>
        <v>49.828000000000003</v>
      </c>
      <c r="BD413" s="1">
        <f>N413</f>
        <v>1</v>
      </c>
    </row>
    <row r="414" spans="1:56" x14ac:dyDescent="0.25">
      <c r="A414" s="1">
        <v>600002731</v>
      </c>
      <c r="B414" s="1">
        <v>1700</v>
      </c>
      <c r="C414" s="1">
        <v>2200001421</v>
      </c>
      <c r="D414" s="1" t="s">
        <v>303</v>
      </c>
      <c r="E414" s="1">
        <f>IF(AND(B414&lt;&gt;1110,B414&lt;&gt;1210,B414&lt;&gt;1510,B414&lt;&gt;1710),B414,IF(B414=1110,"1100",IF(B414=1210,"1200",IF(B414=1510,"1500",IF(B414=1710,"1700","X")))))</f>
        <v>1700</v>
      </c>
      <c r="F414" s="1" t="s">
        <v>11238</v>
      </c>
      <c r="G414" s="1" t="s">
        <v>302</v>
      </c>
      <c r="H414" s="1">
        <f>ROUND(P414/(1-((R414+S414))/100)*Q414, 3)</f>
        <v>59.496000000000002</v>
      </c>
      <c r="I414" s="1">
        <v>0.25</v>
      </c>
      <c r="J414" s="1">
        <v>3</v>
      </c>
      <c r="K414" s="1">
        <v>1</v>
      </c>
      <c r="L414" s="1" t="s">
        <v>292</v>
      </c>
      <c r="M414" s="1">
        <v>4</v>
      </c>
      <c r="N414" s="1">
        <v>1</v>
      </c>
      <c r="O414" s="1" t="s">
        <v>296</v>
      </c>
      <c r="P414" s="1">
        <f>IFERROR(VLOOKUP(BC414, BA:BA:BB:BB, 2, 0),)</f>
        <v>49.828000000000003</v>
      </c>
      <c r="Q414" s="1">
        <f>IFERROR(VLOOKUP(BC414, BA:BA:BD:BD, 4, 0),1)</f>
        <v>1</v>
      </c>
      <c r="R414" s="1">
        <v>7</v>
      </c>
      <c r="S414" s="1">
        <v>9.25</v>
      </c>
      <c r="T414" s="1">
        <v>0</v>
      </c>
      <c r="V414" s="1" t="s">
        <v>11223</v>
      </c>
      <c r="W414" s="1">
        <v>100</v>
      </c>
      <c r="X414" s="1" t="s">
        <v>298</v>
      </c>
      <c r="Y414" s="1" t="s">
        <v>299</v>
      </c>
      <c r="Z414" s="1">
        <v>1</v>
      </c>
      <c r="AA414" s="1">
        <f>ROUND(H414*I414*Z414, 3)</f>
        <v>14.874000000000001</v>
      </c>
      <c r="AB414" s="1">
        <f>ROUND(VLOOKUP(X414,'Base de dados'!A:B, 2, 0)*AA414, 2)</f>
        <v>1.49</v>
      </c>
      <c r="AC414" s="1">
        <f>ROUND((AA414*(Destino!AG414/100))*(W414/100),2)</f>
        <v>1.04</v>
      </c>
      <c r="AD414" s="1">
        <f>ROUND(AA414*(Destino!AH414/100),2)</f>
        <v>0</v>
      </c>
      <c r="AE414" s="1">
        <f>ROUND((((AA414+AB414)*1.48)*(Destino!AI414/100))-AC414,2)</f>
        <v>3.08</v>
      </c>
      <c r="AF414" s="1">
        <f>ROUND((AA414+AB414+AE414)*(J414/100),2)</f>
        <v>0.57999999999999996</v>
      </c>
      <c r="AG414" s="1">
        <f>ROUND(AA414*T414,2)</f>
        <v>0</v>
      </c>
      <c r="AH414" s="1">
        <f>ROUND(AA414+AB414-AD414+AE414+AF414+AG414, 3)</f>
        <v>20.024000000000001</v>
      </c>
      <c r="AI414" s="1">
        <f>AH414*M414*K414</f>
        <v>80.096000000000004</v>
      </c>
      <c r="BA414" s="1" t="s">
        <v>11326</v>
      </c>
      <c r="BB414" s="1">
        <f>AI414</f>
        <v>80.096000000000004</v>
      </c>
      <c r="BC414" s="1" t="s">
        <v>11435</v>
      </c>
      <c r="BD414" s="1">
        <f>N414</f>
        <v>1</v>
      </c>
    </row>
    <row r="415" spans="1:56" x14ac:dyDescent="0.25">
      <c r="A415" s="1">
        <v>600002732</v>
      </c>
      <c r="B415" s="1">
        <v>1000</v>
      </c>
      <c r="C415" s="1">
        <v>2200001473</v>
      </c>
      <c r="D415" s="1" t="s">
        <v>303</v>
      </c>
      <c r="E415" s="1">
        <f>IF(AND(B415&lt;&gt;1110,B415&lt;&gt;1210,B415&lt;&gt;1510,B415&lt;&gt;1710),B415,IF(B415=1110,"1100",IF(B415=1210,"1200",IF(B415=1510,"1500",IF(B415=1710,"1700","X")))))</f>
        <v>1000</v>
      </c>
      <c r="F415" s="1" t="s">
        <v>11198</v>
      </c>
      <c r="G415" s="1" t="s">
        <v>302</v>
      </c>
      <c r="H415" s="1">
        <f>ROUND(P415/(1-((R415+S415))/100)*Q415, 3)</f>
        <v>138.94200000000001</v>
      </c>
      <c r="I415" s="1">
        <v>0.45</v>
      </c>
      <c r="J415" s="1">
        <v>1.5</v>
      </c>
      <c r="K415" s="1">
        <v>1</v>
      </c>
      <c r="L415" s="1" t="s">
        <v>292</v>
      </c>
      <c r="M415" s="1">
        <v>1</v>
      </c>
      <c r="N415" s="1">
        <v>1</v>
      </c>
      <c r="O415" s="1" t="s">
        <v>296</v>
      </c>
      <c r="P415" s="1">
        <v>109.417</v>
      </c>
      <c r="Q415" s="1">
        <v>1</v>
      </c>
      <c r="R415" s="1">
        <v>12</v>
      </c>
      <c r="S415" s="1">
        <v>9.25</v>
      </c>
      <c r="T415" s="1">
        <v>0</v>
      </c>
      <c r="V415" s="1" t="s">
        <v>11223</v>
      </c>
      <c r="W415" s="1">
        <v>100</v>
      </c>
      <c r="X415" s="1" t="s">
        <v>298</v>
      </c>
      <c r="Y415" s="1" t="s">
        <v>299</v>
      </c>
      <c r="Z415" s="1">
        <v>1</v>
      </c>
      <c r="AA415" s="1">
        <f>ROUND(H415*I415*Z415, 3)</f>
        <v>62.524000000000001</v>
      </c>
      <c r="AB415" s="1">
        <f>ROUND(VLOOKUP(X415,'Base de dados'!A:B, 2, 0)*AA415, 2)</f>
        <v>6.25</v>
      </c>
      <c r="AC415" s="1">
        <f>ROUND((AA415*(Destino!AG415/100))*(W415/100),2)</f>
        <v>7.5</v>
      </c>
      <c r="AD415" s="1">
        <f>ROUND(AA415*(Destino!AH415/100),2)</f>
        <v>5.78</v>
      </c>
      <c r="AF415" s="1">
        <f>ROUND((AA415+ AB415)*(J415/100),2)</f>
        <v>1.03</v>
      </c>
      <c r="AG415" s="1">
        <f>ROUND(AA415*T415,2)</f>
        <v>0</v>
      </c>
      <c r="AH415" s="1">
        <f>ROUND(AA415-(AC415+AD415)+AF415+AG415, 3)</f>
        <v>50.274000000000001</v>
      </c>
      <c r="AI415" s="1">
        <f>AH415*M415*K415</f>
        <v>50.274000000000001</v>
      </c>
      <c r="BA415" s="1" t="s">
        <v>11705</v>
      </c>
      <c r="BB415" s="1">
        <f>AI415</f>
        <v>50.274000000000001</v>
      </c>
      <c r="BD415" s="1">
        <f>N415</f>
        <v>1</v>
      </c>
    </row>
    <row r="416" spans="1:56" x14ac:dyDescent="0.25">
      <c r="A416" s="1">
        <v>600002732</v>
      </c>
      <c r="B416" s="1">
        <v>1100</v>
      </c>
      <c r="C416" s="1">
        <v>2200001473</v>
      </c>
      <c r="D416" s="1" t="s">
        <v>303</v>
      </c>
      <c r="E416" s="1">
        <f>IF(AND(B416&lt;&gt;1110,B416&lt;&gt;1210,B416&lt;&gt;1510,B416&lt;&gt;1710),B416,IF(B416=1110,"1100",IF(B416=1210,"1200",IF(B416=1510,"1500",IF(B416=1710,"1700","X")))))</f>
        <v>1100</v>
      </c>
      <c r="F416" s="1" t="s">
        <v>11198</v>
      </c>
      <c r="G416" s="1" t="s">
        <v>302</v>
      </c>
      <c r="H416" s="1">
        <f>ROUND(P416/(1-((R416+S416))/100)*Q416, 3)</f>
        <v>130.64599999999999</v>
      </c>
      <c r="I416" s="1">
        <v>0.45</v>
      </c>
      <c r="J416" s="1">
        <v>2</v>
      </c>
      <c r="K416" s="1">
        <v>1</v>
      </c>
      <c r="L416" s="1" t="s">
        <v>292</v>
      </c>
      <c r="M416" s="1">
        <v>1</v>
      </c>
      <c r="N416" s="1">
        <v>1</v>
      </c>
      <c r="O416" s="1" t="s">
        <v>296</v>
      </c>
      <c r="P416" s="1">
        <v>109.416</v>
      </c>
      <c r="Q416" s="1">
        <v>1</v>
      </c>
      <c r="R416" s="1">
        <v>7</v>
      </c>
      <c r="S416" s="1">
        <v>9.25</v>
      </c>
      <c r="T416" s="1">
        <v>0</v>
      </c>
      <c r="V416" s="1" t="s">
        <v>11223</v>
      </c>
      <c r="W416" s="1">
        <v>100</v>
      </c>
      <c r="X416" s="1" t="s">
        <v>298</v>
      </c>
      <c r="Y416" s="1" t="s">
        <v>299</v>
      </c>
      <c r="Z416" s="1">
        <v>1</v>
      </c>
      <c r="AA416" s="1">
        <f>ROUND(H416*I416*Z416, 3)</f>
        <v>58.790999999999997</v>
      </c>
      <c r="AB416" s="1">
        <f>ROUND(VLOOKUP(X416,'Base de dados'!A:B, 2, 0)*AA416, 2)</f>
        <v>5.88</v>
      </c>
      <c r="AC416" s="1">
        <f>ROUND((AA416*(Destino!AG416/100))*(W416/100),2)</f>
        <v>4.12</v>
      </c>
      <c r="AD416" s="1">
        <f>ROUND(AA416*(Destino!AH416/100),2)</f>
        <v>5.44</v>
      </c>
      <c r="AF416" s="1">
        <f>ROUND((AA416+ AB416)*(J416/100),2)</f>
        <v>1.29</v>
      </c>
      <c r="AG416" s="1">
        <f>ROUND(AA416*T416,2)</f>
        <v>0</v>
      </c>
      <c r="AH416" s="1">
        <f>ROUND(AA416-(AC416+AD416)+AF416+AG416, 3)</f>
        <v>50.521000000000001</v>
      </c>
      <c r="AI416" s="1">
        <f>AH416*M416*K416</f>
        <v>50.521000000000001</v>
      </c>
      <c r="BA416" s="1" t="s">
        <v>11706</v>
      </c>
      <c r="BB416" s="1">
        <f>AI416</f>
        <v>50.521000000000001</v>
      </c>
      <c r="BD416" s="1">
        <f>N416</f>
        <v>1</v>
      </c>
    </row>
    <row r="417" spans="1:56" x14ac:dyDescent="0.25">
      <c r="A417" s="1">
        <v>600002732</v>
      </c>
      <c r="B417" s="1">
        <v>1110</v>
      </c>
      <c r="C417" s="1">
        <v>2200001473</v>
      </c>
      <c r="D417" s="1" t="s">
        <v>303</v>
      </c>
      <c r="E417" s="1" t="str">
        <f>IF(AND(B417&lt;&gt;1110,B417&lt;&gt;1210,B417&lt;&gt;1510,B417&lt;&gt;1710),B417,IF(B417=1110,"1100",IF(B417=1210,"1200",IF(B417=1510,"1500",IF(B417=1710,"1700","X")))))</f>
        <v>1100</v>
      </c>
      <c r="F417" s="1" t="s">
        <v>447</v>
      </c>
      <c r="G417" s="1" t="s">
        <v>302</v>
      </c>
      <c r="H417" s="1">
        <f>ROUND(P417/(1-((R417+S417))/100)*Q417, 3)</f>
        <v>130.64599999999999</v>
      </c>
      <c r="I417" s="1">
        <v>0.45</v>
      </c>
      <c r="J417" s="1">
        <v>4</v>
      </c>
      <c r="K417" s="1">
        <v>1</v>
      </c>
      <c r="L417" s="1" t="s">
        <v>292</v>
      </c>
      <c r="M417" s="1">
        <v>1</v>
      </c>
      <c r="N417" s="1">
        <v>0.75280000000000002</v>
      </c>
      <c r="O417" s="1" t="s">
        <v>296</v>
      </c>
      <c r="P417" s="1">
        <v>109.416</v>
      </c>
      <c r="Q417" s="1">
        <v>1</v>
      </c>
      <c r="R417" s="1">
        <v>7</v>
      </c>
      <c r="S417" s="1">
        <v>9.25</v>
      </c>
      <c r="T417" s="1">
        <v>0</v>
      </c>
      <c r="V417" s="1" t="s">
        <v>11223</v>
      </c>
      <c r="W417" s="1">
        <v>100</v>
      </c>
      <c r="X417" s="1" t="s">
        <v>298</v>
      </c>
      <c r="Y417" s="1" t="s">
        <v>299</v>
      </c>
      <c r="Z417" s="1">
        <v>1</v>
      </c>
      <c r="AA417" s="1">
        <f>ROUND(H417*I417*Z417, 3)</f>
        <v>58.790999999999997</v>
      </c>
      <c r="AB417" s="1">
        <f>ROUND(VLOOKUP(X417,'Base de dados'!A:B, 2, 0)*AA417, 2)</f>
        <v>5.88</v>
      </c>
      <c r="AC417" s="1">
        <f>ROUND((AA417*(Destino!AG417/100))*(W417/100),2)</f>
        <v>4.12</v>
      </c>
      <c r="AD417" s="1">
        <f>ROUND(AA417*(Destino!AH417/100),2)</f>
        <v>5.44</v>
      </c>
      <c r="AE417" s="1">
        <f>ROUND((((AA417+AB417)*1.5039)*(Destino!AI417/100))-AC417,2)</f>
        <v>12.41</v>
      </c>
      <c r="AF417" s="1">
        <f>ROUND((AA417+AB417+AE417)*(J417/100),2)</f>
        <v>3.08</v>
      </c>
      <c r="AG417" s="1">
        <f>ROUND(AA417*T417,2)</f>
        <v>0</v>
      </c>
      <c r="AH417" s="1">
        <f>ROUND(AA417-AD417+AE417+AF417+AG417, 3)</f>
        <v>68.840999999999994</v>
      </c>
      <c r="AI417" s="1">
        <f>AH417*M417*K417</f>
        <v>68.840999999999994</v>
      </c>
      <c r="BA417" s="1" t="s">
        <v>11707</v>
      </c>
      <c r="BB417" s="1">
        <f>AI417</f>
        <v>68.840999999999994</v>
      </c>
      <c r="BD417" s="1">
        <f>N417</f>
        <v>0.75280000000000002</v>
      </c>
    </row>
    <row r="418" spans="1:56" x14ac:dyDescent="0.25">
      <c r="A418" s="1">
        <v>600002732</v>
      </c>
      <c r="B418" s="1">
        <v>1400</v>
      </c>
      <c r="C418" s="1">
        <v>2200001473</v>
      </c>
      <c r="D418" s="1" t="s">
        <v>303</v>
      </c>
      <c r="E418" s="1">
        <f>IF(AND(B418&lt;&gt;1110,B418&lt;&gt;1210,B418&lt;&gt;1510,B418&lt;&gt;1710),B418,IF(B418=1110,"1100",IF(B418=1210,"1200",IF(B418=1510,"1500",IF(B418=1710,"1700","X")))))</f>
        <v>1400</v>
      </c>
      <c r="F418" s="1" t="s">
        <v>11198</v>
      </c>
      <c r="G418" s="1" t="s">
        <v>302</v>
      </c>
      <c r="H418" s="1">
        <f>ROUND(P418/(1-((R418+S418))/100)*Q418, 3)</f>
        <v>150.4</v>
      </c>
      <c r="I418" s="1">
        <v>0.45</v>
      </c>
      <c r="J418" s="1">
        <v>1.5</v>
      </c>
      <c r="K418" s="1">
        <v>1</v>
      </c>
      <c r="L418" s="1" t="s">
        <v>292</v>
      </c>
      <c r="M418" s="1">
        <v>1</v>
      </c>
      <c r="N418" s="1">
        <v>1</v>
      </c>
      <c r="O418" s="1" t="s">
        <v>296</v>
      </c>
      <c r="P418" s="1">
        <v>109.416</v>
      </c>
      <c r="Q418" s="1">
        <v>1</v>
      </c>
      <c r="R418" s="1">
        <v>18</v>
      </c>
      <c r="S418" s="1">
        <v>9.25</v>
      </c>
      <c r="T418" s="1">
        <v>0</v>
      </c>
      <c r="V418" s="1" t="s">
        <v>11223</v>
      </c>
      <c r="W418" s="1">
        <v>100</v>
      </c>
      <c r="X418" s="1" t="s">
        <v>298</v>
      </c>
      <c r="Y418" s="1" t="s">
        <v>299</v>
      </c>
      <c r="Z418" s="1">
        <v>1</v>
      </c>
      <c r="AA418" s="1">
        <f>ROUND(H418*I418*Z418, 3)</f>
        <v>67.680000000000007</v>
      </c>
      <c r="AB418" s="1">
        <f>ROUND(VLOOKUP(X418,'Base de dados'!A:B, 2, 0)*AA418, 2)</f>
        <v>6.77</v>
      </c>
      <c r="AC418" s="1">
        <f>ROUND((AA418*(Destino!AG418/100))*(W418/100),2)</f>
        <v>12.18</v>
      </c>
      <c r="AD418" s="1">
        <f>ROUND(AA418*(Destino!AH418/100),2)</f>
        <v>6.26</v>
      </c>
      <c r="AF418" s="1">
        <f>ROUND((AA418+ AB418)*(J418/100),2)</f>
        <v>1.1200000000000001</v>
      </c>
      <c r="AG418" s="1">
        <f>ROUND(AA418*T418,2)</f>
        <v>0</v>
      </c>
      <c r="AH418" s="1">
        <f>ROUND(AA418-(AC418+AD418)+AF418+AG418, 3)</f>
        <v>50.36</v>
      </c>
      <c r="AI418" s="1">
        <f>AH418*M418*K418</f>
        <v>50.36</v>
      </c>
      <c r="BA418" s="1" t="s">
        <v>11436</v>
      </c>
      <c r="BB418" s="1">
        <f>AI418</f>
        <v>50.36</v>
      </c>
      <c r="BD418" s="1">
        <f>N418</f>
        <v>1</v>
      </c>
    </row>
    <row r="419" spans="1:56" x14ac:dyDescent="0.25">
      <c r="A419" s="1">
        <v>600002732</v>
      </c>
      <c r="B419" s="1">
        <v>1700</v>
      </c>
      <c r="C419" s="1">
        <v>2200001421</v>
      </c>
      <c r="D419" s="1" t="s">
        <v>303</v>
      </c>
      <c r="E419" s="1">
        <f>IF(AND(B419&lt;&gt;1110,B419&lt;&gt;1210,B419&lt;&gt;1510,B419&lt;&gt;1710),B419,IF(B419=1110,"1100",IF(B419=1210,"1200",IF(B419=1510,"1500",IF(B419=1710,"1700","X")))))</f>
        <v>1700</v>
      </c>
      <c r="F419" s="1" t="s">
        <v>11238</v>
      </c>
      <c r="G419" s="1" t="s">
        <v>302</v>
      </c>
      <c r="H419" s="1">
        <f>ROUND(P419/(1-((R419+S419))/100)*Q419, 3)</f>
        <v>60.131</v>
      </c>
      <c r="I419" s="1">
        <v>0.25</v>
      </c>
      <c r="J419" s="1">
        <v>3</v>
      </c>
      <c r="K419" s="1">
        <v>1</v>
      </c>
      <c r="L419" s="1" t="s">
        <v>292</v>
      </c>
      <c r="M419" s="1">
        <v>4</v>
      </c>
      <c r="N419" s="1">
        <v>1</v>
      </c>
      <c r="O419" s="1" t="s">
        <v>296</v>
      </c>
      <c r="P419" s="1">
        <f>IFERROR(VLOOKUP(BC419, BA:BA:BB:BB, 2, 0),)</f>
        <v>50.36</v>
      </c>
      <c r="Q419" s="1">
        <f>IFERROR(VLOOKUP(BC419, BA:BA:BD:BD, 4, 0),1)</f>
        <v>1</v>
      </c>
      <c r="R419" s="1">
        <v>7</v>
      </c>
      <c r="S419" s="1">
        <v>9.25</v>
      </c>
      <c r="T419" s="1">
        <v>0</v>
      </c>
      <c r="V419" s="1" t="s">
        <v>11223</v>
      </c>
      <c r="W419" s="1">
        <v>100</v>
      </c>
      <c r="X419" s="1" t="s">
        <v>298</v>
      </c>
      <c r="Y419" s="1" t="s">
        <v>299</v>
      </c>
      <c r="Z419" s="1">
        <v>1</v>
      </c>
      <c r="AA419" s="1">
        <f>ROUND(H419*I419*Z419, 3)</f>
        <v>15.032999999999999</v>
      </c>
      <c r="AB419" s="1">
        <f>ROUND(VLOOKUP(X419,'Base de dados'!A:B, 2, 0)*AA419, 2)</f>
        <v>1.5</v>
      </c>
      <c r="AC419" s="1">
        <f>ROUND((AA419*(Destino!AG419/100))*(W419/100),2)</f>
        <v>1.05</v>
      </c>
      <c r="AD419" s="1">
        <f>ROUND(AA419*(Destino!AH419/100),2)</f>
        <v>0</v>
      </c>
      <c r="AE419" s="1">
        <f>ROUND((((AA419+AB419)*1.48)*(Destino!AI419/100))-AC419,2)</f>
        <v>3.11</v>
      </c>
      <c r="AF419" s="1">
        <f>ROUND((AA419+AB419+AE419)*(J419/100),2)</f>
        <v>0.59</v>
      </c>
      <c r="AG419" s="1">
        <f>ROUND(AA419*T419,2)</f>
        <v>0</v>
      </c>
      <c r="AH419" s="1">
        <f>ROUND(AA419+AB419-AD419+AE419+AF419+AG419, 3)</f>
        <v>20.233000000000001</v>
      </c>
      <c r="AI419" s="1">
        <f>AH419*M419*K419</f>
        <v>80.932000000000002</v>
      </c>
      <c r="BA419" s="1" t="s">
        <v>11327</v>
      </c>
      <c r="BB419" s="1">
        <f>AI419</f>
        <v>80.932000000000002</v>
      </c>
      <c r="BC419" s="1" t="s">
        <v>11436</v>
      </c>
      <c r="BD419" s="1">
        <f>N419</f>
        <v>1</v>
      </c>
    </row>
    <row r="420" spans="1:56" x14ac:dyDescent="0.25">
      <c r="A420" s="1">
        <v>600002733</v>
      </c>
      <c r="B420" s="1">
        <v>1000</v>
      </c>
      <c r="C420" s="1">
        <v>2200001473</v>
      </c>
      <c r="D420" s="1" t="s">
        <v>303</v>
      </c>
      <c r="E420" s="1">
        <f>IF(AND(B420&lt;&gt;1110,B420&lt;&gt;1210,B420&lt;&gt;1510,B420&lt;&gt;1710),B420,IF(B420=1110,"1100",IF(B420=1210,"1200",IF(B420=1510,"1500",IF(B420=1710,"1700","X")))))</f>
        <v>1000</v>
      </c>
      <c r="F420" s="1" t="s">
        <v>11198</v>
      </c>
      <c r="G420" s="1" t="s">
        <v>302</v>
      </c>
      <c r="H420" s="1">
        <f>ROUND(P420/(1-((R420+S420))/100)*Q420, 3)</f>
        <v>145.42599999999999</v>
      </c>
      <c r="I420" s="1">
        <v>0.45</v>
      </c>
      <c r="J420" s="1">
        <v>1.5</v>
      </c>
      <c r="K420" s="1">
        <v>1</v>
      </c>
      <c r="L420" s="1" t="s">
        <v>292</v>
      </c>
      <c r="M420" s="1">
        <v>1</v>
      </c>
      <c r="N420" s="1">
        <v>1</v>
      </c>
      <c r="O420" s="1" t="s">
        <v>296</v>
      </c>
      <c r="P420" s="1">
        <v>114.523</v>
      </c>
      <c r="Q420" s="1">
        <v>1</v>
      </c>
      <c r="R420" s="1">
        <v>12</v>
      </c>
      <c r="S420" s="1">
        <v>9.25</v>
      </c>
      <c r="T420" s="1">
        <v>0</v>
      </c>
      <c r="V420" s="1" t="s">
        <v>11223</v>
      </c>
      <c r="W420" s="1">
        <v>100</v>
      </c>
      <c r="X420" s="1" t="s">
        <v>298</v>
      </c>
      <c r="Y420" s="1" t="s">
        <v>299</v>
      </c>
      <c r="Z420" s="1">
        <v>1</v>
      </c>
      <c r="AA420" s="1">
        <f>ROUND(H420*I420*Z420, 3)</f>
        <v>65.441999999999993</v>
      </c>
      <c r="AB420" s="1">
        <f>ROUND(VLOOKUP(X420,'Base de dados'!A:B, 2, 0)*AA420, 2)</f>
        <v>6.54</v>
      </c>
      <c r="AC420" s="1">
        <f>ROUND((AA420*(Destino!AG420/100))*(W420/100),2)</f>
        <v>7.85</v>
      </c>
      <c r="AD420" s="1">
        <f>ROUND(AA420*(Destino!AH420/100),2)</f>
        <v>6.05</v>
      </c>
      <c r="AF420" s="1">
        <f>ROUND((AA420+ AB420)*(J420/100),2)</f>
        <v>1.08</v>
      </c>
      <c r="AG420" s="1">
        <f>ROUND(AA420*T420,2)</f>
        <v>0</v>
      </c>
      <c r="AH420" s="1">
        <f>ROUND(AA420-(AC420+AD420)+AF420+AG420, 3)</f>
        <v>52.622</v>
      </c>
      <c r="AI420" s="1">
        <f>AH420*M420*K420</f>
        <v>52.622</v>
      </c>
      <c r="BA420" s="1" t="s">
        <v>11708</v>
      </c>
      <c r="BB420" s="1">
        <f>AI420</f>
        <v>52.622</v>
      </c>
      <c r="BD420" s="1">
        <f>N420</f>
        <v>1</v>
      </c>
    </row>
    <row r="421" spans="1:56" x14ac:dyDescent="0.25">
      <c r="A421" s="1">
        <v>600002733</v>
      </c>
      <c r="B421" s="1">
        <v>1100</v>
      </c>
      <c r="C421" s="1">
        <v>2200001473</v>
      </c>
      <c r="D421" s="1" t="s">
        <v>303</v>
      </c>
      <c r="E421" s="1">
        <f>IF(AND(B421&lt;&gt;1110,B421&lt;&gt;1210,B421&lt;&gt;1510,B421&lt;&gt;1710),B421,IF(B421=1110,"1100",IF(B421=1210,"1200",IF(B421=1510,"1500",IF(B421=1710,"1700","X")))))</f>
        <v>1100</v>
      </c>
      <c r="F421" s="1" t="s">
        <v>11198</v>
      </c>
      <c r="G421" s="1" t="s">
        <v>302</v>
      </c>
      <c r="H421" s="1">
        <f>ROUND(P421/(1-((R421+S421))/100)*Q421, 3)</f>
        <v>136.744</v>
      </c>
      <c r="I421" s="1">
        <v>0.45</v>
      </c>
      <c r="J421" s="1">
        <v>2</v>
      </c>
      <c r="K421" s="1">
        <v>1</v>
      </c>
      <c r="L421" s="1" t="s">
        <v>292</v>
      </c>
      <c r="M421" s="1">
        <v>1</v>
      </c>
      <c r="N421" s="1">
        <v>1</v>
      </c>
      <c r="O421" s="1" t="s">
        <v>296</v>
      </c>
      <c r="P421" s="1">
        <v>114.523</v>
      </c>
      <c r="Q421" s="1">
        <v>1</v>
      </c>
      <c r="R421" s="1">
        <v>7</v>
      </c>
      <c r="S421" s="1">
        <v>9.25</v>
      </c>
      <c r="T421" s="1">
        <v>0</v>
      </c>
      <c r="V421" s="1" t="s">
        <v>11223</v>
      </c>
      <c r="W421" s="1">
        <v>100</v>
      </c>
      <c r="X421" s="1" t="s">
        <v>298</v>
      </c>
      <c r="Y421" s="1" t="s">
        <v>299</v>
      </c>
      <c r="Z421" s="1">
        <v>1</v>
      </c>
      <c r="AA421" s="1">
        <f>ROUND(H421*I421*Z421, 3)</f>
        <v>61.534999999999997</v>
      </c>
      <c r="AB421" s="1">
        <f>ROUND(VLOOKUP(X421,'Base de dados'!A:B, 2, 0)*AA421, 2)</f>
        <v>6.15</v>
      </c>
      <c r="AC421" s="1">
        <f>ROUND((AA421*(Destino!AG421/100))*(W421/100),2)</f>
        <v>4.3099999999999996</v>
      </c>
      <c r="AD421" s="1">
        <f>ROUND(AA421*(Destino!AH421/100),2)</f>
        <v>5.69</v>
      </c>
      <c r="AF421" s="1">
        <f>ROUND((AA421+ AB421)*(J421/100),2)</f>
        <v>1.35</v>
      </c>
      <c r="AG421" s="1">
        <f>ROUND(AA421*T421,2)</f>
        <v>0</v>
      </c>
      <c r="AH421" s="1">
        <f>ROUND(AA421-(AC421+AD421)+AF421+AG421, 3)</f>
        <v>52.884999999999998</v>
      </c>
      <c r="AI421" s="1">
        <f>AH421*M421*K421</f>
        <v>52.884999999999998</v>
      </c>
      <c r="BA421" s="1" t="s">
        <v>11709</v>
      </c>
      <c r="BB421" s="1">
        <f>AI421</f>
        <v>52.884999999999998</v>
      </c>
      <c r="BD421" s="1">
        <f>N421</f>
        <v>1</v>
      </c>
    </row>
    <row r="422" spans="1:56" x14ac:dyDescent="0.25">
      <c r="A422" s="1">
        <v>600002733</v>
      </c>
      <c r="B422" s="1">
        <v>1110</v>
      </c>
      <c r="C422" s="1">
        <v>2200001473</v>
      </c>
      <c r="D422" s="1" t="s">
        <v>303</v>
      </c>
      <c r="E422" s="1" t="str">
        <f>IF(AND(B422&lt;&gt;1110,B422&lt;&gt;1210,B422&lt;&gt;1510,B422&lt;&gt;1710),B422,IF(B422=1110,"1100",IF(B422=1210,"1200",IF(B422=1510,"1500",IF(B422=1710,"1700","X")))))</f>
        <v>1100</v>
      </c>
      <c r="F422" s="1" t="s">
        <v>447</v>
      </c>
      <c r="G422" s="1" t="s">
        <v>302</v>
      </c>
      <c r="H422" s="1">
        <f>ROUND(P422/(1-((R422+S422))/100)*Q422, 3)</f>
        <v>136.744</v>
      </c>
      <c r="I422" s="1">
        <v>0.45</v>
      </c>
      <c r="J422" s="1">
        <v>4</v>
      </c>
      <c r="K422" s="1">
        <v>1</v>
      </c>
      <c r="L422" s="1" t="s">
        <v>292</v>
      </c>
      <c r="M422" s="1">
        <v>1</v>
      </c>
      <c r="N422" s="1">
        <v>0.75258400000000003</v>
      </c>
      <c r="O422" s="1" t="s">
        <v>296</v>
      </c>
      <c r="P422" s="1">
        <v>114.523</v>
      </c>
      <c r="Q422" s="1">
        <v>1</v>
      </c>
      <c r="R422" s="1">
        <v>7</v>
      </c>
      <c r="S422" s="1">
        <v>9.25</v>
      </c>
      <c r="T422" s="1">
        <v>0</v>
      </c>
      <c r="V422" s="1" t="s">
        <v>11223</v>
      </c>
      <c r="W422" s="1">
        <v>100</v>
      </c>
      <c r="X422" s="1" t="s">
        <v>298</v>
      </c>
      <c r="Y422" s="1" t="s">
        <v>299</v>
      </c>
      <c r="Z422" s="1">
        <v>1</v>
      </c>
      <c r="AA422" s="1">
        <f>ROUND(H422*I422*Z422, 3)</f>
        <v>61.534999999999997</v>
      </c>
      <c r="AB422" s="1">
        <f>ROUND(VLOOKUP(X422,'Base de dados'!A:B, 2, 0)*AA422, 2)</f>
        <v>6.15</v>
      </c>
      <c r="AC422" s="1">
        <f>ROUND((AA422*(Destino!AG422/100))*(W422/100),2)</f>
        <v>4.3099999999999996</v>
      </c>
      <c r="AD422" s="1">
        <f>ROUND(AA422*(Destino!AH422/100),2)</f>
        <v>5.69</v>
      </c>
      <c r="AE422" s="1">
        <f>ROUND((((AA422+AB422)*1.5039)*(Destino!AI422/100))-AC422,2)</f>
        <v>12.99</v>
      </c>
      <c r="AF422" s="1">
        <f>ROUND((AA422+AB422+AE422)*(J422/100),2)</f>
        <v>3.23</v>
      </c>
      <c r="AG422" s="1">
        <f>ROUND(AA422*T422,2)</f>
        <v>0</v>
      </c>
      <c r="AH422" s="1">
        <f>ROUND(AA422-AD422+AE422+AF422+AG422, 3)</f>
        <v>72.064999999999998</v>
      </c>
      <c r="AI422" s="1">
        <f>AH422*M422*K422</f>
        <v>72.064999999999998</v>
      </c>
      <c r="BA422" s="1" t="s">
        <v>11710</v>
      </c>
      <c r="BB422" s="1">
        <f>AI422</f>
        <v>72.064999999999998</v>
      </c>
      <c r="BD422" s="1">
        <f>N422</f>
        <v>0.75258400000000003</v>
      </c>
    </row>
    <row r="423" spans="1:56" x14ac:dyDescent="0.25">
      <c r="A423" s="1">
        <v>600002733</v>
      </c>
      <c r="B423" s="1">
        <v>1400</v>
      </c>
      <c r="C423" s="1">
        <v>2200001473</v>
      </c>
      <c r="D423" s="1" t="s">
        <v>303</v>
      </c>
      <c r="E423" s="1">
        <f>IF(AND(B423&lt;&gt;1110,B423&lt;&gt;1210,B423&lt;&gt;1510,B423&lt;&gt;1710),B423,IF(B423=1110,"1100",IF(B423=1210,"1200",IF(B423=1510,"1500",IF(B423=1710,"1700","X")))))</f>
        <v>1400</v>
      </c>
      <c r="F423" s="1" t="s">
        <v>11198</v>
      </c>
      <c r="G423" s="1" t="s">
        <v>302</v>
      </c>
      <c r="H423" s="1">
        <f>ROUND(P423/(1-((R423+S423))/100)*Q423, 3)</f>
        <v>157.41999999999999</v>
      </c>
      <c r="I423" s="1">
        <v>0.45</v>
      </c>
      <c r="J423" s="1">
        <v>1.5</v>
      </c>
      <c r="K423" s="1">
        <v>1</v>
      </c>
      <c r="L423" s="1" t="s">
        <v>292</v>
      </c>
      <c r="M423" s="1">
        <v>1</v>
      </c>
      <c r="N423" s="1">
        <v>1</v>
      </c>
      <c r="O423" s="1" t="s">
        <v>296</v>
      </c>
      <c r="P423" s="1">
        <v>114.523</v>
      </c>
      <c r="Q423" s="1">
        <v>1</v>
      </c>
      <c r="R423" s="1">
        <v>18</v>
      </c>
      <c r="S423" s="1">
        <v>9.25</v>
      </c>
      <c r="T423" s="1">
        <v>0</v>
      </c>
      <c r="V423" s="1" t="s">
        <v>11223</v>
      </c>
      <c r="W423" s="1">
        <v>100</v>
      </c>
      <c r="X423" s="1" t="s">
        <v>298</v>
      </c>
      <c r="Y423" s="1" t="s">
        <v>299</v>
      </c>
      <c r="Z423" s="1">
        <v>1</v>
      </c>
      <c r="AA423" s="1">
        <f>ROUND(H423*I423*Z423, 3)</f>
        <v>70.838999999999999</v>
      </c>
      <c r="AB423" s="1">
        <f>ROUND(VLOOKUP(X423,'Base de dados'!A:B, 2, 0)*AA423, 2)</f>
        <v>7.08</v>
      </c>
      <c r="AC423" s="1">
        <f>ROUND((AA423*(Destino!AG423/100))*(W423/100),2)</f>
        <v>12.75</v>
      </c>
      <c r="AD423" s="1">
        <f>ROUND(AA423*(Destino!AH423/100),2)</f>
        <v>6.55</v>
      </c>
      <c r="AF423" s="1">
        <f>ROUND((AA423+ AB423)*(J423/100),2)</f>
        <v>1.17</v>
      </c>
      <c r="AG423" s="1">
        <f>ROUND(AA423*T423,2)</f>
        <v>0</v>
      </c>
      <c r="AH423" s="1">
        <f>ROUND(AA423-(AC423+AD423)+AF423+AG423, 3)</f>
        <v>52.709000000000003</v>
      </c>
      <c r="AI423" s="1">
        <f>AH423*M423*K423</f>
        <v>52.709000000000003</v>
      </c>
      <c r="BA423" s="1" t="s">
        <v>11437</v>
      </c>
      <c r="BB423" s="1">
        <f>AI423</f>
        <v>52.709000000000003</v>
      </c>
      <c r="BD423" s="1">
        <f>N423</f>
        <v>1</v>
      </c>
    </row>
    <row r="424" spans="1:56" x14ac:dyDescent="0.25">
      <c r="A424" s="1">
        <v>600002733</v>
      </c>
      <c r="B424" s="1">
        <v>1700</v>
      </c>
      <c r="C424" s="1">
        <v>2200001421</v>
      </c>
      <c r="D424" s="1" t="s">
        <v>303</v>
      </c>
      <c r="E424" s="1">
        <f>IF(AND(B424&lt;&gt;1110,B424&lt;&gt;1210,B424&lt;&gt;1510,B424&lt;&gt;1710),B424,IF(B424=1110,"1100",IF(B424=1210,"1200",IF(B424=1510,"1500",IF(B424=1710,"1700","X")))))</f>
        <v>1700</v>
      </c>
      <c r="F424" s="1" t="s">
        <v>11238</v>
      </c>
      <c r="G424" s="1" t="s">
        <v>302</v>
      </c>
      <c r="H424" s="1">
        <f>ROUND(P424/(1-((R424+S424))/100)*Q424, 3)</f>
        <v>62.936</v>
      </c>
      <c r="I424" s="1">
        <v>0.25</v>
      </c>
      <c r="J424" s="1">
        <v>3</v>
      </c>
      <c r="K424" s="1">
        <v>1</v>
      </c>
      <c r="L424" s="1" t="s">
        <v>292</v>
      </c>
      <c r="M424" s="1">
        <v>4</v>
      </c>
      <c r="N424" s="1">
        <v>1</v>
      </c>
      <c r="O424" s="1" t="s">
        <v>296</v>
      </c>
      <c r="P424" s="1">
        <f>IFERROR(VLOOKUP(BC424, BA:BA:BB:BB, 2, 0),)</f>
        <v>52.709000000000003</v>
      </c>
      <c r="Q424" s="1">
        <f>IFERROR(VLOOKUP(BC424, BA:BA:BD:BD, 4, 0),1)</f>
        <v>1</v>
      </c>
      <c r="R424" s="1">
        <v>7</v>
      </c>
      <c r="S424" s="1">
        <v>9.25</v>
      </c>
      <c r="T424" s="1">
        <v>0</v>
      </c>
      <c r="V424" s="1" t="s">
        <v>11223</v>
      </c>
      <c r="W424" s="1">
        <v>100</v>
      </c>
      <c r="X424" s="1" t="s">
        <v>298</v>
      </c>
      <c r="Y424" s="1" t="s">
        <v>299</v>
      </c>
      <c r="Z424" s="1">
        <v>1</v>
      </c>
      <c r="AA424" s="1">
        <f>ROUND(H424*I424*Z424, 3)</f>
        <v>15.734</v>
      </c>
      <c r="AB424" s="1">
        <f>ROUND(VLOOKUP(X424,'Base de dados'!A:B, 2, 0)*AA424, 2)</f>
        <v>1.57</v>
      </c>
      <c r="AC424" s="1">
        <f>ROUND((AA424*(Destino!AG424/100))*(W424/100),2)</f>
        <v>1.1000000000000001</v>
      </c>
      <c r="AD424" s="1">
        <f>ROUND(AA424*(Destino!AH424/100),2)</f>
        <v>0</v>
      </c>
      <c r="AE424" s="1">
        <f>ROUND((((AA424+AB424)*1.48)*(Destino!AI424/100))-AC424,2)</f>
        <v>3.25</v>
      </c>
      <c r="AF424" s="1">
        <f>ROUND((AA424+AB424+AE424)*(J424/100),2)</f>
        <v>0.62</v>
      </c>
      <c r="AG424" s="1">
        <f>ROUND(AA424*T424,2)</f>
        <v>0</v>
      </c>
      <c r="AH424" s="1">
        <f>ROUND(AA424+AB424-AD424+AE424+AF424+AG424, 3)</f>
        <v>21.173999999999999</v>
      </c>
      <c r="AI424" s="1">
        <f>AH424*M424*K424</f>
        <v>84.695999999999998</v>
      </c>
      <c r="BA424" s="1" t="s">
        <v>11328</v>
      </c>
      <c r="BB424" s="1">
        <f>AI424</f>
        <v>84.695999999999998</v>
      </c>
      <c r="BC424" s="1" t="s">
        <v>11437</v>
      </c>
      <c r="BD424" s="1">
        <f>N424</f>
        <v>1</v>
      </c>
    </row>
    <row r="425" spans="1:56" x14ac:dyDescent="0.25">
      <c r="A425" s="1">
        <v>600002757</v>
      </c>
      <c r="B425" s="1">
        <v>1000</v>
      </c>
      <c r="C425" s="1">
        <v>2200000102</v>
      </c>
      <c r="D425" s="1" t="s">
        <v>303</v>
      </c>
      <c r="E425" s="1">
        <f>IF(AND(B425&lt;&gt;1110,B425&lt;&gt;1210,B425&lt;&gt;1510,B425&lt;&gt;1710),B425,IF(B425=1110,"1100",IF(B425=1210,"1200",IF(B425=1510,"1500",IF(B425=1710,"1700","X")))))</f>
        <v>1000</v>
      </c>
      <c r="F425" s="1" t="s">
        <v>11198</v>
      </c>
      <c r="G425" s="1" t="s">
        <v>302</v>
      </c>
      <c r="H425" s="1">
        <f>ROUND(P425/(1-((R425+S425))/100)*Q425, 3)</f>
        <v>53.023000000000003</v>
      </c>
      <c r="I425" s="1">
        <v>1</v>
      </c>
      <c r="J425" s="1">
        <v>4.5</v>
      </c>
      <c r="K425" s="1">
        <v>1</v>
      </c>
      <c r="L425" s="1" t="s">
        <v>292</v>
      </c>
      <c r="M425" s="1">
        <v>1</v>
      </c>
      <c r="N425" s="1">
        <v>1</v>
      </c>
      <c r="O425" s="1" t="s">
        <v>292</v>
      </c>
      <c r="P425" s="1">
        <f>IFERROR(VLOOKUP(BC425, BA:BA:BB:BB, 2, 0),)</f>
        <v>41.756</v>
      </c>
      <c r="Q425" s="1">
        <f>IFERROR(VLOOKUP(BC425, BA:BA:BD:BD, 4, 0),1)</f>
        <v>1</v>
      </c>
      <c r="R425" s="1">
        <v>12</v>
      </c>
      <c r="S425" s="1">
        <v>9.25</v>
      </c>
      <c r="T425" s="1">
        <v>0</v>
      </c>
      <c r="V425" s="1" t="s">
        <v>11223</v>
      </c>
      <c r="W425" s="1">
        <v>100</v>
      </c>
      <c r="X425" s="1" t="s">
        <v>298</v>
      </c>
      <c r="Y425" s="1" t="s">
        <v>299</v>
      </c>
      <c r="Z425" s="1">
        <v>1</v>
      </c>
      <c r="AA425" s="1">
        <f>ROUND(H425*I425*Z425, 3)</f>
        <v>53.023000000000003</v>
      </c>
      <c r="AB425" s="1">
        <f>ROUND(VLOOKUP(X425,'Base de dados'!A:B, 2, 0)*AA425, 2)</f>
        <v>5.3</v>
      </c>
      <c r="AC425" s="1">
        <f>ROUND((AA425*(Destino!AG425/100))*(W425/100),2)</f>
        <v>6.36</v>
      </c>
      <c r="AD425" s="1">
        <f>ROUND(AA425*(Destino!AH425/100),2)</f>
        <v>4.9000000000000004</v>
      </c>
      <c r="AF425" s="1">
        <f>ROUND((AA425+ AB425)*(J425/100),2)</f>
        <v>2.62</v>
      </c>
      <c r="AG425" s="1">
        <f>ROUND(AA425*T425,2)</f>
        <v>0</v>
      </c>
      <c r="AH425" s="1">
        <f>ROUND(AA425-(AC425+AD425)+AF425+AG425, 3)</f>
        <v>44.383000000000003</v>
      </c>
      <c r="AI425" s="1">
        <f>AH425*M425*K425</f>
        <v>44.383000000000003</v>
      </c>
      <c r="BB425" s="1">
        <f>AI425</f>
        <v>44.383000000000003</v>
      </c>
      <c r="BC425" s="1" t="s">
        <v>11438</v>
      </c>
      <c r="BD425" s="1">
        <f>N425</f>
        <v>1</v>
      </c>
    </row>
    <row r="426" spans="1:56" x14ac:dyDescent="0.25">
      <c r="A426" s="1">
        <v>600002757</v>
      </c>
      <c r="B426" s="1">
        <v>1000</v>
      </c>
      <c r="C426" s="1">
        <v>2200001473</v>
      </c>
      <c r="D426" s="1" t="s">
        <v>303</v>
      </c>
      <c r="E426" s="1">
        <f>IF(AND(B426&lt;&gt;1110,B426&lt;&gt;1210,B426&lt;&gt;1510,B426&lt;&gt;1710),B426,IF(B426=1110,"1100",IF(B426=1210,"1200",IF(B426=1510,"1500",IF(B426=1710,"1700","X")))))</f>
        <v>1000</v>
      </c>
      <c r="F426" s="1" t="s">
        <v>11198</v>
      </c>
      <c r="G426" s="1" t="s">
        <v>302</v>
      </c>
      <c r="H426" s="1">
        <f>ROUND(P426/(1-((R426+S426))/100)*Q426, 3)</f>
        <v>114.801</v>
      </c>
      <c r="I426" s="1">
        <v>0.45</v>
      </c>
      <c r="J426" s="1">
        <v>1.5</v>
      </c>
      <c r="K426" s="1">
        <v>1</v>
      </c>
      <c r="L426" s="1" t="s">
        <v>292</v>
      </c>
      <c r="M426" s="1">
        <v>1</v>
      </c>
      <c r="N426" s="1">
        <v>1</v>
      </c>
      <c r="O426" s="1" t="s">
        <v>296</v>
      </c>
      <c r="P426" s="1">
        <v>90.406000000000006</v>
      </c>
      <c r="Q426" s="1">
        <v>1</v>
      </c>
      <c r="R426" s="1">
        <v>12</v>
      </c>
      <c r="S426" s="1">
        <v>9.25</v>
      </c>
      <c r="T426" s="1">
        <v>0</v>
      </c>
      <c r="V426" s="1" t="s">
        <v>11223</v>
      </c>
      <c r="W426" s="1">
        <v>100</v>
      </c>
      <c r="X426" s="1" t="s">
        <v>298</v>
      </c>
      <c r="Y426" s="1" t="s">
        <v>299</v>
      </c>
      <c r="Z426" s="1">
        <v>1</v>
      </c>
      <c r="AA426" s="1">
        <f>ROUND(H426*I426*Z426, 3)</f>
        <v>51.66</v>
      </c>
      <c r="AB426" s="1">
        <f>ROUND(VLOOKUP(X426,'Base de dados'!A:B, 2, 0)*AA426, 2)</f>
        <v>5.17</v>
      </c>
      <c r="AC426" s="1">
        <f>ROUND((AA426*(Destino!AG426/100))*(W426/100),2)</f>
        <v>6.2</v>
      </c>
      <c r="AD426" s="1">
        <f>ROUND(AA426*(Destino!AH426/100),2)</f>
        <v>4.78</v>
      </c>
      <c r="AF426" s="1">
        <f>ROUND((AA426+ AB426)*(J426/100),2)</f>
        <v>0.85</v>
      </c>
      <c r="AG426" s="1">
        <f>ROUND(AA426*T426,2)</f>
        <v>0</v>
      </c>
      <c r="AH426" s="1">
        <f>ROUND(AA426-(AC426+AD426)+AF426+AG426, 3)</f>
        <v>41.53</v>
      </c>
      <c r="AI426" s="1">
        <f>AH426*M426*K426</f>
        <v>41.53</v>
      </c>
      <c r="BA426" s="1" t="s">
        <v>11711</v>
      </c>
      <c r="BB426" s="1">
        <f>AI426</f>
        <v>41.53</v>
      </c>
      <c r="BD426" s="1">
        <f>N426</f>
        <v>1</v>
      </c>
    </row>
    <row r="427" spans="1:56" x14ac:dyDescent="0.25">
      <c r="A427" s="1">
        <v>600002757</v>
      </c>
      <c r="B427" s="1">
        <v>1100</v>
      </c>
      <c r="C427" s="1">
        <v>2200001473</v>
      </c>
      <c r="D427" s="1" t="s">
        <v>303</v>
      </c>
      <c r="E427" s="1">
        <f>IF(AND(B427&lt;&gt;1110,B427&lt;&gt;1210,B427&lt;&gt;1510,B427&lt;&gt;1710),B427,IF(B427=1110,"1100",IF(B427=1210,"1200",IF(B427=1510,"1500",IF(B427=1710,"1700","X")))))</f>
        <v>1100</v>
      </c>
      <c r="F427" s="1" t="s">
        <v>11198</v>
      </c>
      <c r="G427" s="1" t="s">
        <v>302</v>
      </c>
      <c r="H427" s="1">
        <f>ROUND(P427/(1-((R427+S427))/100)*Q427, 3)</f>
        <v>107.947</v>
      </c>
      <c r="I427" s="1">
        <v>0.45</v>
      </c>
      <c r="J427" s="1">
        <v>2</v>
      </c>
      <c r="K427" s="1">
        <v>1</v>
      </c>
      <c r="L427" s="1" t="s">
        <v>292</v>
      </c>
      <c r="M427" s="1">
        <v>1</v>
      </c>
      <c r="N427" s="1">
        <v>1</v>
      </c>
      <c r="O427" s="1" t="s">
        <v>296</v>
      </c>
      <c r="P427" s="1">
        <v>90.406000000000006</v>
      </c>
      <c r="Q427" s="1">
        <v>1</v>
      </c>
      <c r="R427" s="1">
        <v>7</v>
      </c>
      <c r="S427" s="1">
        <v>9.25</v>
      </c>
      <c r="T427" s="1">
        <v>0</v>
      </c>
      <c r="V427" s="1" t="s">
        <v>11223</v>
      </c>
      <c r="W427" s="1">
        <v>100</v>
      </c>
      <c r="X427" s="1" t="s">
        <v>298</v>
      </c>
      <c r="Y427" s="1" t="s">
        <v>299</v>
      </c>
      <c r="Z427" s="1">
        <v>1</v>
      </c>
      <c r="AA427" s="1">
        <f>ROUND(H427*I427*Z427, 3)</f>
        <v>48.576000000000001</v>
      </c>
      <c r="AB427" s="1">
        <f>ROUND(VLOOKUP(X427,'Base de dados'!A:B, 2, 0)*AA427, 2)</f>
        <v>4.8600000000000003</v>
      </c>
      <c r="AC427" s="1">
        <f>ROUND((AA427*(Destino!AG427/100))*(W427/100),2)</f>
        <v>3.4</v>
      </c>
      <c r="AD427" s="1">
        <f>ROUND(AA427*(Destino!AH427/100),2)</f>
        <v>4.49</v>
      </c>
      <c r="AF427" s="1">
        <f>ROUND((AA427+ AB427)*(J427/100),2)</f>
        <v>1.07</v>
      </c>
      <c r="AG427" s="1">
        <f>ROUND(AA427*T427,2)</f>
        <v>0</v>
      </c>
      <c r="AH427" s="1">
        <f>ROUND(AA427-(AC427+AD427)+AF427+AG427, 3)</f>
        <v>41.756</v>
      </c>
      <c r="AI427" s="1">
        <f>AH427*M427*K427</f>
        <v>41.756</v>
      </c>
      <c r="BA427" s="1" t="s">
        <v>11438</v>
      </c>
      <c r="BB427" s="1">
        <f>AI427</f>
        <v>41.756</v>
      </c>
      <c r="BD427" s="1">
        <f>N427</f>
        <v>1</v>
      </c>
    </row>
    <row r="428" spans="1:56" x14ac:dyDescent="0.25">
      <c r="A428" s="1">
        <v>600002757</v>
      </c>
      <c r="B428" s="1">
        <v>1110</v>
      </c>
      <c r="C428" s="1">
        <v>2200001473</v>
      </c>
      <c r="D428" s="1" t="s">
        <v>303</v>
      </c>
      <c r="E428" s="1" t="str">
        <f>IF(AND(B428&lt;&gt;1110,B428&lt;&gt;1210,B428&lt;&gt;1510,B428&lt;&gt;1710),B428,IF(B428=1110,"1100",IF(B428=1210,"1200",IF(B428=1510,"1500",IF(B428=1710,"1700","X")))))</f>
        <v>1100</v>
      </c>
      <c r="F428" s="1" t="s">
        <v>447</v>
      </c>
      <c r="G428" s="1" t="s">
        <v>302</v>
      </c>
      <c r="H428" s="1">
        <f>ROUND(P428/(1-((R428+S428))/100)*Q428, 3)</f>
        <v>107.947</v>
      </c>
      <c r="I428" s="1">
        <v>0.45</v>
      </c>
      <c r="J428" s="1">
        <v>4</v>
      </c>
      <c r="K428" s="1">
        <v>1</v>
      </c>
      <c r="L428" s="1" t="s">
        <v>292</v>
      </c>
      <c r="M428" s="1">
        <v>1</v>
      </c>
      <c r="N428" s="1">
        <v>0.75270700000000001</v>
      </c>
      <c r="O428" s="1" t="s">
        <v>296</v>
      </c>
      <c r="P428" s="1">
        <v>90.406000000000006</v>
      </c>
      <c r="Q428" s="1">
        <v>1</v>
      </c>
      <c r="R428" s="1">
        <v>7</v>
      </c>
      <c r="S428" s="1">
        <v>9.25</v>
      </c>
      <c r="T428" s="1">
        <v>0</v>
      </c>
      <c r="V428" s="1" t="s">
        <v>11223</v>
      </c>
      <c r="W428" s="1">
        <v>100</v>
      </c>
      <c r="X428" s="1" t="s">
        <v>298</v>
      </c>
      <c r="Y428" s="1" t="s">
        <v>299</v>
      </c>
      <c r="Z428" s="1">
        <v>1</v>
      </c>
      <c r="AA428" s="1">
        <f>ROUND(H428*I428*Z428, 3)</f>
        <v>48.576000000000001</v>
      </c>
      <c r="AB428" s="1">
        <f>ROUND(VLOOKUP(X428,'Base de dados'!A:B, 2, 0)*AA428, 2)</f>
        <v>4.8600000000000003</v>
      </c>
      <c r="AC428" s="1">
        <f>ROUND((AA428*(Destino!AG428/100))*(W428/100),2)</f>
        <v>3.4</v>
      </c>
      <c r="AD428" s="1">
        <f>ROUND(AA428*(Destino!AH428/100),2)</f>
        <v>4.49</v>
      </c>
      <c r="AE428" s="1">
        <f>ROUND((((AA428+AB428)*1.5039)*(Destino!AI428/100))-AC428,2)</f>
        <v>10.26</v>
      </c>
      <c r="AF428" s="1">
        <f>ROUND((AA428+AB428+AE428)*(J428/100),2)</f>
        <v>2.5499999999999998</v>
      </c>
      <c r="AG428" s="1">
        <f>ROUND(AA428*T428,2)</f>
        <v>0</v>
      </c>
      <c r="AH428" s="1">
        <f>ROUND(AA428-AD428+AE428+AF428+AG428, 3)</f>
        <v>56.896000000000001</v>
      </c>
      <c r="AI428" s="1">
        <f>AH428*M428*K428</f>
        <v>56.896000000000001</v>
      </c>
      <c r="BA428" s="1" t="s">
        <v>11712</v>
      </c>
      <c r="BB428" s="1">
        <f>AI428</f>
        <v>56.896000000000001</v>
      </c>
      <c r="BD428" s="1">
        <f>N428</f>
        <v>0.75270700000000001</v>
      </c>
    </row>
    <row r="429" spans="1:56" x14ac:dyDescent="0.25">
      <c r="A429" s="1">
        <v>600002757</v>
      </c>
      <c r="B429" s="1">
        <v>1400</v>
      </c>
      <c r="C429" s="1">
        <v>2200001473</v>
      </c>
      <c r="D429" s="1" t="s">
        <v>303</v>
      </c>
      <c r="E429" s="1">
        <f>IF(AND(B429&lt;&gt;1110,B429&lt;&gt;1210,B429&lt;&gt;1510,B429&lt;&gt;1710),B429,IF(B429=1110,"1100",IF(B429=1210,"1200",IF(B429=1510,"1500",IF(B429=1710,"1700","X")))))</f>
        <v>1400</v>
      </c>
      <c r="F429" s="1" t="s">
        <v>11198</v>
      </c>
      <c r="G429" s="1" t="s">
        <v>302</v>
      </c>
      <c r="H429" s="1">
        <f>ROUND(P429/(1-((R429+S429))/100)*Q429, 3)</f>
        <v>124.26900000000001</v>
      </c>
      <c r="I429" s="1">
        <v>0.45</v>
      </c>
      <c r="J429" s="1">
        <v>1.5</v>
      </c>
      <c r="K429" s="1">
        <v>1</v>
      </c>
      <c r="L429" s="1" t="s">
        <v>292</v>
      </c>
      <c r="M429" s="1">
        <v>1</v>
      </c>
      <c r="N429" s="1">
        <v>1</v>
      </c>
      <c r="O429" s="1" t="s">
        <v>296</v>
      </c>
      <c r="P429" s="1">
        <v>90.406000000000006</v>
      </c>
      <c r="Q429" s="1">
        <v>1</v>
      </c>
      <c r="R429" s="1">
        <v>18</v>
      </c>
      <c r="S429" s="1">
        <v>9.25</v>
      </c>
      <c r="T429" s="1">
        <v>0</v>
      </c>
      <c r="V429" s="1" t="s">
        <v>11223</v>
      </c>
      <c r="W429" s="1">
        <v>100</v>
      </c>
      <c r="X429" s="1" t="s">
        <v>298</v>
      </c>
      <c r="Y429" s="1" t="s">
        <v>299</v>
      </c>
      <c r="Z429" s="1">
        <v>1</v>
      </c>
      <c r="AA429" s="1">
        <f>ROUND(H429*I429*Z429, 3)</f>
        <v>55.920999999999999</v>
      </c>
      <c r="AB429" s="1">
        <f>ROUND(VLOOKUP(X429,'Base de dados'!A:B, 2, 0)*AA429, 2)</f>
        <v>5.59</v>
      </c>
      <c r="AC429" s="1">
        <f>ROUND((AA429*(Destino!AG429/100))*(W429/100),2)</f>
        <v>10.07</v>
      </c>
      <c r="AD429" s="1">
        <f>ROUND(AA429*(Destino!AH429/100),2)</f>
        <v>5.17</v>
      </c>
      <c r="AF429" s="1">
        <f>ROUND((AA429+ AB429)*(J429/100),2)</f>
        <v>0.92</v>
      </c>
      <c r="AG429" s="1">
        <f>ROUND(AA429*T429,2)</f>
        <v>0</v>
      </c>
      <c r="AH429" s="1">
        <f>ROUND(AA429-(AC429+AD429)+AF429+AG429, 3)</f>
        <v>41.600999999999999</v>
      </c>
      <c r="AI429" s="1">
        <f>AH429*M429*K429</f>
        <v>41.600999999999999</v>
      </c>
      <c r="BA429" s="1" t="s">
        <v>11439</v>
      </c>
      <c r="BB429" s="1">
        <f>AI429</f>
        <v>41.600999999999999</v>
      </c>
      <c r="BD429" s="1">
        <f>N429</f>
        <v>1</v>
      </c>
    </row>
    <row r="430" spans="1:56" x14ac:dyDescent="0.25">
      <c r="A430" s="1">
        <v>600002757</v>
      </c>
      <c r="B430" s="1">
        <v>1700</v>
      </c>
      <c r="C430" s="1">
        <v>2200001421</v>
      </c>
      <c r="D430" s="1" t="s">
        <v>303</v>
      </c>
      <c r="E430" s="1">
        <f>IF(AND(B430&lt;&gt;1110,B430&lt;&gt;1210,B430&lt;&gt;1510,B430&lt;&gt;1710),B430,IF(B430=1110,"1100",IF(B430=1210,"1200",IF(B430=1510,"1500",IF(B430=1710,"1700","X")))))</f>
        <v>1700</v>
      </c>
      <c r="F430" s="1" t="s">
        <v>11238</v>
      </c>
      <c r="G430" s="1" t="s">
        <v>302</v>
      </c>
      <c r="H430" s="1">
        <f>ROUND(P430/(1-((R430+S430))/100)*Q430, 3)</f>
        <v>49.673000000000002</v>
      </c>
      <c r="I430" s="1">
        <v>0.25</v>
      </c>
      <c r="J430" s="1">
        <v>3</v>
      </c>
      <c r="K430" s="1">
        <v>1</v>
      </c>
      <c r="L430" s="1" t="s">
        <v>292</v>
      </c>
      <c r="M430" s="1">
        <v>4</v>
      </c>
      <c r="N430" s="1">
        <v>1</v>
      </c>
      <c r="O430" s="1" t="s">
        <v>296</v>
      </c>
      <c r="P430" s="1">
        <f>IFERROR(VLOOKUP(BC430, BA:BA:BB:BB, 2, 0),)</f>
        <v>41.600999999999999</v>
      </c>
      <c r="Q430" s="1">
        <f>IFERROR(VLOOKUP(BC430, BA:BA:BD:BD, 4, 0),1)</f>
        <v>1</v>
      </c>
      <c r="R430" s="1">
        <v>7</v>
      </c>
      <c r="S430" s="1">
        <v>9.25</v>
      </c>
      <c r="T430" s="1">
        <v>0</v>
      </c>
      <c r="V430" s="1" t="s">
        <v>11223</v>
      </c>
      <c r="W430" s="1">
        <v>100</v>
      </c>
      <c r="X430" s="1" t="s">
        <v>298</v>
      </c>
      <c r="Y430" s="1" t="s">
        <v>299</v>
      </c>
      <c r="Z430" s="1">
        <v>1</v>
      </c>
      <c r="AA430" s="1">
        <f>ROUND(H430*I430*Z430, 3)</f>
        <v>12.417999999999999</v>
      </c>
      <c r="AB430" s="1">
        <f>ROUND(VLOOKUP(X430,'Base de dados'!A:B, 2, 0)*AA430, 2)</f>
        <v>1.24</v>
      </c>
      <c r="AC430" s="1">
        <f>ROUND((AA430*(Destino!AG430/100))*(W430/100),2)</f>
        <v>0.87</v>
      </c>
      <c r="AD430" s="1">
        <f>ROUND(AA430*(Destino!AH430/100),2)</f>
        <v>0</v>
      </c>
      <c r="AE430" s="1">
        <f>ROUND((((AA430+AB430)*1.48)*(Destino!AI430/100))-AC430,2)</f>
        <v>2.57</v>
      </c>
      <c r="AF430" s="1">
        <f>ROUND((AA430+AB430+AE430)*(J430/100),2)</f>
        <v>0.49</v>
      </c>
      <c r="AG430" s="1">
        <f>ROUND(AA430*T430,2)</f>
        <v>0</v>
      </c>
      <c r="AH430" s="1">
        <f>ROUND(AA430+AB430-AD430+AE430+AF430+AG430, 3)</f>
        <v>16.718</v>
      </c>
      <c r="AI430" s="1">
        <f>AH430*M430*K430</f>
        <v>66.872</v>
      </c>
      <c r="BA430" s="1" t="s">
        <v>11329</v>
      </c>
      <c r="BB430" s="1">
        <f>AI430</f>
        <v>66.872</v>
      </c>
      <c r="BC430" s="1" t="s">
        <v>11439</v>
      </c>
      <c r="BD430" s="1">
        <f>N430</f>
        <v>1</v>
      </c>
    </row>
    <row r="431" spans="1:56" x14ac:dyDescent="0.25">
      <c r="A431" s="1">
        <v>600002771</v>
      </c>
      <c r="B431" s="1">
        <v>1000</v>
      </c>
      <c r="C431" s="1">
        <v>2200001473</v>
      </c>
      <c r="D431" s="1" t="s">
        <v>303</v>
      </c>
      <c r="E431" s="1">
        <f>IF(AND(B431&lt;&gt;1110,B431&lt;&gt;1210,B431&lt;&gt;1510,B431&lt;&gt;1710),B431,IF(B431=1110,"1100",IF(B431=1210,"1200",IF(B431=1510,"1500",IF(B431=1710,"1700","X")))))</f>
        <v>1000</v>
      </c>
      <c r="F431" s="1" t="s">
        <v>11198</v>
      </c>
      <c r="G431" s="1" t="s">
        <v>302</v>
      </c>
      <c r="H431" s="1">
        <f>ROUND(P431/(1-((R431+S431))/100)*Q431, 3)</f>
        <v>171.49600000000001</v>
      </c>
      <c r="I431" s="1">
        <v>0.45</v>
      </c>
      <c r="J431" s="1">
        <v>1.5</v>
      </c>
      <c r="K431" s="1">
        <v>1</v>
      </c>
      <c r="L431" s="1" t="s">
        <v>292</v>
      </c>
      <c r="M431" s="1">
        <v>1</v>
      </c>
      <c r="N431" s="1">
        <v>1</v>
      </c>
      <c r="O431" s="1" t="s">
        <v>296</v>
      </c>
      <c r="P431" s="1">
        <v>135.053</v>
      </c>
      <c r="Q431" s="1">
        <v>1</v>
      </c>
      <c r="R431" s="1">
        <v>12</v>
      </c>
      <c r="S431" s="1">
        <v>9.25</v>
      </c>
      <c r="T431" s="1">
        <v>0</v>
      </c>
      <c r="V431" s="1" t="s">
        <v>11223</v>
      </c>
      <c r="W431" s="1">
        <v>100</v>
      </c>
      <c r="X431" s="1" t="s">
        <v>298</v>
      </c>
      <c r="Y431" s="1" t="s">
        <v>299</v>
      </c>
      <c r="Z431" s="1">
        <v>1</v>
      </c>
      <c r="AA431" s="1">
        <f>ROUND(H431*I431*Z431, 3)</f>
        <v>77.173000000000002</v>
      </c>
      <c r="AB431" s="1">
        <f>ROUND(VLOOKUP(X431,'Base de dados'!A:B, 2, 0)*AA431, 2)</f>
        <v>7.72</v>
      </c>
      <c r="AC431" s="1">
        <f>ROUND((AA431*(Destino!AG431/100))*(W431/100),2)</f>
        <v>9.26</v>
      </c>
      <c r="AD431" s="1">
        <f>ROUND(AA431*(Destino!AH431/100),2)</f>
        <v>7.14</v>
      </c>
      <c r="AF431" s="1">
        <f>ROUND((AA431+ AB431)*(J431/100),2)</f>
        <v>1.27</v>
      </c>
      <c r="AG431" s="1">
        <f>ROUND(AA431*T431,2)</f>
        <v>0</v>
      </c>
      <c r="AH431" s="1">
        <f>ROUND(AA431-(AC431+AD431)+AF431+AG431, 3)</f>
        <v>62.042999999999999</v>
      </c>
      <c r="AI431" s="1">
        <f>AH431*M431*K431</f>
        <v>62.042999999999999</v>
      </c>
      <c r="BA431" s="1" t="s">
        <v>11713</v>
      </c>
      <c r="BB431" s="1">
        <f>AI431</f>
        <v>62.042999999999999</v>
      </c>
      <c r="BD431" s="1">
        <f>N431</f>
        <v>1</v>
      </c>
    </row>
    <row r="432" spans="1:56" x14ac:dyDescent="0.25">
      <c r="A432" s="1">
        <v>600002771</v>
      </c>
      <c r="B432" s="1">
        <v>1100</v>
      </c>
      <c r="C432" s="1">
        <v>2200001473</v>
      </c>
      <c r="D432" s="1" t="s">
        <v>303</v>
      </c>
      <c r="E432" s="1">
        <f>IF(AND(B432&lt;&gt;1110,B432&lt;&gt;1210,B432&lt;&gt;1510,B432&lt;&gt;1710),B432,IF(B432=1110,"1100",IF(B432=1210,"1200",IF(B432=1510,"1500",IF(B432=1710,"1700","X")))))</f>
        <v>1100</v>
      </c>
      <c r="F432" s="1" t="s">
        <v>11198</v>
      </c>
      <c r="G432" s="1" t="s">
        <v>302</v>
      </c>
      <c r="H432" s="1">
        <f>ROUND(P432/(1-((R432+S432))/100)*Q432, 3)</f>
        <v>161.25700000000001</v>
      </c>
      <c r="I432" s="1">
        <v>0.45</v>
      </c>
      <c r="J432" s="1">
        <v>2</v>
      </c>
      <c r="K432" s="1">
        <v>1</v>
      </c>
      <c r="L432" s="1" t="s">
        <v>292</v>
      </c>
      <c r="M432" s="1">
        <v>1</v>
      </c>
      <c r="N432" s="1">
        <v>1</v>
      </c>
      <c r="O432" s="1" t="s">
        <v>296</v>
      </c>
      <c r="P432" s="1">
        <v>135.053</v>
      </c>
      <c r="Q432" s="1">
        <v>1</v>
      </c>
      <c r="R432" s="1">
        <v>7</v>
      </c>
      <c r="S432" s="1">
        <v>9.25</v>
      </c>
      <c r="T432" s="1">
        <v>0</v>
      </c>
      <c r="V432" s="1" t="s">
        <v>11223</v>
      </c>
      <c r="W432" s="1">
        <v>100</v>
      </c>
      <c r="X432" s="1" t="s">
        <v>298</v>
      </c>
      <c r="Y432" s="1" t="s">
        <v>299</v>
      </c>
      <c r="Z432" s="1">
        <v>1</v>
      </c>
      <c r="AA432" s="1">
        <f>ROUND(H432*I432*Z432, 3)</f>
        <v>72.566000000000003</v>
      </c>
      <c r="AB432" s="1">
        <f>ROUND(VLOOKUP(X432,'Base de dados'!A:B, 2, 0)*AA432, 2)</f>
        <v>7.26</v>
      </c>
      <c r="AC432" s="1">
        <f>ROUND((AA432*(Destino!AG432/100))*(W432/100),2)</f>
        <v>5.08</v>
      </c>
      <c r="AD432" s="1">
        <f>ROUND(AA432*(Destino!AH432/100),2)</f>
        <v>6.71</v>
      </c>
      <c r="AF432" s="1">
        <f>ROUND((AA432+ AB432)*(J432/100),2)</f>
        <v>1.6</v>
      </c>
      <c r="AG432" s="1">
        <f>ROUND(AA432*T432,2)</f>
        <v>0</v>
      </c>
      <c r="AH432" s="1">
        <f>ROUND(AA432-(AC432+AD432)+AF432+AG432, 3)</f>
        <v>62.375999999999998</v>
      </c>
      <c r="AI432" s="1">
        <f>AH432*M432*K432</f>
        <v>62.375999999999998</v>
      </c>
      <c r="BA432" s="1" t="s">
        <v>11714</v>
      </c>
      <c r="BB432" s="1">
        <f>AI432</f>
        <v>62.375999999999998</v>
      </c>
      <c r="BD432" s="1">
        <f>N432</f>
        <v>1</v>
      </c>
    </row>
    <row r="433" spans="1:56" x14ac:dyDescent="0.25">
      <c r="A433" s="1">
        <v>600002771</v>
      </c>
      <c r="B433" s="1">
        <v>1110</v>
      </c>
      <c r="C433" s="1">
        <v>2200001473</v>
      </c>
      <c r="D433" s="1" t="s">
        <v>303</v>
      </c>
      <c r="E433" s="1" t="str">
        <f>IF(AND(B433&lt;&gt;1110,B433&lt;&gt;1210,B433&lt;&gt;1510,B433&lt;&gt;1710),B433,IF(B433=1110,"1100",IF(B433=1210,"1200",IF(B433=1510,"1500",IF(B433=1710,"1700","X")))))</f>
        <v>1100</v>
      </c>
      <c r="F433" s="1" t="s">
        <v>447</v>
      </c>
      <c r="G433" s="1" t="s">
        <v>302</v>
      </c>
      <c r="H433" s="1">
        <f>ROUND(P433/(1-((R433+S433))/100)*Q433, 3)</f>
        <v>161.25700000000001</v>
      </c>
      <c r="I433" s="1">
        <v>0.45</v>
      </c>
      <c r="J433" s="1">
        <v>4</v>
      </c>
      <c r="K433" s="1">
        <v>1</v>
      </c>
      <c r="L433" s="1" t="s">
        <v>292</v>
      </c>
      <c r="M433" s="1">
        <v>1</v>
      </c>
      <c r="N433" s="1">
        <v>0.75254699999999997</v>
      </c>
      <c r="O433" s="1" t="s">
        <v>296</v>
      </c>
      <c r="P433" s="1">
        <v>135.053</v>
      </c>
      <c r="Q433" s="1">
        <v>1</v>
      </c>
      <c r="R433" s="1">
        <v>7</v>
      </c>
      <c r="S433" s="1">
        <v>9.25</v>
      </c>
      <c r="T433" s="1">
        <v>0</v>
      </c>
      <c r="V433" s="1" t="s">
        <v>11223</v>
      </c>
      <c r="W433" s="1">
        <v>100</v>
      </c>
      <c r="X433" s="1" t="s">
        <v>298</v>
      </c>
      <c r="Y433" s="1" t="s">
        <v>299</v>
      </c>
      <c r="Z433" s="1">
        <v>1</v>
      </c>
      <c r="AA433" s="1">
        <f>ROUND(H433*I433*Z433, 3)</f>
        <v>72.566000000000003</v>
      </c>
      <c r="AB433" s="1">
        <f>ROUND(VLOOKUP(X433,'Base de dados'!A:B, 2, 0)*AA433, 2)</f>
        <v>7.26</v>
      </c>
      <c r="AC433" s="1">
        <f>ROUND((AA433*(Destino!AG433/100))*(W433/100),2)</f>
        <v>5.08</v>
      </c>
      <c r="AD433" s="1">
        <f>ROUND(AA433*(Destino!AH433/100),2)</f>
        <v>6.71</v>
      </c>
      <c r="AE433" s="1">
        <f>ROUND((((AA433+AB433)*1.5039)*(Destino!AI433/100))-AC433,2)</f>
        <v>15.33</v>
      </c>
      <c r="AF433" s="1">
        <f>ROUND((AA433+AB433+AE433)*(J433/100),2)</f>
        <v>3.81</v>
      </c>
      <c r="AG433" s="1">
        <f>ROUND(AA433*T433,2)</f>
        <v>0</v>
      </c>
      <c r="AH433" s="1">
        <f>ROUND(AA433-AD433+AE433+AF433+AG433, 3)</f>
        <v>84.995999999999995</v>
      </c>
      <c r="AI433" s="1">
        <f>AH433*M433*K433</f>
        <v>84.995999999999995</v>
      </c>
      <c r="BA433" s="1" t="s">
        <v>11715</v>
      </c>
      <c r="BB433" s="1">
        <f>AI433</f>
        <v>84.995999999999995</v>
      </c>
      <c r="BD433" s="1">
        <f>N433</f>
        <v>0.75254699999999997</v>
      </c>
    </row>
    <row r="434" spans="1:56" x14ac:dyDescent="0.25">
      <c r="A434" s="1">
        <v>600002771</v>
      </c>
      <c r="B434" s="1">
        <v>1400</v>
      </c>
      <c r="C434" s="1">
        <v>2200001473</v>
      </c>
      <c r="D434" s="1" t="s">
        <v>303</v>
      </c>
      <c r="E434" s="1">
        <f>IF(AND(B434&lt;&gt;1110,B434&lt;&gt;1210,B434&lt;&gt;1510,B434&lt;&gt;1710),B434,IF(B434=1110,"1100",IF(B434=1210,"1200",IF(B434=1510,"1500",IF(B434=1710,"1700","X")))))</f>
        <v>1400</v>
      </c>
      <c r="F434" s="1" t="s">
        <v>11198</v>
      </c>
      <c r="G434" s="1" t="s">
        <v>302</v>
      </c>
      <c r="H434" s="1">
        <f>ROUND(P434/(1-((R434+S434))/100)*Q434, 3)</f>
        <v>185.64</v>
      </c>
      <c r="I434" s="1">
        <v>0.45</v>
      </c>
      <c r="J434" s="1">
        <v>1.5</v>
      </c>
      <c r="K434" s="1">
        <v>1</v>
      </c>
      <c r="L434" s="1" t="s">
        <v>292</v>
      </c>
      <c r="M434" s="1">
        <v>1</v>
      </c>
      <c r="N434" s="1">
        <v>1</v>
      </c>
      <c r="O434" s="1" t="s">
        <v>296</v>
      </c>
      <c r="P434" s="1">
        <v>135.053</v>
      </c>
      <c r="Q434" s="1">
        <v>1</v>
      </c>
      <c r="R434" s="1">
        <v>18</v>
      </c>
      <c r="S434" s="1">
        <v>9.25</v>
      </c>
      <c r="T434" s="1">
        <v>0</v>
      </c>
      <c r="V434" s="1" t="s">
        <v>11223</v>
      </c>
      <c r="W434" s="1">
        <v>100</v>
      </c>
      <c r="X434" s="1" t="s">
        <v>298</v>
      </c>
      <c r="Y434" s="1" t="s">
        <v>299</v>
      </c>
      <c r="Z434" s="1">
        <v>1</v>
      </c>
      <c r="AA434" s="1">
        <f>ROUND(H434*I434*Z434, 3)</f>
        <v>83.537999999999997</v>
      </c>
      <c r="AB434" s="1">
        <f>ROUND(VLOOKUP(X434,'Base de dados'!A:B, 2, 0)*AA434, 2)</f>
        <v>8.35</v>
      </c>
      <c r="AC434" s="1">
        <f>ROUND((AA434*(Destino!AG434/100))*(W434/100),2)</f>
        <v>15.04</v>
      </c>
      <c r="AD434" s="1">
        <f>ROUND(AA434*(Destino!AH434/100),2)</f>
        <v>7.73</v>
      </c>
      <c r="AF434" s="1">
        <f>ROUND((AA434+ AB434)*(J434/100),2)</f>
        <v>1.38</v>
      </c>
      <c r="AG434" s="1">
        <f>ROUND(AA434*T434,2)</f>
        <v>0</v>
      </c>
      <c r="AH434" s="1">
        <f>ROUND(AA434-(AC434+AD434)+AF434+AG434, 3)</f>
        <v>62.148000000000003</v>
      </c>
      <c r="AI434" s="1">
        <f>AH434*M434*K434</f>
        <v>62.148000000000003</v>
      </c>
      <c r="BA434" s="1" t="s">
        <v>11440</v>
      </c>
      <c r="BB434" s="1">
        <f>AI434</f>
        <v>62.148000000000003</v>
      </c>
      <c r="BD434" s="1">
        <f>N434</f>
        <v>1</v>
      </c>
    </row>
    <row r="435" spans="1:56" x14ac:dyDescent="0.25">
      <c r="A435" s="1">
        <v>600002771</v>
      </c>
      <c r="B435" s="1">
        <v>1700</v>
      </c>
      <c r="C435" s="1">
        <v>2200001421</v>
      </c>
      <c r="D435" s="1" t="s">
        <v>303</v>
      </c>
      <c r="E435" s="1">
        <f>IF(AND(B435&lt;&gt;1110,B435&lt;&gt;1210,B435&lt;&gt;1510,B435&lt;&gt;1710),B435,IF(B435=1110,"1100",IF(B435=1210,"1200",IF(B435=1510,"1500",IF(B435=1710,"1700","X")))))</f>
        <v>1700</v>
      </c>
      <c r="F435" s="1" t="s">
        <v>11238</v>
      </c>
      <c r="G435" s="1" t="s">
        <v>302</v>
      </c>
      <c r="H435" s="1">
        <f>ROUND(P435/(1-((R435+S435))/100)*Q435, 3)</f>
        <v>74.206999999999994</v>
      </c>
      <c r="I435" s="1">
        <v>0.25</v>
      </c>
      <c r="J435" s="1">
        <v>3</v>
      </c>
      <c r="K435" s="1">
        <v>1</v>
      </c>
      <c r="L435" s="1" t="s">
        <v>292</v>
      </c>
      <c r="M435" s="1">
        <v>4</v>
      </c>
      <c r="N435" s="1">
        <v>1</v>
      </c>
      <c r="O435" s="1" t="s">
        <v>296</v>
      </c>
      <c r="P435" s="1">
        <f>IFERROR(VLOOKUP(BC435, BA:BA:BB:BB, 2, 0),)</f>
        <v>62.148000000000003</v>
      </c>
      <c r="Q435" s="1">
        <f>IFERROR(VLOOKUP(BC435, BA:BA:BD:BD, 4, 0),1)</f>
        <v>1</v>
      </c>
      <c r="R435" s="1">
        <v>7</v>
      </c>
      <c r="S435" s="1">
        <v>9.25</v>
      </c>
      <c r="T435" s="1">
        <v>0</v>
      </c>
      <c r="V435" s="1" t="s">
        <v>11223</v>
      </c>
      <c r="W435" s="1">
        <v>100</v>
      </c>
      <c r="X435" s="1" t="s">
        <v>298</v>
      </c>
      <c r="Y435" s="1" t="s">
        <v>299</v>
      </c>
      <c r="Z435" s="1">
        <v>1</v>
      </c>
      <c r="AA435" s="1">
        <f>ROUND(H435*I435*Z435, 3)</f>
        <v>18.552</v>
      </c>
      <c r="AB435" s="1">
        <f>ROUND(VLOOKUP(X435,'Base de dados'!A:B, 2, 0)*AA435, 2)</f>
        <v>1.86</v>
      </c>
      <c r="AC435" s="1">
        <f>ROUND((AA435*(Destino!AG435/100))*(W435/100),2)</f>
        <v>1.3</v>
      </c>
      <c r="AD435" s="1">
        <f>ROUND(AA435*(Destino!AH435/100),2)</f>
        <v>0</v>
      </c>
      <c r="AE435" s="1">
        <f>ROUND((((AA435+AB435)*1.48)*(Destino!AI435/100))-AC435,2)</f>
        <v>3.84</v>
      </c>
      <c r="AF435" s="1">
        <f>ROUND((AA435+AB435+AE435)*(J435/100),2)</f>
        <v>0.73</v>
      </c>
      <c r="AG435" s="1">
        <f>ROUND(AA435*T435,2)</f>
        <v>0</v>
      </c>
      <c r="AH435" s="1">
        <f>ROUND(AA435+AB435-AD435+AE435+AF435+AG435, 3)</f>
        <v>24.981999999999999</v>
      </c>
      <c r="AI435" s="1">
        <f>AH435*M435*K435</f>
        <v>99.927999999999997</v>
      </c>
      <c r="BA435" s="1" t="s">
        <v>11330</v>
      </c>
      <c r="BB435" s="1">
        <f>AI435</f>
        <v>99.927999999999997</v>
      </c>
      <c r="BC435" s="1" t="s">
        <v>11440</v>
      </c>
      <c r="BD435" s="1">
        <f>N435</f>
        <v>1</v>
      </c>
    </row>
    <row r="436" spans="1:56" x14ac:dyDescent="0.25">
      <c r="A436" s="1">
        <v>600002776</v>
      </c>
      <c r="B436" s="1">
        <v>1000</v>
      </c>
      <c r="C436" s="1">
        <v>2200001473</v>
      </c>
      <c r="D436" s="1" t="s">
        <v>303</v>
      </c>
      <c r="E436" s="1">
        <f>IF(AND(B436&lt;&gt;1110,B436&lt;&gt;1210,B436&lt;&gt;1510,B436&lt;&gt;1710),B436,IF(B436=1110,"1100",IF(B436=1210,"1200",IF(B436=1510,"1500",IF(B436=1710,"1700","X")))))</f>
        <v>1000</v>
      </c>
      <c r="F436" s="1" t="s">
        <v>11198</v>
      </c>
      <c r="G436" s="1" t="s">
        <v>302</v>
      </c>
      <c r="H436" s="1">
        <v>57.66</v>
      </c>
      <c r="I436" s="1">
        <v>0.415715</v>
      </c>
      <c r="J436" s="1">
        <v>1.5</v>
      </c>
      <c r="K436" s="1">
        <v>1</v>
      </c>
      <c r="L436" s="1" t="s">
        <v>292</v>
      </c>
      <c r="M436" s="1">
        <v>1</v>
      </c>
      <c r="N436" s="1">
        <v>1</v>
      </c>
      <c r="O436" s="1" t="s">
        <v>296</v>
      </c>
      <c r="P436" s="1">
        <v>0</v>
      </c>
      <c r="Q436" s="1">
        <v>1</v>
      </c>
      <c r="R436" s="1">
        <v>12</v>
      </c>
      <c r="S436" s="1">
        <v>9.25</v>
      </c>
      <c r="T436" s="1">
        <v>0</v>
      </c>
      <c r="V436" s="1" t="s">
        <v>11223</v>
      </c>
      <c r="W436" s="1">
        <v>100</v>
      </c>
      <c r="X436" s="1" t="s">
        <v>319</v>
      </c>
      <c r="Y436" s="1" t="s">
        <v>299</v>
      </c>
      <c r="Z436" s="1">
        <v>1</v>
      </c>
      <c r="AA436" s="1">
        <f>ROUND(H436*I436*Z436, 3)</f>
        <v>23.97</v>
      </c>
      <c r="AB436" s="1">
        <f>ROUND(VLOOKUP(X436,'Base de dados'!A:B, 2, 0)*AA436, 2)</f>
        <v>2.4</v>
      </c>
      <c r="AC436" s="1">
        <f>ROUND((AA436*(Destino!AG436/100))*(W436/100),2)</f>
        <v>2.88</v>
      </c>
      <c r="AD436" s="1">
        <f>ROUND(AA436*(Destino!AH436/100),2)</f>
        <v>2.2200000000000002</v>
      </c>
      <c r="AF436" s="1">
        <f>ROUND((AA436+ AB436)*(J436/100),2)</f>
        <v>0.4</v>
      </c>
      <c r="AG436" s="1">
        <f>ROUND(AA436*T436,2)</f>
        <v>0</v>
      </c>
      <c r="AH436" s="1">
        <f>ROUND(AA436-(AC436+AD436)+AF436+AG436, 3)</f>
        <v>19.27</v>
      </c>
      <c r="AI436" s="1">
        <f>AH436*M436*K436</f>
        <v>19.27</v>
      </c>
      <c r="BA436" s="1" t="s">
        <v>11441</v>
      </c>
      <c r="BB436" s="1">
        <f>AI436</f>
        <v>19.27</v>
      </c>
      <c r="BD436" s="1">
        <f>N436</f>
        <v>1</v>
      </c>
    </row>
    <row r="437" spans="1:56" x14ac:dyDescent="0.25">
      <c r="A437" s="1">
        <v>600002776</v>
      </c>
      <c r="B437" s="1">
        <v>1100</v>
      </c>
      <c r="C437" s="1">
        <v>2200001473</v>
      </c>
      <c r="D437" s="1" t="s">
        <v>303</v>
      </c>
      <c r="E437" s="1">
        <f>IF(AND(B437&lt;&gt;1110,B437&lt;&gt;1210,B437&lt;&gt;1510,B437&lt;&gt;1710),B437,IF(B437=1110,"1100",IF(B437=1210,"1200",IF(B437=1510,"1500",IF(B437=1710,"1700","X")))))</f>
        <v>1100</v>
      </c>
      <c r="F437" s="1" t="s">
        <v>11198</v>
      </c>
      <c r="G437" s="1" t="s">
        <v>302</v>
      </c>
      <c r="H437" s="1">
        <v>57.66</v>
      </c>
      <c r="I437" s="1">
        <v>0.39089600000000002</v>
      </c>
      <c r="J437" s="1">
        <v>2</v>
      </c>
      <c r="K437" s="1">
        <v>1</v>
      </c>
      <c r="L437" s="1" t="s">
        <v>292</v>
      </c>
      <c r="M437" s="1">
        <v>1</v>
      </c>
      <c r="N437" s="1">
        <v>1</v>
      </c>
      <c r="O437" s="1" t="s">
        <v>296</v>
      </c>
      <c r="P437" s="1">
        <v>0</v>
      </c>
      <c r="Q437" s="1">
        <v>1</v>
      </c>
      <c r="R437" s="1">
        <v>7</v>
      </c>
      <c r="S437" s="1">
        <v>9.25</v>
      </c>
      <c r="T437" s="1">
        <v>0</v>
      </c>
      <c r="V437" s="1" t="s">
        <v>11223</v>
      </c>
      <c r="W437" s="1">
        <v>100</v>
      </c>
      <c r="X437" s="1" t="s">
        <v>319</v>
      </c>
      <c r="Y437" s="1" t="s">
        <v>299</v>
      </c>
      <c r="Z437" s="1">
        <v>1</v>
      </c>
      <c r="AA437" s="1">
        <f>ROUND(H437*I437*Z437, 3)</f>
        <v>22.539000000000001</v>
      </c>
      <c r="AB437" s="1">
        <f>ROUND(VLOOKUP(X437,'Base de dados'!A:B, 2, 0)*AA437, 2)</f>
        <v>2.25</v>
      </c>
      <c r="AC437" s="1">
        <f>ROUND((AA437*(Destino!AG437/100))*(W437/100),2)</f>
        <v>1.58</v>
      </c>
      <c r="AD437" s="1">
        <f>ROUND(AA437*(Destino!AH437/100),2)</f>
        <v>2.08</v>
      </c>
      <c r="AF437" s="1">
        <f>ROUND((AA437+ AB437)*(J437/100),2)</f>
        <v>0.5</v>
      </c>
      <c r="AG437" s="1">
        <f>ROUND(AA437*T437,2)</f>
        <v>0</v>
      </c>
      <c r="AH437" s="1">
        <f>ROUND(AA437-(AC437+AD437)+AF437+AG437, 3)</f>
        <v>19.379000000000001</v>
      </c>
      <c r="AI437" s="1">
        <f>AH437*M437*K437</f>
        <v>19.379000000000001</v>
      </c>
      <c r="BA437" s="1" t="s">
        <v>11716</v>
      </c>
      <c r="BB437" s="1">
        <f>AI437</f>
        <v>19.379000000000001</v>
      </c>
      <c r="BD437" s="1">
        <f>N437</f>
        <v>1</v>
      </c>
    </row>
    <row r="438" spans="1:56" x14ac:dyDescent="0.25">
      <c r="A438" s="1">
        <v>600002776</v>
      </c>
      <c r="B438" s="1">
        <v>1110</v>
      </c>
      <c r="C438" s="1">
        <v>2000005105</v>
      </c>
      <c r="D438" s="1" t="s">
        <v>303</v>
      </c>
      <c r="E438" s="1" t="str">
        <f>IF(AND(B438&lt;&gt;1110,B438&lt;&gt;1210,B438&lt;&gt;1510,B438&lt;&gt;1710),B438,IF(B438=1110,"1100",IF(B438=1210,"1200",IF(B438=1510,"1500",IF(B438=1710,"1700","X")))))</f>
        <v>1100</v>
      </c>
      <c r="F438" s="1" t="s">
        <v>447</v>
      </c>
      <c r="G438" s="1" t="s">
        <v>302</v>
      </c>
      <c r="H438" s="1">
        <f>ROUND(P438/(1-((R438+S438))/100)*Q438, 3)</f>
        <v>23.009</v>
      </c>
      <c r="I438" s="1">
        <v>1</v>
      </c>
      <c r="J438" s="1">
        <v>4</v>
      </c>
      <c r="K438" s="1">
        <v>1</v>
      </c>
      <c r="L438" s="1" t="s">
        <v>292</v>
      </c>
      <c r="M438" s="1">
        <v>1</v>
      </c>
      <c r="N438" s="1">
        <v>0.75249500000000002</v>
      </c>
      <c r="O438" s="1" t="s">
        <v>296</v>
      </c>
      <c r="P438" s="1">
        <f>IFERROR(VLOOKUP(BC438, BA:BA:BB:BB, 2, 0),)</f>
        <v>19.27</v>
      </c>
      <c r="Q438" s="1">
        <f>IFERROR(VLOOKUP(BC438, BA:BA:BD:BD, 4, 0),1)</f>
        <v>1</v>
      </c>
      <c r="R438" s="1">
        <v>7</v>
      </c>
      <c r="S438" s="1">
        <v>9.25</v>
      </c>
      <c r="T438" s="1">
        <v>0</v>
      </c>
      <c r="V438" s="1" t="s">
        <v>11223</v>
      </c>
      <c r="W438" s="1">
        <v>100</v>
      </c>
      <c r="X438" s="1" t="s">
        <v>319</v>
      </c>
      <c r="Y438" s="1" t="s">
        <v>299</v>
      </c>
      <c r="Z438" s="1">
        <v>1</v>
      </c>
      <c r="AA438" s="1">
        <f>ROUND(H438*I438*Z438, 3)</f>
        <v>23.009</v>
      </c>
      <c r="AB438" s="1">
        <f>ROUND(VLOOKUP(X438,'Base de dados'!A:B, 2, 0)*AA438, 2)</f>
        <v>2.2999999999999998</v>
      </c>
      <c r="AC438" s="1">
        <f>ROUND((AA438*(Destino!AG438/100))*(W438/100),2)</f>
        <v>1.61</v>
      </c>
      <c r="AD438" s="1">
        <f>ROUND(AA438*(Destino!AH438/100),2)</f>
        <v>2.13</v>
      </c>
      <c r="AE438" s="1">
        <f>ROUND((((AA438+AB438)*1.5039)*(Destino!AI438/100))-AC438,2)</f>
        <v>4.8600000000000003</v>
      </c>
      <c r="AF438" s="1">
        <f>ROUND((AA438+AB438+AE438)*(J438/100),2)</f>
        <v>1.21</v>
      </c>
      <c r="AG438" s="1">
        <f>ROUND(AA438*T438,2)</f>
        <v>0</v>
      </c>
      <c r="AH438" s="1">
        <f>ROUND(AA438-AD438+AE438+AF438+AG438, 3)</f>
        <v>26.949000000000002</v>
      </c>
      <c r="AI438" s="1">
        <f>AH438*M438*K438</f>
        <v>26.949000000000002</v>
      </c>
      <c r="BA438" s="1" t="s">
        <v>11331</v>
      </c>
      <c r="BB438" s="1">
        <f>AI438</f>
        <v>26.949000000000002</v>
      </c>
      <c r="BC438" s="1" t="s">
        <v>11441</v>
      </c>
      <c r="BD438" s="1">
        <f>N438</f>
        <v>0.75249500000000002</v>
      </c>
    </row>
    <row r="439" spans="1:56" x14ac:dyDescent="0.25">
      <c r="A439" s="1">
        <v>600002776</v>
      </c>
      <c r="B439" s="1">
        <v>1110</v>
      </c>
      <c r="C439" s="1">
        <v>2200001473</v>
      </c>
      <c r="D439" s="1" t="s">
        <v>303</v>
      </c>
      <c r="E439" s="1" t="str">
        <f>IF(AND(B439&lt;&gt;1110,B439&lt;&gt;1210,B439&lt;&gt;1510,B439&lt;&gt;1710),B439,IF(B439=1110,"1100",IF(B439=1210,"1200",IF(B439=1510,"1500",IF(B439=1710,"1700","X")))))</f>
        <v>1100</v>
      </c>
      <c r="F439" s="1" t="s">
        <v>447</v>
      </c>
      <c r="G439" s="1" t="s">
        <v>302</v>
      </c>
      <c r="H439" s="1">
        <v>57.66</v>
      </c>
      <c r="I439" s="1">
        <v>0.39089600000000002</v>
      </c>
      <c r="J439" s="1">
        <v>7</v>
      </c>
      <c r="K439" s="1">
        <v>1</v>
      </c>
      <c r="L439" s="1" t="s">
        <v>292</v>
      </c>
      <c r="M439" s="1">
        <v>1</v>
      </c>
      <c r="N439" s="1">
        <v>1</v>
      </c>
      <c r="O439" s="1" t="s">
        <v>292</v>
      </c>
      <c r="P439" s="1">
        <v>0</v>
      </c>
      <c r="Q439" s="1">
        <v>1</v>
      </c>
      <c r="R439" s="1">
        <v>7</v>
      </c>
      <c r="S439" s="1">
        <v>9.25</v>
      </c>
      <c r="T439" s="1">
        <v>0</v>
      </c>
      <c r="V439" s="1" t="s">
        <v>11223</v>
      </c>
      <c r="W439" s="1">
        <v>100</v>
      </c>
      <c r="X439" s="1" t="s">
        <v>319</v>
      </c>
      <c r="Y439" s="1" t="s">
        <v>299</v>
      </c>
      <c r="Z439" s="1">
        <v>1</v>
      </c>
      <c r="AA439" s="1">
        <f>ROUND(H439*I439*Z439, 3)</f>
        <v>22.539000000000001</v>
      </c>
      <c r="AB439" s="1">
        <f>ROUND(VLOOKUP(X439,'Base de dados'!A:B, 2, 0)*AA439, 2)</f>
        <v>2.25</v>
      </c>
      <c r="AC439" s="1">
        <f>ROUND((AA439*(Destino!AG439/100))*(W439/100),2)</f>
        <v>1.58</v>
      </c>
      <c r="AD439" s="1">
        <f>ROUND(AA439*(Destino!AH439/100),2)</f>
        <v>2.08</v>
      </c>
      <c r="AE439" s="1">
        <f>ROUND((((AA439+AB439)*1.5039)*(Destino!AI439/100))-AC439,2)</f>
        <v>4.76</v>
      </c>
      <c r="AF439" s="1">
        <f>ROUND((AA439+AB439+AE439)*(J439/100),2)</f>
        <v>2.0699999999999998</v>
      </c>
      <c r="AG439" s="1">
        <f>ROUND(AA439*T439,2)</f>
        <v>0</v>
      </c>
      <c r="AH439" s="1">
        <f>ROUND(AA439-AD439+AE439+AF439+AG439, 3)</f>
        <v>27.289000000000001</v>
      </c>
      <c r="AI439" s="1">
        <f>AH439*M439*K439</f>
        <v>27.289000000000001</v>
      </c>
      <c r="BB439" s="1">
        <f>AI439</f>
        <v>27.289000000000001</v>
      </c>
      <c r="BD439" s="1">
        <f>N439</f>
        <v>1</v>
      </c>
    </row>
    <row r="440" spans="1:56" x14ac:dyDescent="0.25">
      <c r="A440" s="1">
        <v>600002776</v>
      </c>
      <c r="B440" s="1">
        <v>1400</v>
      </c>
      <c r="C440" s="1">
        <v>2200001473</v>
      </c>
      <c r="D440" s="1" t="s">
        <v>303</v>
      </c>
      <c r="E440" s="1">
        <f>IF(AND(B440&lt;&gt;1110,B440&lt;&gt;1210,B440&lt;&gt;1510,B440&lt;&gt;1710),B440,IF(B440=1110,"1100",IF(B440=1210,"1200",IF(B440=1510,"1500",IF(B440=1710,"1700","X")))))</f>
        <v>1400</v>
      </c>
      <c r="F440" s="1" t="s">
        <v>11198</v>
      </c>
      <c r="G440" s="1" t="s">
        <v>302</v>
      </c>
      <c r="H440" s="1">
        <v>57.66</v>
      </c>
      <c r="I440" s="1">
        <v>0.45</v>
      </c>
      <c r="J440" s="1">
        <v>1.5</v>
      </c>
      <c r="K440" s="1">
        <v>1</v>
      </c>
      <c r="L440" s="1" t="s">
        <v>292</v>
      </c>
      <c r="M440" s="1">
        <v>1</v>
      </c>
      <c r="N440" s="1">
        <v>1</v>
      </c>
      <c r="O440" s="1" t="s">
        <v>296</v>
      </c>
      <c r="P440" s="1">
        <v>0</v>
      </c>
      <c r="Q440" s="1">
        <v>1</v>
      </c>
      <c r="R440" s="1">
        <v>18</v>
      </c>
      <c r="S440" s="1">
        <v>9.25</v>
      </c>
      <c r="T440" s="1">
        <v>0</v>
      </c>
      <c r="V440" s="1" t="s">
        <v>11223</v>
      </c>
      <c r="W440" s="1">
        <v>100</v>
      </c>
      <c r="X440" s="1" t="s">
        <v>319</v>
      </c>
      <c r="Y440" s="1" t="s">
        <v>299</v>
      </c>
      <c r="Z440" s="1">
        <v>1</v>
      </c>
      <c r="AA440" s="1">
        <f>ROUND(H440*I440*Z440, 3)</f>
        <v>25.946999999999999</v>
      </c>
      <c r="AB440" s="1">
        <f>ROUND(VLOOKUP(X440,'Base de dados'!A:B, 2, 0)*AA440, 2)</f>
        <v>2.59</v>
      </c>
      <c r="AC440" s="1">
        <f>ROUND((AA440*(Destino!AG440/100))*(W440/100),2)</f>
        <v>4.67</v>
      </c>
      <c r="AD440" s="1">
        <f>ROUND(AA440*(Destino!AH440/100),2)</f>
        <v>2.4</v>
      </c>
      <c r="AF440" s="1">
        <f>ROUND((AA440+ AB440)*(J440/100),2)</f>
        <v>0.43</v>
      </c>
      <c r="AG440" s="1">
        <f>ROUND(AA440*T440,2)</f>
        <v>0</v>
      </c>
      <c r="AH440" s="1">
        <f>ROUND(AA440-(AC440+AD440)+AF440+AG440, 3)</f>
        <v>19.306999999999999</v>
      </c>
      <c r="AI440" s="1">
        <f>AH440*M440*K440</f>
        <v>19.306999999999999</v>
      </c>
      <c r="BA440" s="1" t="s">
        <v>11717</v>
      </c>
      <c r="BB440" s="1">
        <f>AI440</f>
        <v>19.306999999999999</v>
      </c>
      <c r="BD440" s="1">
        <f>N440</f>
        <v>1</v>
      </c>
    </row>
    <row r="441" spans="1:56" x14ac:dyDescent="0.25">
      <c r="A441" s="1">
        <v>600002806</v>
      </c>
      <c r="B441" s="1">
        <v>1000</v>
      </c>
      <c r="C441" s="1">
        <v>2200001473</v>
      </c>
      <c r="D441" s="1" t="s">
        <v>303</v>
      </c>
      <c r="E441" s="1">
        <f>IF(AND(B441&lt;&gt;1110,B441&lt;&gt;1210,B441&lt;&gt;1510,B441&lt;&gt;1710),B441,IF(B441=1110,"1100",IF(B441=1210,"1200",IF(B441=1510,"1500",IF(B441=1710,"1700","X")))))</f>
        <v>1000</v>
      </c>
      <c r="F441" s="1" t="s">
        <v>11198</v>
      </c>
      <c r="G441" s="1" t="s">
        <v>302</v>
      </c>
      <c r="H441" s="1">
        <f>ROUND(P441/(1-((R441+S441))/100)*Q441, 3)</f>
        <v>15.404</v>
      </c>
      <c r="I441" s="1">
        <v>0.45</v>
      </c>
      <c r="J441" s="1">
        <v>1.5</v>
      </c>
      <c r="K441" s="1">
        <v>1</v>
      </c>
      <c r="L441" s="1" t="s">
        <v>292</v>
      </c>
      <c r="M441" s="1">
        <v>1</v>
      </c>
      <c r="N441" s="1">
        <v>1</v>
      </c>
      <c r="O441" s="1" t="s">
        <v>296</v>
      </c>
      <c r="P441" s="1">
        <v>12.131</v>
      </c>
      <c r="Q441" s="1">
        <v>1</v>
      </c>
      <c r="R441" s="1">
        <v>12</v>
      </c>
      <c r="S441" s="1">
        <v>9.25</v>
      </c>
      <c r="T441" s="1">
        <v>0</v>
      </c>
      <c r="V441" s="1" t="s">
        <v>11223</v>
      </c>
      <c r="W441" s="1">
        <v>100</v>
      </c>
      <c r="X441" s="1" t="s">
        <v>311</v>
      </c>
      <c r="Y441" s="1" t="s">
        <v>299</v>
      </c>
      <c r="Z441" s="1">
        <v>1</v>
      </c>
      <c r="AA441" s="1">
        <f>ROUND(H441*I441*Z441, 3)</f>
        <v>6.9320000000000004</v>
      </c>
      <c r="AB441" s="1">
        <f>ROUND(VLOOKUP(X441,'Base de dados'!A:B, 2, 0)*AA441, 2)</f>
        <v>0.69</v>
      </c>
      <c r="AC441" s="1">
        <f>ROUND((AA441*(Destino!AG441/100))*(W441/100),2)</f>
        <v>0.83</v>
      </c>
      <c r="AD441" s="1">
        <f>ROUND(AA441*(Destino!AH441/100),2)</f>
        <v>0.64</v>
      </c>
      <c r="AF441" s="1">
        <f>ROUND((AA441+ AB441)*(J441/100),2)</f>
        <v>0.11</v>
      </c>
      <c r="AG441" s="1">
        <f>ROUND(AA441*T441,2)</f>
        <v>0</v>
      </c>
      <c r="AH441" s="1">
        <f>ROUND(AA441-(AC441+AD441)+AF441+AG441, 3)</f>
        <v>5.5720000000000001</v>
      </c>
      <c r="AI441" s="1">
        <f>AH441*M441*K441</f>
        <v>5.5720000000000001</v>
      </c>
      <c r="BA441" s="1" t="s">
        <v>11718</v>
      </c>
      <c r="BB441" s="1">
        <f>AI441</f>
        <v>5.5720000000000001</v>
      </c>
      <c r="BD441" s="1">
        <f>N441</f>
        <v>1</v>
      </c>
    </row>
    <row r="442" spans="1:56" x14ac:dyDescent="0.25">
      <c r="A442" s="1">
        <v>600002806</v>
      </c>
      <c r="B442" s="1">
        <v>1100</v>
      </c>
      <c r="C442" s="1">
        <v>2200001473</v>
      </c>
      <c r="D442" s="1" t="s">
        <v>303</v>
      </c>
      <c r="E442" s="1">
        <f>IF(AND(B442&lt;&gt;1110,B442&lt;&gt;1210,B442&lt;&gt;1510,B442&lt;&gt;1710),B442,IF(B442=1110,"1100",IF(B442=1210,"1200",IF(B442=1510,"1500",IF(B442=1710,"1700","X")))))</f>
        <v>1100</v>
      </c>
      <c r="F442" s="1" t="s">
        <v>11198</v>
      </c>
      <c r="G442" s="1" t="s">
        <v>302</v>
      </c>
      <c r="H442" s="1">
        <f>ROUND(P442/(1-((R442+S442))/100)*Q442, 3)</f>
        <v>14.48</v>
      </c>
      <c r="I442" s="1">
        <v>0.45</v>
      </c>
      <c r="J442" s="1">
        <v>2</v>
      </c>
      <c r="K442" s="1">
        <v>1</v>
      </c>
      <c r="L442" s="1" t="s">
        <v>292</v>
      </c>
      <c r="M442" s="1">
        <v>1</v>
      </c>
      <c r="N442" s="1">
        <v>1</v>
      </c>
      <c r="O442" s="1" t="s">
        <v>296</v>
      </c>
      <c r="P442" s="1">
        <v>12.127000000000001</v>
      </c>
      <c r="Q442" s="1">
        <v>1</v>
      </c>
      <c r="R442" s="1">
        <v>7</v>
      </c>
      <c r="S442" s="1">
        <v>9.25</v>
      </c>
      <c r="T442" s="1">
        <v>0</v>
      </c>
      <c r="V442" s="1" t="s">
        <v>11223</v>
      </c>
      <c r="W442" s="1">
        <v>100</v>
      </c>
      <c r="X442" s="1" t="s">
        <v>311</v>
      </c>
      <c r="Y442" s="1" t="s">
        <v>299</v>
      </c>
      <c r="Z442" s="1">
        <v>1</v>
      </c>
      <c r="AA442" s="1">
        <f>ROUND(H442*I442*Z442, 3)</f>
        <v>6.516</v>
      </c>
      <c r="AB442" s="1">
        <f>ROUND(VLOOKUP(X442,'Base de dados'!A:B, 2, 0)*AA442, 2)</f>
        <v>0.65</v>
      </c>
      <c r="AC442" s="1">
        <f>ROUND((AA442*(Destino!AG442/100))*(W442/100),2)</f>
        <v>0.46</v>
      </c>
      <c r="AD442" s="1">
        <f>ROUND(AA442*(Destino!AH442/100),2)</f>
        <v>0.6</v>
      </c>
      <c r="AF442" s="1">
        <f>ROUND((AA442+ AB442)*(J442/100),2)</f>
        <v>0.14000000000000001</v>
      </c>
      <c r="AG442" s="1">
        <f>ROUND(AA442*T442,2)</f>
        <v>0</v>
      </c>
      <c r="AH442" s="1">
        <f>ROUND(AA442-(AC442+AD442)+AF442+AG442, 3)</f>
        <v>5.5960000000000001</v>
      </c>
      <c r="AI442" s="1">
        <f>AH442*M442*K442</f>
        <v>5.5960000000000001</v>
      </c>
      <c r="BA442" s="1" t="s">
        <v>11719</v>
      </c>
      <c r="BB442" s="1">
        <f>AI442</f>
        <v>5.5960000000000001</v>
      </c>
      <c r="BD442" s="1">
        <f>N442</f>
        <v>1</v>
      </c>
    </row>
    <row r="443" spans="1:56" x14ac:dyDescent="0.25">
      <c r="A443" s="1">
        <v>600002806</v>
      </c>
      <c r="B443" s="1">
        <v>1110</v>
      </c>
      <c r="C443" s="1">
        <v>2200001473</v>
      </c>
      <c r="D443" s="1" t="s">
        <v>303</v>
      </c>
      <c r="E443" s="1" t="str">
        <f>IF(AND(B443&lt;&gt;1110,B443&lt;&gt;1210,B443&lt;&gt;1510,B443&lt;&gt;1710),B443,IF(B443=1110,"1100",IF(B443=1210,"1200",IF(B443=1510,"1500",IF(B443=1710,"1700","X")))))</f>
        <v>1100</v>
      </c>
      <c r="F443" s="1" t="s">
        <v>447</v>
      </c>
      <c r="G443" s="1" t="s">
        <v>302</v>
      </c>
      <c r="H443" s="1">
        <f>ROUND(P443/(1-((R443+S443))/100)*Q443, 3)</f>
        <v>14.48</v>
      </c>
      <c r="I443" s="1">
        <v>0.45</v>
      </c>
      <c r="J443" s="1">
        <v>4</v>
      </c>
      <c r="K443" s="1">
        <v>1</v>
      </c>
      <c r="L443" s="1" t="s">
        <v>292</v>
      </c>
      <c r="M443" s="1">
        <v>1</v>
      </c>
      <c r="N443" s="1">
        <v>0.75216400000000005</v>
      </c>
      <c r="O443" s="1" t="s">
        <v>296</v>
      </c>
      <c r="P443" s="1">
        <v>12.127000000000001</v>
      </c>
      <c r="Q443" s="1">
        <v>1</v>
      </c>
      <c r="R443" s="1">
        <v>7</v>
      </c>
      <c r="S443" s="1">
        <v>9.25</v>
      </c>
      <c r="T443" s="1">
        <v>0</v>
      </c>
      <c r="V443" s="1" t="s">
        <v>11223</v>
      </c>
      <c r="W443" s="1">
        <v>100</v>
      </c>
      <c r="X443" s="1" t="s">
        <v>311</v>
      </c>
      <c r="Y443" s="1" t="s">
        <v>299</v>
      </c>
      <c r="Z443" s="1">
        <v>1</v>
      </c>
      <c r="AA443" s="1">
        <f>ROUND(H443*I443*Z443, 3)</f>
        <v>6.516</v>
      </c>
      <c r="AB443" s="1">
        <f>ROUND(VLOOKUP(X443,'Base de dados'!A:B, 2, 0)*AA443, 2)</f>
        <v>0.65</v>
      </c>
      <c r="AC443" s="1">
        <f>ROUND((AA443*(Destino!AG443/100))*(W443/100),2)</f>
        <v>0.46</v>
      </c>
      <c r="AD443" s="1">
        <f>ROUND(AA443*(Destino!AH443/100),2)</f>
        <v>0.6</v>
      </c>
      <c r="AE443" s="1">
        <f>ROUND((((AA443+AB443)*1.5039)*(Destino!AI443/100))-AC443,2)</f>
        <v>1.37</v>
      </c>
      <c r="AF443" s="1">
        <f>ROUND((AA443+AB443+AE443)*(J443/100),2)</f>
        <v>0.34</v>
      </c>
      <c r="AG443" s="1">
        <f>ROUND(AA443*T443,2)</f>
        <v>0</v>
      </c>
      <c r="AH443" s="1">
        <f>ROUND(AA443-AD443+AE443+AF443+AG443, 3)</f>
        <v>7.6260000000000003</v>
      </c>
      <c r="AI443" s="1">
        <f>AH443*M443*K443</f>
        <v>7.6260000000000003</v>
      </c>
      <c r="BA443" s="1" t="s">
        <v>11720</v>
      </c>
      <c r="BB443" s="1">
        <f>AI443</f>
        <v>7.6260000000000003</v>
      </c>
      <c r="BD443" s="1">
        <f>N443</f>
        <v>0.75216400000000005</v>
      </c>
    </row>
    <row r="444" spans="1:56" x14ac:dyDescent="0.25">
      <c r="A444" s="1">
        <v>600002806</v>
      </c>
      <c r="B444" s="1">
        <v>1400</v>
      </c>
      <c r="C444" s="1">
        <v>2200001473</v>
      </c>
      <c r="D444" s="1" t="s">
        <v>303</v>
      </c>
      <c r="E444" s="1">
        <f>IF(AND(B444&lt;&gt;1110,B444&lt;&gt;1210,B444&lt;&gt;1510,B444&lt;&gt;1710),B444,IF(B444=1110,"1100",IF(B444=1210,"1200",IF(B444=1510,"1500",IF(B444=1710,"1700","X")))))</f>
        <v>1400</v>
      </c>
      <c r="F444" s="1" t="s">
        <v>11198</v>
      </c>
      <c r="G444" s="1" t="s">
        <v>302</v>
      </c>
      <c r="H444" s="1">
        <f>ROUND(P444/(1-((R444+S444))/100)*Q444, 3)</f>
        <v>16.669</v>
      </c>
      <c r="I444" s="1">
        <v>0.45</v>
      </c>
      <c r="J444" s="1">
        <v>1.5</v>
      </c>
      <c r="K444" s="1">
        <v>1</v>
      </c>
      <c r="L444" s="1" t="s">
        <v>292</v>
      </c>
      <c r="M444" s="1">
        <v>1</v>
      </c>
      <c r="N444" s="1">
        <v>1</v>
      </c>
      <c r="O444" s="1" t="s">
        <v>296</v>
      </c>
      <c r="P444" s="1">
        <v>12.127000000000001</v>
      </c>
      <c r="Q444" s="1">
        <v>1</v>
      </c>
      <c r="R444" s="1">
        <v>18</v>
      </c>
      <c r="S444" s="1">
        <v>9.25</v>
      </c>
      <c r="T444" s="1">
        <v>0</v>
      </c>
      <c r="V444" s="1" t="s">
        <v>11223</v>
      </c>
      <c r="W444" s="1">
        <v>100</v>
      </c>
      <c r="X444" s="1" t="s">
        <v>311</v>
      </c>
      <c r="Y444" s="1" t="s">
        <v>299</v>
      </c>
      <c r="Z444" s="1">
        <v>1</v>
      </c>
      <c r="AA444" s="1">
        <f>ROUND(H444*I444*Z444, 3)</f>
        <v>7.5010000000000003</v>
      </c>
      <c r="AB444" s="1">
        <f>ROUND(VLOOKUP(X444,'Base de dados'!A:B, 2, 0)*AA444, 2)</f>
        <v>0.75</v>
      </c>
      <c r="AC444" s="1">
        <f>ROUND((AA444*(Destino!AG444/100))*(W444/100),2)</f>
        <v>1.35</v>
      </c>
      <c r="AD444" s="1">
        <f>ROUND(AA444*(Destino!AH444/100),2)</f>
        <v>0.69</v>
      </c>
      <c r="AF444" s="1">
        <f>ROUND((AA444+ AB444)*(J444/100),2)</f>
        <v>0.12</v>
      </c>
      <c r="AG444" s="1">
        <f>ROUND(AA444*T444,2)</f>
        <v>0</v>
      </c>
      <c r="AH444" s="1">
        <f>ROUND(AA444-(AC444+AD444)+AF444+AG444, 3)</f>
        <v>5.5810000000000004</v>
      </c>
      <c r="AI444" s="1">
        <f>AH444*M444*K444</f>
        <v>5.5810000000000004</v>
      </c>
      <c r="BA444" s="1" t="s">
        <v>11442</v>
      </c>
      <c r="BB444" s="1">
        <f>AI444</f>
        <v>5.5810000000000004</v>
      </c>
      <c r="BD444" s="1">
        <f>N444</f>
        <v>1</v>
      </c>
    </row>
    <row r="445" spans="1:56" x14ac:dyDescent="0.25">
      <c r="A445" s="1">
        <v>600002806</v>
      </c>
      <c r="B445" s="1">
        <v>1700</v>
      </c>
      <c r="C445" s="1">
        <v>2200001421</v>
      </c>
      <c r="D445" s="1" t="s">
        <v>303</v>
      </c>
      <c r="E445" s="1">
        <f>IF(AND(B445&lt;&gt;1110,B445&lt;&gt;1210,B445&lt;&gt;1510,B445&lt;&gt;1710),B445,IF(B445=1110,"1100",IF(B445=1210,"1200",IF(B445=1510,"1500",IF(B445=1710,"1700","X")))))</f>
        <v>1700</v>
      </c>
      <c r="F445" s="1" t="s">
        <v>11238</v>
      </c>
      <c r="G445" s="1" t="s">
        <v>302</v>
      </c>
      <c r="H445" s="1">
        <f>ROUND(P445/(1-((R445+S445))/100)*Q445, 3)</f>
        <v>6.6639999999999997</v>
      </c>
      <c r="I445" s="1">
        <v>0.25</v>
      </c>
      <c r="J445" s="1">
        <v>3</v>
      </c>
      <c r="K445" s="1">
        <v>1</v>
      </c>
      <c r="L445" s="1" t="s">
        <v>292</v>
      </c>
      <c r="M445" s="1">
        <v>4</v>
      </c>
      <c r="N445" s="1">
        <v>1</v>
      </c>
      <c r="O445" s="1" t="s">
        <v>296</v>
      </c>
      <c r="P445" s="1">
        <f>IFERROR(VLOOKUP(BC445, BA:BA:BB:BB, 2, 0),)</f>
        <v>5.5810000000000004</v>
      </c>
      <c r="Q445" s="1">
        <f>IFERROR(VLOOKUP(BC445, BA:BA:BD:BD, 4, 0),1)</f>
        <v>1</v>
      </c>
      <c r="R445" s="1">
        <v>7</v>
      </c>
      <c r="S445" s="1">
        <v>9.25</v>
      </c>
      <c r="T445" s="1">
        <v>0</v>
      </c>
      <c r="V445" s="1" t="s">
        <v>11223</v>
      </c>
      <c r="W445" s="1">
        <v>100</v>
      </c>
      <c r="X445" s="1" t="s">
        <v>311</v>
      </c>
      <c r="Y445" s="1" t="s">
        <v>299</v>
      </c>
      <c r="Z445" s="1">
        <v>1</v>
      </c>
      <c r="AA445" s="1">
        <f>ROUND(H445*I445*Z445, 3)</f>
        <v>1.6659999999999999</v>
      </c>
      <c r="AB445" s="1">
        <f>ROUND(VLOOKUP(X445,'Base de dados'!A:B, 2, 0)*AA445, 2)</f>
        <v>0.17</v>
      </c>
      <c r="AC445" s="1">
        <f>ROUND((AA445*(Destino!AG445/100))*(W445/100),2)</f>
        <v>0.12</v>
      </c>
      <c r="AD445" s="1">
        <f>ROUND(AA445*(Destino!AH445/100),2)</f>
        <v>0</v>
      </c>
      <c r="AE445" s="1">
        <f>ROUND((((AA445+AB445)*1.48)*(Destino!AI445/100))-AC445,2)</f>
        <v>0.34</v>
      </c>
      <c r="AF445" s="1">
        <f>ROUND((AA445+AB445+AE445)*(J445/100),2)</f>
        <v>7.0000000000000007E-2</v>
      </c>
      <c r="AG445" s="1">
        <f>ROUND(AA445*T445,2)</f>
        <v>0</v>
      </c>
      <c r="AH445" s="1">
        <f>ROUND(AA445+AB445-AD445+AE445+AF445+AG445, 3)</f>
        <v>2.246</v>
      </c>
      <c r="AI445" s="1">
        <f>AH445*M445*K445</f>
        <v>8.984</v>
      </c>
      <c r="BA445" s="1" t="s">
        <v>11332</v>
      </c>
      <c r="BB445" s="1">
        <f>AI445</f>
        <v>8.984</v>
      </c>
      <c r="BC445" s="1" t="s">
        <v>11442</v>
      </c>
      <c r="BD445" s="1">
        <f>N445</f>
        <v>1</v>
      </c>
    </row>
    <row r="446" spans="1:56" x14ac:dyDescent="0.25">
      <c r="A446" s="1">
        <v>600002807</v>
      </c>
      <c r="B446" s="1">
        <v>1000</v>
      </c>
      <c r="C446" s="1">
        <v>2200001473</v>
      </c>
      <c r="D446" s="1" t="s">
        <v>303</v>
      </c>
      <c r="E446" s="1">
        <f>IF(AND(B446&lt;&gt;1110,B446&lt;&gt;1210,B446&lt;&gt;1510,B446&lt;&gt;1710),B446,IF(B446=1110,"1100",IF(B446=1210,"1200",IF(B446=1510,"1500",IF(B446=1710,"1700","X")))))</f>
        <v>1000</v>
      </c>
      <c r="F446" s="1" t="s">
        <v>11198</v>
      </c>
      <c r="G446" s="1" t="s">
        <v>302</v>
      </c>
      <c r="H446" s="1">
        <f>ROUND(P446/(1-((R446+S446))/100)*Q446, 3)</f>
        <v>14.395</v>
      </c>
      <c r="I446" s="1">
        <v>0.45</v>
      </c>
      <c r="J446" s="1">
        <v>1.5</v>
      </c>
      <c r="K446" s="1">
        <v>1</v>
      </c>
      <c r="L446" s="1" t="s">
        <v>292</v>
      </c>
      <c r="M446" s="1">
        <v>1</v>
      </c>
      <c r="N446" s="1">
        <v>1</v>
      </c>
      <c r="O446" s="1" t="s">
        <v>296</v>
      </c>
      <c r="P446" s="1">
        <v>11.336</v>
      </c>
      <c r="Q446" s="1">
        <v>1</v>
      </c>
      <c r="R446" s="1">
        <v>12</v>
      </c>
      <c r="S446" s="1">
        <v>9.25</v>
      </c>
      <c r="T446" s="1">
        <v>0</v>
      </c>
      <c r="V446" s="1" t="s">
        <v>11223</v>
      </c>
      <c r="W446" s="1">
        <v>100</v>
      </c>
      <c r="X446" s="1" t="s">
        <v>311</v>
      </c>
      <c r="Y446" s="1" t="s">
        <v>322</v>
      </c>
      <c r="Z446" s="1">
        <v>1</v>
      </c>
      <c r="AA446" s="1">
        <f>ROUND(H446*I446*Z446, 3)</f>
        <v>6.4779999999999998</v>
      </c>
      <c r="AB446" s="1">
        <f>ROUND(VLOOKUP(X446,'Base de dados'!A:B, 2, 0)*AA446, 2)</f>
        <v>0.65</v>
      </c>
      <c r="AC446" s="1">
        <f>ROUND((AA446*(Destino!AG446/100))*(W446/100),2)</f>
        <v>0.78</v>
      </c>
      <c r="AD446" s="1">
        <f>ROUND(AA446*(Destino!AH446/100),2)</f>
        <v>0.6</v>
      </c>
      <c r="AF446" s="1">
        <f>ROUND((AA446+ AB446)*(J446/100),2)</f>
        <v>0.11</v>
      </c>
      <c r="AG446" s="1">
        <f>ROUND(AA446*T446,2)</f>
        <v>0</v>
      </c>
      <c r="AH446" s="1">
        <f>ROUND(AA446-(AC446+AD446)+AF446+AG446, 3)</f>
        <v>5.2080000000000002</v>
      </c>
      <c r="AI446" s="1">
        <f>AH446*M446*K446</f>
        <v>5.2080000000000002</v>
      </c>
      <c r="BA446" s="1" t="s">
        <v>11721</v>
      </c>
      <c r="BB446" s="1">
        <f>AI446</f>
        <v>5.2080000000000002</v>
      </c>
      <c r="BD446" s="1">
        <f>N446</f>
        <v>1</v>
      </c>
    </row>
    <row r="447" spans="1:56" x14ac:dyDescent="0.25">
      <c r="A447" s="1">
        <v>600002807</v>
      </c>
      <c r="B447" s="1">
        <v>1100</v>
      </c>
      <c r="C447" s="1">
        <v>2200001473</v>
      </c>
      <c r="D447" s="1" t="s">
        <v>303</v>
      </c>
      <c r="E447" s="1">
        <f>IF(AND(B447&lt;&gt;1110,B447&lt;&gt;1210,B447&lt;&gt;1510,B447&lt;&gt;1710),B447,IF(B447=1110,"1100",IF(B447=1210,"1200",IF(B447=1510,"1500",IF(B447=1710,"1700","X")))))</f>
        <v>1100</v>
      </c>
      <c r="F447" s="1" t="s">
        <v>11198</v>
      </c>
      <c r="G447" s="1" t="s">
        <v>302</v>
      </c>
      <c r="H447" s="1">
        <f>ROUND(P447/(1-((R447+S447))/100)*Q447, 3)</f>
        <v>13.532999999999999</v>
      </c>
      <c r="I447" s="1">
        <v>0.45</v>
      </c>
      <c r="J447" s="1">
        <v>2</v>
      </c>
      <c r="K447" s="1">
        <v>1</v>
      </c>
      <c r="L447" s="1" t="s">
        <v>292</v>
      </c>
      <c r="M447" s="1">
        <v>1</v>
      </c>
      <c r="N447" s="1">
        <v>1</v>
      </c>
      <c r="O447" s="1" t="s">
        <v>296</v>
      </c>
      <c r="P447" s="1">
        <v>11.334</v>
      </c>
      <c r="Q447" s="1">
        <v>1</v>
      </c>
      <c r="R447" s="1">
        <v>7</v>
      </c>
      <c r="S447" s="1">
        <v>9.25</v>
      </c>
      <c r="T447" s="1">
        <v>0</v>
      </c>
      <c r="V447" s="1" t="s">
        <v>11223</v>
      </c>
      <c r="W447" s="1">
        <v>100</v>
      </c>
      <c r="X447" s="1" t="s">
        <v>311</v>
      </c>
      <c r="Y447" s="1" t="s">
        <v>322</v>
      </c>
      <c r="Z447" s="1">
        <v>1</v>
      </c>
      <c r="AA447" s="1">
        <f>ROUND(H447*I447*Z447, 3)</f>
        <v>6.09</v>
      </c>
      <c r="AB447" s="1">
        <f>ROUND(VLOOKUP(X447,'Base de dados'!A:B, 2, 0)*AA447, 2)</f>
        <v>0.61</v>
      </c>
      <c r="AC447" s="1">
        <f>ROUND((AA447*(Destino!AG447/100))*(W447/100),2)</f>
        <v>0.43</v>
      </c>
      <c r="AD447" s="1">
        <f>ROUND(AA447*(Destino!AH447/100),2)</f>
        <v>0.56000000000000005</v>
      </c>
      <c r="AF447" s="1">
        <f>ROUND((AA447+ AB447)*(J447/100),2)</f>
        <v>0.13</v>
      </c>
      <c r="AG447" s="1">
        <f>ROUND(AA447*T447,2)</f>
        <v>0</v>
      </c>
      <c r="AH447" s="1">
        <f>ROUND(AA447-(AC447+AD447)+AF447+AG447, 3)</f>
        <v>5.23</v>
      </c>
      <c r="AI447" s="1">
        <f>AH447*M447*K447</f>
        <v>5.23</v>
      </c>
      <c r="BA447" s="1" t="s">
        <v>11722</v>
      </c>
      <c r="BB447" s="1">
        <f>AI447</f>
        <v>5.23</v>
      </c>
      <c r="BD447" s="1">
        <f>N447</f>
        <v>1</v>
      </c>
    </row>
    <row r="448" spans="1:56" x14ac:dyDescent="0.25">
      <c r="A448" s="1">
        <v>600002807</v>
      </c>
      <c r="B448" s="1">
        <v>1110</v>
      </c>
      <c r="C448" s="1">
        <v>2200001473</v>
      </c>
      <c r="D448" s="1" t="s">
        <v>303</v>
      </c>
      <c r="E448" s="1" t="str">
        <f>IF(AND(B448&lt;&gt;1110,B448&lt;&gt;1210,B448&lt;&gt;1510,B448&lt;&gt;1710),B448,IF(B448=1110,"1100",IF(B448=1210,"1200",IF(B448=1510,"1500",IF(B448=1710,"1700","X")))))</f>
        <v>1100</v>
      </c>
      <c r="F448" s="1" t="s">
        <v>447</v>
      </c>
      <c r="G448" s="1" t="s">
        <v>302</v>
      </c>
      <c r="H448" s="1">
        <f>ROUND(P448/(1-((R448+S448))/100)*Q448, 3)</f>
        <v>13.532999999999999</v>
      </c>
      <c r="I448" s="1">
        <v>0.45</v>
      </c>
      <c r="J448" s="1">
        <v>4</v>
      </c>
      <c r="K448" s="1">
        <v>1</v>
      </c>
      <c r="L448" s="1" t="s">
        <v>292</v>
      </c>
      <c r="M448" s="1">
        <v>1</v>
      </c>
      <c r="N448" s="1">
        <v>0.75210100000000002</v>
      </c>
      <c r="O448" s="1" t="s">
        <v>296</v>
      </c>
      <c r="P448" s="1">
        <v>11.334</v>
      </c>
      <c r="Q448" s="1">
        <v>1</v>
      </c>
      <c r="R448" s="1">
        <v>7</v>
      </c>
      <c r="S448" s="1">
        <v>9.25</v>
      </c>
      <c r="T448" s="1">
        <v>0</v>
      </c>
      <c r="V448" s="1" t="s">
        <v>11223</v>
      </c>
      <c r="W448" s="1">
        <v>100</v>
      </c>
      <c r="X448" s="1" t="s">
        <v>311</v>
      </c>
      <c r="Y448" s="1" t="s">
        <v>322</v>
      </c>
      <c r="Z448" s="1">
        <v>1</v>
      </c>
      <c r="AA448" s="1">
        <f>ROUND(H448*I448*Z448, 3)</f>
        <v>6.09</v>
      </c>
      <c r="AB448" s="1">
        <f>ROUND(VLOOKUP(X448,'Base de dados'!A:B, 2, 0)*AA448, 2)</f>
        <v>0.61</v>
      </c>
      <c r="AC448" s="1">
        <f>ROUND((AA448*(Destino!AG448/100))*(W448/100),2)</f>
        <v>0.43</v>
      </c>
      <c r="AD448" s="1">
        <f>ROUND(AA448*(Destino!AH448/100),2)</f>
        <v>0.56000000000000005</v>
      </c>
      <c r="AE448" s="1">
        <f>ROUND((((AA448+AB448)*1.5039)*(Destino!AI448/100))-AC448,2)</f>
        <v>1.28</v>
      </c>
      <c r="AF448" s="1">
        <f>ROUND((AA448+AB448+AE448)*(J448/100),2)</f>
        <v>0.32</v>
      </c>
      <c r="AG448" s="1">
        <f>ROUND(AA448*T448,2)</f>
        <v>0</v>
      </c>
      <c r="AH448" s="1">
        <f>ROUND(AA448-AD448+AE448+AF448+AG448, 3)</f>
        <v>7.13</v>
      </c>
      <c r="AI448" s="1">
        <f>AH448*M448*K448</f>
        <v>7.13</v>
      </c>
      <c r="BA448" s="1" t="s">
        <v>11723</v>
      </c>
      <c r="BB448" s="1">
        <f>AI448</f>
        <v>7.13</v>
      </c>
      <c r="BD448" s="1">
        <f>N448</f>
        <v>0.75210100000000002</v>
      </c>
    </row>
    <row r="449" spans="1:56" x14ac:dyDescent="0.25">
      <c r="A449" s="1">
        <v>600002807</v>
      </c>
      <c r="B449" s="1">
        <v>1400</v>
      </c>
      <c r="C449" s="1">
        <v>2200001473</v>
      </c>
      <c r="D449" s="1" t="s">
        <v>303</v>
      </c>
      <c r="E449" s="1">
        <f>IF(AND(B449&lt;&gt;1110,B449&lt;&gt;1210,B449&lt;&gt;1510,B449&lt;&gt;1710),B449,IF(B449=1110,"1100",IF(B449=1210,"1200",IF(B449=1510,"1500",IF(B449=1710,"1700","X")))))</f>
        <v>1400</v>
      </c>
      <c r="F449" s="1" t="s">
        <v>11198</v>
      </c>
      <c r="G449" s="1" t="s">
        <v>302</v>
      </c>
      <c r="H449" s="1">
        <f>ROUND(P449/(1-((R449+S449))/100)*Q449, 3)</f>
        <v>15.579000000000001</v>
      </c>
      <c r="I449" s="1">
        <v>0.45</v>
      </c>
      <c r="J449" s="1">
        <v>1.5</v>
      </c>
      <c r="K449" s="1">
        <v>1</v>
      </c>
      <c r="L449" s="1" t="s">
        <v>292</v>
      </c>
      <c r="M449" s="1">
        <v>1</v>
      </c>
      <c r="N449" s="1">
        <v>1</v>
      </c>
      <c r="O449" s="1" t="s">
        <v>296</v>
      </c>
      <c r="P449" s="1">
        <v>11.334</v>
      </c>
      <c r="Q449" s="1">
        <v>1</v>
      </c>
      <c r="R449" s="1">
        <v>18</v>
      </c>
      <c r="S449" s="1">
        <v>9.25</v>
      </c>
      <c r="T449" s="1">
        <v>0</v>
      </c>
      <c r="V449" s="1" t="s">
        <v>11223</v>
      </c>
      <c r="W449" s="1">
        <v>100</v>
      </c>
      <c r="X449" s="1" t="s">
        <v>311</v>
      </c>
      <c r="Y449" s="1" t="s">
        <v>322</v>
      </c>
      <c r="Z449" s="1">
        <v>1</v>
      </c>
      <c r="AA449" s="1">
        <f>ROUND(H449*I449*Z449, 3)</f>
        <v>7.0110000000000001</v>
      </c>
      <c r="AB449" s="1">
        <f>ROUND(VLOOKUP(X449,'Base de dados'!A:B, 2, 0)*AA449, 2)</f>
        <v>0.7</v>
      </c>
      <c r="AC449" s="1">
        <f>ROUND((AA449*(Destino!AG449/100))*(W449/100),2)</f>
        <v>1.26</v>
      </c>
      <c r="AD449" s="1">
        <f>ROUND(AA449*(Destino!AH449/100),2)</f>
        <v>0.65</v>
      </c>
      <c r="AF449" s="1">
        <f>ROUND((AA449+ AB449)*(J449/100),2)</f>
        <v>0.12</v>
      </c>
      <c r="AG449" s="1">
        <f>ROUND(AA449*T449,2)</f>
        <v>0</v>
      </c>
      <c r="AH449" s="1">
        <f>ROUND(AA449-(AC449+AD449)+AF449+AG449, 3)</f>
        <v>5.2210000000000001</v>
      </c>
      <c r="AI449" s="1">
        <f>AH449*M449*K449</f>
        <v>5.2210000000000001</v>
      </c>
      <c r="BA449" s="1" t="s">
        <v>11443</v>
      </c>
      <c r="BB449" s="1">
        <f>AI449</f>
        <v>5.2210000000000001</v>
      </c>
      <c r="BD449" s="1">
        <f>N449</f>
        <v>1</v>
      </c>
    </row>
    <row r="450" spans="1:56" x14ac:dyDescent="0.25">
      <c r="A450" s="1">
        <v>600002807</v>
      </c>
      <c r="B450" s="1">
        <v>1700</v>
      </c>
      <c r="C450" s="1">
        <v>2200001421</v>
      </c>
      <c r="D450" s="1" t="s">
        <v>303</v>
      </c>
      <c r="E450" s="1">
        <f>IF(AND(B450&lt;&gt;1110,B450&lt;&gt;1210,B450&lt;&gt;1510,B450&lt;&gt;1710),B450,IF(B450=1110,"1100",IF(B450=1210,"1200",IF(B450=1510,"1500",IF(B450=1710,"1700","X")))))</f>
        <v>1700</v>
      </c>
      <c r="F450" s="1" t="s">
        <v>11238</v>
      </c>
      <c r="G450" s="1" t="s">
        <v>302</v>
      </c>
      <c r="H450" s="1">
        <f>ROUND(P450/(1-((R450+S450))/100)*Q450, 3)</f>
        <v>6.234</v>
      </c>
      <c r="I450" s="1">
        <v>0.25</v>
      </c>
      <c r="J450" s="1">
        <v>3</v>
      </c>
      <c r="K450" s="1">
        <v>1</v>
      </c>
      <c r="L450" s="1" t="s">
        <v>292</v>
      </c>
      <c r="M450" s="1">
        <v>4</v>
      </c>
      <c r="N450" s="1">
        <v>1</v>
      </c>
      <c r="O450" s="1" t="s">
        <v>296</v>
      </c>
      <c r="P450" s="1">
        <f>IFERROR(VLOOKUP(BC450, BA:BA:BB:BB, 2, 0),)</f>
        <v>5.2210000000000001</v>
      </c>
      <c r="Q450" s="1">
        <f>IFERROR(VLOOKUP(BC450, BA:BA:BD:BD, 4, 0),1)</f>
        <v>1</v>
      </c>
      <c r="R450" s="1">
        <v>7</v>
      </c>
      <c r="S450" s="1">
        <v>9.25</v>
      </c>
      <c r="T450" s="1">
        <v>0</v>
      </c>
      <c r="V450" s="1" t="s">
        <v>11223</v>
      </c>
      <c r="W450" s="1">
        <v>100</v>
      </c>
      <c r="X450" s="1" t="s">
        <v>311</v>
      </c>
      <c r="Y450" s="1" t="s">
        <v>322</v>
      </c>
      <c r="Z450" s="1">
        <v>1</v>
      </c>
      <c r="AA450" s="1">
        <f>ROUND(H450*I450*Z450, 3)</f>
        <v>1.5589999999999999</v>
      </c>
      <c r="AB450" s="1">
        <f>ROUND(VLOOKUP(X450,'Base de dados'!A:B, 2, 0)*AA450, 2)</f>
        <v>0.16</v>
      </c>
      <c r="AC450" s="1">
        <f>ROUND((AA450*(Destino!AG450/100))*(W450/100),2)</f>
        <v>0.11</v>
      </c>
      <c r="AD450" s="1">
        <f>ROUND(AA450*(Destino!AH450/100),2)</f>
        <v>0</v>
      </c>
      <c r="AE450" s="1">
        <f>ROUND((((AA450+AB450)*1.48)*(Destino!AI450/100))-AC450,2)</f>
        <v>0.32</v>
      </c>
      <c r="AF450" s="1">
        <f>ROUND((AA450+AB450+AE450)*(J450/100),2)</f>
        <v>0.06</v>
      </c>
      <c r="AG450" s="1">
        <f>ROUND(AA450*T450,2)</f>
        <v>0</v>
      </c>
      <c r="AH450" s="1">
        <f>ROUND(AA450+AB450-AD450+AE450+AF450+AG450, 3)</f>
        <v>2.0990000000000002</v>
      </c>
      <c r="AI450" s="1">
        <f>AH450*M450*K450</f>
        <v>8.3960000000000008</v>
      </c>
      <c r="BA450" s="1" t="s">
        <v>11333</v>
      </c>
      <c r="BB450" s="1">
        <f>AI450</f>
        <v>8.3960000000000008</v>
      </c>
      <c r="BC450" s="1" t="s">
        <v>11443</v>
      </c>
      <c r="BD450" s="1">
        <f>N450</f>
        <v>1</v>
      </c>
    </row>
    <row r="451" spans="1:56" x14ac:dyDescent="0.25">
      <c r="A451" s="1">
        <v>600002808</v>
      </c>
      <c r="B451" s="1">
        <v>1000</v>
      </c>
      <c r="C451" s="1">
        <v>2200001473</v>
      </c>
      <c r="D451" s="1" t="s">
        <v>303</v>
      </c>
      <c r="E451" s="1">
        <f>IF(AND(B451&lt;&gt;1110,B451&lt;&gt;1210,B451&lt;&gt;1510,B451&lt;&gt;1710),B451,IF(B451=1110,"1100",IF(B451=1210,"1200",IF(B451=1510,"1500",IF(B451=1710,"1700","X")))))</f>
        <v>1000</v>
      </c>
      <c r="F451" s="1" t="s">
        <v>11198</v>
      </c>
      <c r="G451" s="1" t="s">
        <v>302</v>
      </c>
      <c r="H451" s="1">
        <f>ROUND(P451/(1-((R451+S451))/100)*Q451, 3)</f>
        <v>22.056999999999999</v>
      </c>
      <c r="I451" s="1">
        <v>0.45</v>
      </c>
      <c r="J451" s="1">
        <v>1.5</v>
      </c>
      <c r="K451" s="1">
        <v>1</v>
      </c>
      <c r="L451" s="1" t="s">
        <v>292</v>
      </c>
      <c r="M451" s="1">
        <v>1</v>
      </c>
      <c r="N451" s="1">
        <v>1</v>
      </c>
      <c r="O451" s="1" t="s">
        <v>296</v>
      </c>
      <c r="P451" s="1">
        <v>17.37</v>
      </c>
      <c r="Q451" s="1">
        <v>1</v>
      </c>
      <c r="R451" s="1">
        <v>12</v>
      </c>
      <c r="S451" s="1">
        <v>9.25</v>
      </c>
      <c r="T451" s="1">
        <v>0</v>
      </c>
      <c r="V451" s="1" t="s">
        <v>11223</v>
      </c>
      <c r="W451" s="1">
        <v>100</v>
      </c>
      <c r="X451" s="1" t="s">
        <v>311</v>
      </c>
      <c r="Y451" s="1" t="s">
        <v>299</v>
      </c>
      <c r="Z451" s="1">
        <v>1</v>
      </c>
      <c r="AA451" s="1">
        <f>ROUND(H451*I451*Z451, 3)</f>
        <v>9.9260000000000002</v>
      </c>
      <c r="AB451" s="1">
        <f>ROUND(VLOOKUP(X451,'Base de dados'!A:B, 2, 0)*AA451, 2)</f>
        <v>0.99</v>
      </c>
      <c r="AC451" s="1">
        <f>ROUND((AA451*(Destino!AG451/100))*(W451/100),2)</f>
        <v>1.19</v>
      </c>
      <c r="AD451" s="1">
        <f>ROUND(AA451*(Destino!AH451/100),2)</f>
        <v>0.92</v>
      </c>
      <c r="AF451" s="1">
        <f>ROUND((AA451+ AB451)*(J451/100),2)</f>
        <v>0.16</v>
      </c>
      <c r="AG451" s="1">
        <f>ROUND(AA451*T451,2)</f>
        <v>0</v>
      </c>
      <c r="AH451" s="1">
        <f>ROUND(AA451-(AC451+AD451)+AF451+AG451, 3)</f>
        <v>7.976</v>
      </c>
      <c r="AI451" s="1">
        <f>AH451*M451*K451</f>
        <v>7.976</v>
      </c>
      <c r="BA451" s="1" t="s">
        <v>11724</v>
      </c>
      <c r="BB451" s="1">
        <f>AI451</f>
        <v>7.976</v>
      </c>
      <c r="BD451" s="1">
        <f>N451</f>
        <v>1</v>
      </c>
    </row>
    <row r="452" spans="1:56" x14ac:dyDescent="0.25">
      <c r="A452" s="1">
        <v>600002808</v>
      </c>
      <c r="B452" s="1">
        <v>1100</v>
      </c>
      <c r="C452" s="1">
        <v>2200001473</v>
      </c>
      <c r="D452" s="1" t="s">
        <v>303</v>
      </c>
      <c r="E452" s="1">
        <f>IF(AND(B452&lt;&gt;1110,B452&lt;&gt;1210,B452&lt;&gt;1510,B452&lt;&gt;1710),B452,IF(B452=1110,"1100",IF(B452=1210,"1200",IF(B452=1510,"1500",IF(B452=1710,"1700","X")))))</f>
        <v>1100</v>
      </c>
      <c r="F452" s="1" t="s">
        <v>11198</v>
      </c>
      <c r="G452" s="1" t="s">
        <v>302</v>
      </c>
      <c r="H452" s="1">
        <f>ROUND(P452/(1-((R452+S452))/100)*Q452, 3)</f>
        <v>20.744</v>
      </c>
      <c r="I452" s="1">
        <v>0.45</v>
      </c>
      <c r="J452" s="1">
        <v>2</v>
      </c>
      <c r="K452" s="1">
        <v>1</v>
      </c>
      <c r="L452" s="1" t="s">
        <v>292</v>
      </c>
      <c r="M452" s="1">
        <v>1</v>
      </c>
      <c r="N452" s="1">
        <v>1</v>
      </c>
      <c r="O452" s="1" t="s">
        <v>296</v>
      </c>
      <c r="P452" s="1">
        <v>17.373000000000001</v>
      </c>
      <c r="Q452" s="1">
        <v>1</v>
      </c>
      <c r="R452" s="1">
        <v>7</v>
      </c>
      <c r="S452" s="1">
        <v>9.25</v>
      </c>
      <c r="T452" s="1">
        <v>0</v>
      </c>
      <c r="V452" s="1" t="s">
        <v>11223</v>
      </c>
      <c r="W452" s="1">
        <v>100</v>
      </c>
      <c r="X452" s="1" t="s">
        <v>311</v>
      </c>
      <c r="Y452" s="1" t="s">
        <v>299</v>
      </c>
      <c r="Z452" s="1">
        <v>1</v>
      </c>
      <c r="AA452" s="1">
        <f>ROUND(H452*I452*Z452, 3)</f>
        <v>9.3350000000000009</v>
      </c>
      <c r="AB452" s="1">
        <f>ROUND(VLOOKUP(X452,'Base de dados'!A:B, 2, 0)*AA452, 2)</f>
        <v>0.93</v>
      </c>
      <c r="AC452" s="1">
        <f>ROUND((AA452*(Destino!AG452/100))*(W452/100),2)</f>
        <v>0.65</v>
      </c>
      <c r="AD452" s="1">
        <f>ROUND(AA452*(Destino!AH452/100),2)</f>
        <v>0.86</v>
      </c>
      <c r="AF452" s="1">
        <f>ROUND((AA452+ AB452)*(J452/100),2)</f>
        <v>0.21</v>
      </c>
      <c r="AG452" s="1">
        <f>ROUND(AA452*T452,2)</f>
        <v>0</v>
      </c>
      <c r="AH452" s="1">
        <f>ROUND(AA452-(AC452+AD452)+AF452+AG452, 3)</f>
        <v>8.0350000000000001</v>
      </c>
      <c r="AI452" s="1">
        <f>AH452*M452*K452</f>
        <v>8.0350000000000001</v>
      </c>
      <c r="BA452" s="1" t="s">
        <v>11725</v>
      </c>
      <c r="BB452" s="1">
        <f>AI452</f>
        <v>8.0350000000000001</v>
      </c>
      <c r="BD452" s="1">
        <f>N452</f>
        <v>1</v>
      </c>
    </row>
    <row r="453" spans="1:56" x14ac:dyDescent="0.25">
      <c r="A453" s="1">
        <v>600002808</v>
      </c>
      <c r="B453" s="1">
        <v>1400</v>
      </c>
      <c r="C453" s="1">
        <v>2200001473</v>
      </c>
      <c r="D453" s="1" t="s">
        <v>303</v>
      </c>
      <c r="E453" s="1">
        <f>IF(AND(B453&lt;&gt;1110,B453&lt;&gt;1210,B453&lt;&gt;1510,B453&lt;&gt;1710),B453,IF(B453=1110,"1100",IF(B453=1210,"1200",IF(B453=1510,"1500",IF(B453=1710,"1700","X")))))</f>
        <v>1400</v>
      </c>
      <c r="F453" s="1" t="s">
        <v>11198</v>
      </c>
      <c r="G453" s="1" t="s">
        <v>302</v>
      </c>
      <c r="H453" s="1">
        <f>ROUND(P453/(1-((R453+S453))/100)*Q453, 3)</f>
        <v>23.88</v>
      </c>
      <c r="I453" s="1">
        <v>0.45</v>
      </c>
      <c r="J453" s="1">
        <v>1.5</v>
      </c>
      <c r="K453" s="1">
        <v>1</v>
      </c>
      <c r="L453" s="1" t="s">
        <v>292</v>
      </c>
      <c r="M453" s="1">
        <v>1</v>
      </c>
      <c r="N453" s="1">
        <v>1</v>
      </c>
      <c r="O453" s="1" t="s">
        <v>296</v>
      </c>
      <c r="P453" s="1">
        <v>17.373000000000001</v>
      </c>
      <c r="Q453" s="1">
        <v>1</v>
      </c>
      <c r="R453" s="1">
        <v>18</v>
      </c>
      <c r="S453" s="1">
        <v>9.25</v>
      </c>
      <c r="T453" s="1">
        <v>0</v>
      </c>
      <c r="V453" s="1" t="s">
        <v>11223</v>
      </c>
      <c r="W453" s="1">
        <v>100</v>
      </c>
      <c r="X453" s="1" t="s">
        <v>311</v>
      </c>
      <c r="Y453" s="1" t="s">
        <v>299</v>
      </c>
      <c r="Z453" s="1">
        <v>1</v>
      </c>
      <c r="AA453" s="1">
        <f>ROUND(H453*I453*Z453, 3)</f>
        <v>10.746</v>
      </c>
      <c r="AB453" s="1">
        <f>ROUND(VLOOKUP(X453,'Base de dados'!A:B, 2, 0)*AA453, 2)</f>
        <v>1.07</v>
      </c>
      <c r="AC453" s="1">
        <f>ROUND((AA453*(Destino!AG453/100))*(W453/100),2)</f>
        <v>1.93</v>
      </c>
      <c r="AD453" s="1">
        <f>ROUND(AA453*(Destino!AH453/100),2)</f>
        <v>0.99</v>
      </c>
      <c r="AF453" s="1">
        <f>ROUND((AA453+ AB453)*(J453/100),2)</f>
        <v>0.18</v>
      </c>
      <c r="AG453" s="1">
        <f>ROUND(AA453*T453,2)</f>
        <v>0</v>
      </c>
      <c r="AH453" s="1">
        <f>ROUND(AA453-(AC453+AD453)+AF453+AG453, 3)</f>
        <v>8.0060000000000002</v>
      </c>
      <c r="AI453" s="1">
        <f>AH453*M453*K453</f>
        <v>8.0060000000000002</v>
      </c>
      <c r="BA453" s="1" t="s">
        <v>11444</v>
      </c>
      <c r="BB453" s="1">
        <f>AI453</f>
        <v>8.0060000000000002</v>
      </c>
      <c r="BD453" s="1">
        <f>N453</f>
        <v>1</v>
      </c>
    </row>
    <row r="454" spans="1:56" x14ac:dyDescent="0.25">
      <c r="A454" s="1">
        <v>600002808</v>
      </c>
      <c r="B454" s="1">
        <v>1700</v>
      </c>
      <c r="C454" s="1">
        <v>2200001421</v>
      </c>
      <c r="D454" s="1" t="s">
        <v>303</v>
      </c>
      <c r="E454" s="1">
        <f>IF(AND(B454&lt;&gt;1110,B454&lt;&gt;1210,B454&lt;&gt;1510,B454&lt;&gt;1710),B454,IF(B454=1110,"1100",IF(B454=1210,"1200",IF(B454=1510,"1500",IF(B454=1710,"1700","X")))))</f>
        <v>1700</v>
      </c>
      <c r="F454" s="1" t="s">
        <v>11238</v>
      </c>
      <c r="G454" s="1" t="s">
        <v>302</v>
      </c>
      <c r="H454" s="1">
        <f>ROUND(P454/(1-((R454+S454))/100)*Q454, 3)</f>
        <v>9.5589999999999993</v>
      </c>
      <c r="I454" s="1">
        <v>0.25</v>
      </c>
      <c r="J454" s="1">
        <v>3</v>
      </c>
      <c r="K454" s="1">
        <v>1</v>
      </c>
      <c r="L454" s="1" t="s">
        <v>292</v>
      </c>
      <c r="M454" s="1">
        <v>4</v>
      </c>
      <c r="N454" s="1">
        <v>1</v>
      </c>
      <c r="O454" s="1" t="s">
        <v>296</v>
      </c>
      <c r="P454" s="1">
        <f>IFERROR(VLOOKUP(BC454, BA:BA:BB:BB, 2, 0),)</f>
        <v>8.0060000000000002</v>
      </c>
      <c r="Q454" s="1">
        <f>IFERROR(VLOOKUP(BC454, BA:BA:BD:BD, 4, 0),1)</f>
        <v>1</v>
      </c>
      <c r="R454" s="1">
        <v>7</v>
      </c>
      <c r="S454" s="1">
        <v>9.25</v>
      </c>
      <c r="T454" s="1">
        <v>0</v>
      </c>
      <c r="V454" s="1" t="s">
        <v>11223</v>
      </c>
      <c r="W454" s="1">
        <v>100</v>
      </c>
      <c r="X454" s="1" t="s">
        <v>311</v>
      </c>
      <c r="Y454" s="1" t="s">
        <v>299</v>
      </c>
      <c r="Z454" s="1">
        <v>1</v>
      </c>
      <c r="AA454" s="1">
        <f>ROUND(H454*I454*Z454, 3)</f>
        <v>2.39</v>
      </c>
      <c r="AB454" s="1">
        <f>ROUND(VLOOKUP(X454,'Base de dados'!A:B, 2, 0)*AA454, 2)</f>
        <v>0.24</v>
      </c>
      <c r="AC454" s="1">
        <f>ROUND((AA454*(Destino!AG454/100))*(W454/100),2)</f>
        <v>0.17</v>
      </c>
      <c r="AD454" s="1">
        <f>ROUND(AA454*(Destino!AH454/100),2)</f>
        <v>0</v>
      </c>
      <c r="AE454" s="1">
        <f>ROUND((((AA454+AB454)*1.48)*(Destino!AI454/100))-AC454,2)</f>
        <v>0.49</v>
      </c>
      <c r="AF454" s="1">
        <f>ROUND((AA454+AB454+AE454)*(J454/100),2)</f>
        <v>0.09</v>
      </c>
      <c r="AG454" s="1">
        <f>ROUND(AA454*T454,2)</f>
        <v>0</v>
      </c>
      <c r="AH454" s="1">
        <f>ROUND(AA454+AB454-AD454+AE454+AF454+AG454, 3)</f>
        <v>3.21</v>
      </c>
      <c r="AI454" s="1">
        <f>AH454*M454*K454</f>
        <v>12.84</v>
      </c>
      <c r="BA454" s="1" t="s">
        <v>11334</v>
      </c>
      <c r="BB454" s="1">
        <f>AI454</f>
        <v>12.84</v>
      </c>
      <c r="BC454" s="1" t="s">
        <v>11444</v>
      </c>
      <c r="BD454" s="1">
        <f>N454</f>
        <v>1</v>
      </c>
    </row>
    <row r="455" spans="1:56" x14ac:dyDescent="0.25">
      <c r="A455" s="1">
        <v>600002817</v>
      </c>
      <c r="B455" s="1">
        <v>1000</v>
      </c>
      <c r="C455" s="1">
        <v>2200001473</v>
      </c>
      <c r="D455" s="1" t="s">
        <v>303</v>
      </c>
      <c r="E455" s="1">
        <f>IF(AND(B455&lt;&gt;1110,B455&lt;&gt;1210,B455&lt;&gt;1510,B455&lt;&gt;1710),B455,IF(B455=1110,"1100",IF(B455=1210,"1200",IF(B455=1510,"1500",IF(B455=1710,"1700","X")))))</f>
        <v>1000</v>
      </c>
      <c r="F455" s="1" t="s">
        <v>11198</v>
      </c>
      <c r="G455" s="1" t="s">
        <v>302</v>
      </c>
      <c r="H455" s="1">
        <f>ROUND(P455/(1-((R455+S455))/100)*Q455, 3)</f>
        <v>17.042999999999999</v>
      </c>
      <c r="I455" s="1">
        <v>0.45</v>
      </c>
      <c r="J455" s="1">
        <v>1.5</v>
      </c>
      <c r="K455" s="1">
        <v>1</v>
      </c>
      <c r="L455" s="1" t="s">
        <v>292</v>
      </c>
      <c r="M455" s="1">
        <v>1</v>
      </c>
      <c r="N455" s="1">
        <v>1</v>
      </c>
      <c r="O455" s="1" t="s">
        <v>296</v>
      </c>
      <c r="P455" s="1">
        <v>13.420999999999999</v>
      </c>
      <c r="Q455" s="1">
        <v>1</v>
      </c>
      <c r="R455" s="1">
        <v>12</v>
      </c>
      <c r="S455" s="1">
        <v>9.25</v>
      </c>
      <c r="T455" s="1">
        <v>0</v>
      </c>
      <c r="V455" s="1" t="s">
        <v>11223</v>
      </c>
      <c r="W455" s="1">
        <v>100</v>
      </c>
      <c r="X455" s="1" t="s">
        <v>311</v>
      </c>
      <c r="Y455" s="1" t="s">
        <v>322</v>
      </c>
      <c r="Z455" s="1">
        <v>1</v>
      </c>
      <c r="AA455" s="1">
        <f>ROUND(H455*I455*Z455, 3)</f>
        <v>7.6689999999999996</v>
      </c>
      <c r="AB455" s="1">
        <f>ROUND(VLOOKUP(X455,'Base de dados'!A:B, 2, 0)*AA455, 2)</f>
        <v>0.77</v>
      </c>
      <c r="AC455" s="1">
        <f>ROUND((AA455*(Destino!AG455/100))*(W455/100),2)</f>
        <v>0.92</v>
      </c>
      <c r="AD455" s="1">
        <f>ROUND(AA455*(Destino!AH455/100),2)</f>
        <v>0.71</v>
      </c>
      <c r="AF455" s="1">
        <f>ROUND((AA455+ AB455)*(J455/100),2)</f>
        <v>0.13</v>
      </c>
      <c r="AG455" s="1">
        <f>ROUND(AA455*T455,2)</f>
        <v>0</v>
      </c>
      <c r="AH455" s="1">
        <f>ROUND(AA455-(AC455+AD455)+AF455+AG455, 3)</f>
        <v>6.1689999999999996</v>
      </c>
      <c r="AI455" s="1">
        <f>AH455*M455*K455</f>
        <v>6.1689999999999996</v>
      </c>
      <c r="BA455" s="1" t="s">
        <v>11726</v>
      </c>
      <c r="BB455" s="1">
        <f>AI455</f>
        <v>6.1689999999999996</v>
      </c>
      <c r="BD455" s="1">
        <f>N455</f>
        <v>1</v>
      </c>
    </row>
    <row r="456" spans="1:56" x14ac:dyDescent="0.25">
      <c r="A456" s="1">
        <v>600002817</v>
      </c>
      <c r="B456" s="1">
        <v>1100</v>
      </c>
      <c r="C456" s="1">
        <v>2200001473</v>
      </c>
      <c r="D456" s="1" t="s">
        <v>303</v>
      </c>
      <c r="E456" s="1">
        <f>IF(AND(B456&lt;&gt;1110,B456&lt;&gt;1210,B456&lt;&gt;1510,B456&lt;&gt;1710),B456,IF(B456=1110,"1100",IF(B456=1210,"1200",IF(B456=1510,"1500",IF(B456=1710,"1700","X")))))</f>
        <v>1100</v>
      </c>
      <c r="F456" s="1" t="s">
        <v>11198</v>
      </c>
      <c r="G456" s="1" t="s">
        <v>302</v>
      </c>
      <c r="H456" s="1">
        <f>ROUND(P456/(1-((R456+S456))/100)*Q456, 3)</f>
        <v>16.026</v>
      </c>
      <c r="I456" s="1">
        <v>0.45</v>
      </c>
      <c r="J456" s="1">
        <v>2</v>
      </c>
      <c r="K456" s="1">
        <v>1</v>
      </c>
      <c r="L456" s="1" t="s">
        <v>292</v>
      </c>
      <c r="M456" s="1">
        <v>1</v>
      </c>
      <c r="N456" s="1">
        <v>1</v>
      </c>
      <c r="O456" s="1" t="s">
        <v>296</v>
      </c>
      <c r="P456" s="1">
        <v>13.422000000000001</v>
      </c>
      <c r="Q456" s="1">
        <v>1</v>
      </c>
      <c r="R456" s="1">
        <v>7</v>
      </c>
      <c r="S456" s="1">
        <v>9.25</v>
      </c>
      <c r="T456" s="1">
        <v>0</v>
      </c>
      <c r="V456" s="1" t="s">
        <v>11223</v>
      </c>
      <c r="W456" s="1">
        <v>100</v>
      </c>
      <c r="X456" s="1" t="s">
        <v>311</v>
      </c>
      <c r="Y456" s="1" t="s">
        <v>322</v>
      </c>
      <c r="Z456" s="1">
        <v>1</v>
      </c>
      <c r="AA456" s="1">
        <f>ROUND(H456*I456*Z456, 3)</f>
        <v>7.2119999999999997</v>
      </c>
      <c r="AB456" s="1">
        <f>ROUND(VLOOKUP(X456,'Base de dados'!A:B, 2, 0)*AA456, 2)</f>
        <v>0.72</v>
      </c>
      <c r="AC456" s="1">
        <f>ROUND((AA456*(Destino!AG456/100))*(W456/100),2)</f>
        <v>0.5</v>
      </c>
      <c r="AD456" s="1">
        <f>ROUND(AA456*(Destino!AH456/100),2)</f>
        <v>0.67</v>
      </c>
      <c r="AF456" s="1">
        <f>ROUND((AA456+ AB456)*(J456/100),2)</f>
        <v>0.16</v>
      </c>
      <c r="AG456" s="1">
        <f>ROUND(AA456*T456,2)</f>
        <v>0</v>
      </c>
      <c r="AH456" s="1">
        <f>ROUND(AA456-(AC456+AD456)+AF456+AG456, 3)</f>
        <v>6.202</v>
      </c>
      <c r="AI456" s="1">
        <f>AH456*M456*K456</f>
        <v>6.202</v>
      </c>
      <c r="BA456" s="1" t="s">
        <v>11727</v>
      </c>
      <c r="BB456" s="1">
        <f>AI456</f>
        <v>6.202</v>
      </c>
      <c r="BD456" s="1">
        <f>N456</f>
        <v>1</v>
      </c>
    </row>
    <row r="457" spans="1:56" x14ac:dyDescent="0.25">
      <c r="A457" s="1">
        <v>600002817</v>
      </c>
      <c r="B457" s="1">
        <v>1110</v>
      </c>
      <c r="C457" s="1">
        <v>2200001473</v>
      </c>
      <c r="D457" s="1" t="s">
        <v>303</v>
      </c>
      <c r="E457" s="1" t="str">
        <f>IF(AND(B457&lt;&gt;1110,B457&lt;&gt;1210,B457&lt;&gt;1510,B457&lt;&gt;1710),B457,IF(B457=1110,"1100",IF(B457=1210,"1200",IF(B457=1510,"1500",IF(B457=1710,"1700","X")))))</f>
        <v>1100</v>
      </c>
      <c r="F457" s="1" t="s">
        <v>447</v>
      </c>
      <c r="G457" s="1" t="s">
        <v>302</v>
      </c>
      <c r="H457" s="1">
        <f>ROUND(P457/(1-((R457+S457))/100)*Q457, 3)</f>
        <v>16.026</v>
      </c>
      <c r="I457" s="1">
        <v>0.45</v>
      </c>
      <c r="J457" s="1">
        <v>4</v>
      </c>
      <c r="K457" s="1">
        <v>1</v>
      </c>
      <c r="L457" s="1" t="s">
        <v>292</v>
      </c>
      <c r="M457" s="1">
        <v>1</v>
      </c>
      <c r="N457" s="1">
        <v>0.75153800000000004</v>
      </c>
      <c r="O457" s="1" t="s">
        <v>296</v>
      </c>
      <c r="P457" s="1">
        <v>13.422000000000001</v>
      </c>
      <c r="Q457" s="1">
        <v>1</v>
      </c>
      <c r="R457" s="1">
        <v>7</v>
      </c>
      <c r="S457" s="1">
        <v>9.25</v>
      </c>
      <c r="T457" s="1">
        <v>0</v>
      </c>
      <c r="V457" s="1" t="s">
        <v>11223</v>
      </c>
      <c r="W457" s="1">
        <v>100</v>
      </c>
      <c r="X457" s="1" t="s">
        <v>311</v>
      </c>
      <c r="Y457" s="1" t="s">
        <v>322</v>
      </c>
      <c r="Z457" s="1">
        <v>1</v>
      </c>
      <c r="AA457" s="1">
        <f>ROUND(H457*I457*Z457, 3)</f>
        <v>7.2119999999999997</v>
      </c>
      <c r="AB457" s="1">
        <f>ROUND(VLOOKUP(X457,'Base de dados'!A:B, 2, 0)*AA457, 2)</f>
        <v>0.72</v>
      </c>
      <c r="AC457" s="1">
        <f>ROUND((AA457*(Destino!AG457/100))*(W457/100),2)</f>
        <v>0.5</v>
      </c>
      <c r="AD457" s="1">
        <f>ROUND(AA457*(Destino!AH457/100),2)</f>
        <v>0.67</v>
      </c>
      <c r="AE457" s="1">
        <f>ROUND((((AA457+AB457)*1.5039)*(Destino!AI457/100))-AC457,2)</f>
        <v>1.53</v>
      </c>
      <c r="AF457" s="1">
        <f>ROUND((AA457+AB457+AE457)*(J457/100),2)</f>
        <v>0.38</v>
      </c>
      <c r="AG457" s="1">
        <f>ROUND(AA457*T457,2)</f>
        <v>0</v>
      </c>
      <c r="AH457" s="1">
        <f>ROUND(AA457-AD457+AE457+AF457+AG457, 3)</f>
        <v>8.452</v>
      </c>
      <c r="AI457" s="1">
        <f>AH457*M457*K457</f>
        <v>8.452</v>
      </c>
      <c r="BA457" s="1" t="s">
        <v>11728</v>
      </c>
      <c r="BB457" s="1">
        <f>AI457</f>
        <v>8.452</v>
      </c>
      <c r="BD457" s="1">
        <f>N457</f>
        <v>0.75153800000000004</v>
      </c>
    </row>
    <row r="458" spans="1:56" x14ac:dyDescent="0.25">
      <c r="A458" s="1">
        <v>600002817</v>
      </c>
      <c r="B458" s="1">
        <v>1400</v>
      </c>
      <c r="C458" s="1">
        <v>2200001473</v>
      </c>
      <c r="D458" s="1" t="s">
        <v>303</v>
      </c>
      <c r="E458" s="1">
        <f>IF(AND(B458&lt;&gt;1110,B458&lt;&gt;1210,B458&lt;&gt;1510,B458&lt;&gt;1710),B458,IF(B458=1110,"1100",IF(B458=1210,"1200",IF(B458=1510,"1500",IF(B458=1710,"1700","X")))))</f>
        <v>1400</v>
      </c>
      <c r="F458" s="1" t="s">
        <v>11198</v>
      </c>
      <c r="G458" s="1" t="s">
        <v>302</v>
      </c>
      <c r="H458" s="1">
        <f>ROUND(P458/(1-((R458+S458))/100)*Q458, 3)</f>
        <v>18.449000000000002</v>
      </c>
      <c r="I458" s="1">
        <v>0.45</v>
      </c>
      <c r="J458" s="1">
        <v>1.5</v>
      </c>
      <c r="K458" s="1">
        <v>1</v>
      </c>
      <c r="L458" s="1" t="s">
        <v>292</v>
      </c>
      <c r="M458" s="1">
        <v>1</v>
      </c>
      <c r="N458" s="1">
        <v>1</v>
      </c>
      <c r="O458" s="1" t="s">
        <v>296</v>
      </c>
      <c r="P458" s="1">
        <v>13.422000000000001</v>
      </c>
      <c r="Q458" s="1">
        <v>1</v>
      </c>
      <c r="R458" s="1">
        <v>18</v>
      </c>
      <c r="S458" s="1">
        <v>9.25</v>
      </c>
      <c r="T458" s="1">
        <v>0</v>
      </c>
      <c r="V458" s="1" t="s">
        <v>11223</v>
      </c>
      <c r="W458" s="1">
        <v>100</v>
      </c>
      <c r="X458" s="1" t="s">
        <v>311</v>
      </c>
      <c r="Y458" s="1" t="s">
        <v>322</v>
      </c>
      <c r="Z458" s="1">
        <v>1</v>
      </c>
      <c r="AA458" s="1">
        <f>ROUND(H458*I458*Z458, 3)</f>
        <v>8.3019999999999996</v>
      </c>
      <c r="AB458" s="1">
        <f>ROUND(VLOOKUP(X458,'Base de dados'!A:B, 2, 0)*AA458, 2)</f>
        <v>0.83</v>
      </c>
      <c r="AC458" s="1">
        <f>ROUND((AA458*(Destino!AG458/100))*(W458/100),2)</f>
        <v>1.49</v>
      </c>
      <c r="AD458" s="1">
        <f>ROUND(AA458*(Destino!AH458/100),2)</f>
        <v>0.77</v>
      </c>
      <c r="AF458" s="1">
        <f>ROUND((AA458+ AB458)*(J458/100),2)</f>
        <v>0.14000000000000001</v>
      </c>
      <c r="AG458" s="1">
        <f>ROUND(AA458*T458,2)</f>
        <v>0</v>
      </c>
      <c r="AH458" s="1">
        <f>ROUND(AA458-(AC458+AD458)+AF458+AG458, 3)</f>
        <v>6.1820000000000004</v>
      </c>
      <c r="AI458" s="1">
        <f>AH458*M458*K458</f>
        <v>6.1820000000000004</v>
      </c>
      <c r="BA458" s="1" t="s">
        <v>11445</v>
      </c>
      <c r="BB458" s="1">
        <f>AI458</f>
        <v>6.1820000000000004</v>
      </c>
      <c r="BD458" s="1">
        <f>N458</f>
        <v>1</v>
      </c>
    </row>
    <row r="459" spans="1:56" x14ac:dyDescent="0.25">
      <c r="A459" s="1">
        <v>600002817</v>
      </c>
      <c r="B459" s="1">
        <v>1700</v>
      </c>
      <c r="C459" s="1">
        <v>2200001421</v>
      </c>
      <c r="D459" s="1" t="s">
        <v>303</v>
      </c>
      <c r="E459" s="1">
        <f>IF(AND(B459&lt;&gt;1110,B459&lt;&gt;1210,B459&lt;&gt;1510,B459&lt;&gt;1710),B459,IF(B459=1110,"1100",IF(B459=1210,"1200",IF(B459=1510,"1500",IF(B459=1710,"1700","X")))))</f>
        <v>1700</v>
      </c>
      <c r="F459" s="1" t="s">
        <v>11238</v>
      </c>
      <c r="G459" s="1" t="s">
        <v>302</v>
      </c>
      <c r="H459" s="1">
        <f>ROUND(P459/(1-((R459+S459))/100)*Q459, 3)</f>
        <v>7.3810000000000002</v>
      </c>
      <c r="I459" s="1">
        <v>0.25</v>
      </c>
      <c r="J459" s="1">
        <v>3</v>
      </c>
      <c r="K459" s="1">
        <v>1</v>
      </c>
      <c r="L459" s="1" t="s">
        <v>292</v>
      </c>
      <c r="M459" s="1">
        <v>4</v>
      </c>
      <c r="N459" s="1">
        <v>1</v>
      </c>
      <c r="O459" s="1" t="s">
        <v>296</v>
      </c>
      <c r="P459" s="1">
        <f>IFERROR(VLOOKUP(BC459, BA:BA:BB:BB, 2, 0),)</f>
        <v>6.1820000000000004</v>
      </c>
      <c r="Q459" s="1">
        <f>IFERROR(VLOOKUP(BC459, BA:BA:BD:BD, 4, 0),1)</f>
        <v>1</v>
      </c>
      <c r="R459" s="1">
        <v>7</v>
      </c>
      <c r="S459" s="1">
        <v>9.25</v>
      </c>
      <c r="T459" s="1">
        <v>0</v>
      </c>
      <c r="V459" s="1" t="s">
        <v>11223</v>
      </c>
      <c r="W459" s="1">
        <v>100</v>
      </c>
      <c r="X459" s="1" t="s">
        <v>311</v>
      </c>
      <c r="Y459" s="1" t="s">
        <v>322</v>
      </c>
      <c r="Z459" s="1">
        <v>1</v>
      </c>
      <c r="AA459" s="1">
        <f>ROUND(H459*I459*Z459, 3)</f>
        <v>1.845</v>
      </c>
      <c r="AB459" s="1">
        <f>ROUND(VLOOKUP(X459,'Base de dados'!A:B, 2, 0)*AA459, 2)</f>
        <v>0.18</v>
      </c>
      <c r="AC459" s="1">
        <f>ROUND((AA459*(Destino!AG459/100))*(W459/100),2)</f>
        <v>0.13</v>
      </c>
      <c r="AD459" s="1">
        <f>ROUND(AA459*(Destino!AH459/100),2)</f>
        <v>0</v>
      </c>
      <c r="AE459" s="1">
        <f>ROUND((((AA459+AB459)*1.48)*(Destino!AI459/100))-AC459,2)</f>
        <v>0.38</v>
      </c>
      <c r="AF459" s="1">
        <f>ROUND((AA459+AB459+AE459)*(J459/100),2)</f>
        <v>7.0000000000000007E-2</v>
      </c>
      <c r="AG459" s="1">
        <f>ROUND(AA459*T459,2)</f>
        <v>0</v>
      </c>
      <c r="AH459" s="1">
        <f>ROUND(AA459+AB459-AD459+AE459+AF459+AG459, 3)</f>
        <v>2.4750000000000001</v>
      </c>
      <c r="AI459" s="1">
        <f>AH459*M459*K459</f>
        <v>9.9</v>
      </c>
      <c r="BA459" s="1" t="s">
        <v>11335</v>
      </c>
      <c r="BB459" s="1">
        <f>AI459</f>
        <v>9.9</v>
      </c>
      <c r="BC459" s="1" t="s">
        <v>11445</v>
      </c>
      <c r="BD459" s="1">
        <f>N459</f>
        <v>1</v>
      </c>
    </row>
    <row r="460" spans="1:56" x14ac:dyDescent="0.25">
      <c r="A460" s="1">
        <v>600002826</v>
      </c>
      <c r="B460" s="1">
        <v>1000</v>
      </c>
      <c r="C460" s="1">
        <v>2200001473</v>
      </c>
      <c r="D460" s="1" t="s">
        <v>303</v>
      </c>
      <c r="E460" s="1">
        <f>IF(AND(B460&lt;&gt;1110,B460&lt;&gt;1210,B460&lt;&gt;1510,B460&lt;&gt;1710),B460,IF(B460=1110,"1100",IF(B460=1210,"1200",IF(B460=1510,"1500",IF(B460=1710,"1700","X")))))</f>
        <v>1000</v>
      </c>
      <c r="F460" s="1" t="s">
        <v>11198</v>
      </c>
      <c r="G460" s="1" t="s">
        <v>302</v>
      </c>
      <c r="H460" s="1">
        <f>ROUND(P460/(1-((R460+S460))/100)*Q460, 3)</f>
        <v>668.61099999999999</v>
      </c>
      <c r="I460" s="1">
        <v>0.45</v>
      </c>
      <c r="J460" s="1">
        <v>1.5</v>
      </c>
      <c r="K460" s="1">
        <v>1</v>
      </c>
      <c r="L460" s="1" t="s">
        <v>292</v>
      </c>
      <c r="M460" s="1">
        <v>1</v>
      </c>
      <c r="N460" s="1">
        <v>1</v>
      </c>
      <c r="O460" s="1" t="s">
        <v>296</v>
      </c>
      <c r="P460" s="1">
        <v>526.53099999999995</v>
      </c>
      <c r="Q460" s="1">
        <v>1</v>
      </c>
      <c r="R460" s="1">
        <v>12</v>
      </c>
      <c r="S460" s="1">
        <v>9.25</v>
      </c>
      <c r="T460" s="1">
        <v>0</v>
      </c>
      <c r="V460" s="1" t="s">
        <v>11223</v>
      </c>
      <c r="W460" s="1">
        <v>100</v>
      </c>
      <c r="X460" s="1" t="s">
        <v>298</v>
      </c>
      <c r="Y460" s="1" t="s">
        <v>299</v>
      </c>
      <c r="Z460" s="1">
        <v>1</v>
      </c>
      <c r="AA460" s="1">
        <f>ROUND(H460*I460*Z460, 3)</f>
        <v>300.875</v>
      </c>
      <c r="AB460" s="1">
        <f>ROUND(VLOOKUP(X460,'Base de dados'!A:B, 2, 0)*AA460, 2)</f>
        <v>30.09</v>
      </c>
      <c r="AC460" s="1">
        <f>ROUND((AA460*(Destino!AG460/100))*(W460/100),2)</f>
        <v>36.11</v>
      </c>
      <c r="AD460" s="1">
        <f>ROUND(AA460*(Destino!AH460/100),2)</f>
        <v>27.83</v>
      </c>
      <c r="AF460" s="1">
        <f>ROUND((AA460+ AB460)*(J460/100),2)</f>
        <v>4.96</v>
      </c>
      <c r="AG460" s="1">
        <f>ROUND(AA460*T460,2)</f>
        <v>0</v>
      </c>
      <c r="AH460" s="1">
        <f>ROUND(AA460-(AC460+AD460)+AF460+AG460, 3)</f>
        <v>241.89500000000001</v>
      </c>
      <c r="AI460" s="1">
        <f>AH460*M460*K460</f>
        <v>241.89500000000001</v>
      </c>
      <c r="BA460" s="1" t="s">
        <v>11729</v>
      </c>
      <c r="BB460" s="1">
        <f>AI460</f>
        <v>241.89500000000001</v>
      </c>
      <c r="BD460" s="1">
        <f>N460</f>
        <v>1</v>
      </c>
    </row>
    <row r="461" spans="1:56" x14ac:dyDescent="0.25">
      <c r="A461" s="1">
        <v>600002826</v>
      </c>
      <c r="B461" s="1">
        <v>1100</v>
      </c>
      <c r="C461" s="1">
        <v>2200001473</v>
      </c>
      <c r="D461" s="1" t="s">
        <v>303</v>
      </c>
      <c r="E461" s="1">
        <f>IF(AND(B461&lt;&gt;1110,B461&lt;&gt;1210,B461&lt;&gt;1510,B461&lt;&gt;1710),B461,IF(B461=1110,"1100",IF(B461=1210,"1200",IF(B461=1510,"1500",IF(B461=1710,"1700","X")))))</f>
        <v>1100</v>
      </c>
      <c r="F461" s="1" t="s">
        <v>11198</v>
      </c>
      <c r="G461" s="1" t="s">
        <v>302</v>
      </c>
      <c r="H461" s="1">
        <f>ROUND(P461/(1-((R461+S461))/100)*Q461, 3)</f>
        <v>628.69000000000005</v>
      </c>
      <c r="I461" s="1">
        <v>0.45</v>
      </c>
      <c r="J461" s="1">
        <v>2</v>
      </c>
      <c r="K461" s="1">
        <v>1</v>
      </c>
      <c r="L461" s="1" t="s">
        <v>292</v>
      </c>
      <c r="M461" s="1">
        <v>1</v>
      </c>
      <c r="N461" s="1">
        <v>1</v>
      </c>
      <c r="O461" s="1" t="s">
        <v>296</v>
      </c>
      <c r="P461" s="1">
        <v>526.52800000000002</v>
      </c>
      <c r="Q461" s="1">
        <v>1</v>
      </c>
      <c r="R461" s="1">
        <v>7</v>
      </c>
      <c r="S461" s="1">
        <v>9.25</v>
      </c>
      <c r="T461" s="1">
        <v>0</v>
      </c>
      <c r="V461" s="1" t="s">
        <v>11223</v>
      </c>
      <c r="W461" s="1">
        <v>100</v>
      </c>
      <c r="X461" s="1" t="s">
        <v>298</v>
      </c>
      <c r="Y461" s="1" t="s">
        <v>299</v>
      </c>
      <c r="Z461" s="1">
        <v>1</v>
      </c>
      <c r="AA461" s="1">
        <f>ROUND(H461*I461*Z461, 3)</f>
        <v>282.911</v>
      </c>
      <c r="AB461" s="1">
        <f>ROUND(VLOOKUP(X461,'Base de dados'!A:B, 2, 0)*AA461, 2)</f>
        <v>28.29</v>
      </c>
      <c r="AC461" s="1">
        <f>ROUND((AA461*(Destino!AG461/100))*(W461/100),2)</f>
        <v>19.8</v>
      </c>
      <c r="AD461" s="1">
        <f>ROUND(AA461*(Destino!AH461/100),2)</f>
        <v>26.17</v>
      </c>
      <c r="AF461" s="1">
        <f>ROUND((AA461+ AB461)*(J461/100),2)</f>
        <v>6.22</v>
      </c>
      <c r="AG461" s="1">
        <f>ROUND(AA461*T461,2)</f>
        <v>0</v>
      </c>
      <c r="AH461" s="1">
        <f>ROUND(AA461-(AC461+AD461)+AF461+AG461, 3)</f>
        <v>243.161</v>
      </c>
      <c r="AI461" s="1">
        <f>AH461*M461*K461</f>
        <v>243.161</v>
      </c>
      <c r="BA461" s="1" t="s">
        <v>11730</v>
      </c>
      <c r="BB461" s="1">
        <f>AI461</f>
        <v>243.161</v>
      </c>
      <c r="BD461" s="1">
        <f>N461</f>
        <v>1</v>
      </c>
    </row>
    <row r="462" spans="1:56" x14ac:dyDescent="0.25">
      <c r="A462" s="1">
        <v>600002826</v>
      </c>
      <c r="B462" s="1">
        <v>1110</v>
      </c>
      <c r="C462" s="1">
        <v>2200001473</v>
      </c>
      <c r="D462" s="1" t="s">
        <v>303</v>
      </c>
      <c r="E462" s="1" t="str">
        <f>IF(AND(B462&lt;&gt;1110,B462&lt;&gt;1210,B462&lt;&gt;1510,B462&lt;&gt;1710),B462,IF(B462=1110,"1100",IF(B462=1210,"1200",IF(B462=1510,"1500",IF(B462=1710,"1700","X")))))</f>
        <v>1100</v>
      </c>
      <c r="F462" s="1" t="s">
        <v>447</v>
      </c>
      <c r="G462" s="1" t="s">
        <v>302</v>
      </c>
      <c r="H462" s="1">
        <f>ROUND(P462/(1-((R462+S462))/100)*Q462, 3)</f>
        <v>628.69000000000005</v>
      </c>
      <c r="I462" s="1">
        <v>0.45</v>
      </c>
      <c r="J462" s="1">
        <v>4</v>
      </c>
      <c r="K462" s="1">
        <v>1</v>
      </c>
      <c r="L462" s="1" t="s">
        <v>292</v>
      </c>
      <c r="M462" s="1">
        <v>1</v>
      </c>
      <c r="N462" s="1">
        <v>0.75267200000000001</v>
      </c>
      <c r="O462" s="1" t="s">
        <v>296</v>
      </c>
      <c r="P462" s="1">
        <v>526.52800000000002</v>
      </c>
      <c r="Q462" s="1">
        <v>1</v>
      </c>
      <c r="R462" s="1">
        <v>7</v>
      </c>
      <c r="S462" s="1">
        <v>9.25</v>
      </c>
      <c r="T462" s="1">
        <v>0</v>
      </c>
      <c r="V462" s="1" t="s">
        <v>11223</v>
      </c>
      <c r="W462" s="1">
        <v>100</v>
      </c>
      <c r="X462" s="1" t="s">
        <v>298</v>
      </c>
      <c r="Y462" s="1" t="s">
        <v>299</v>
      </c>
      <c r="Z462" s="1">
        <v>1</v>
      </c>
      <c r="AA462" s="1">
        <f>ROUND(H462*I462*Z462, 3)</f>
        <v>282.911</v>
      </c>
      <c r="AB462" s="1">
        <f>ROUND(VLOOKUP(X462,'Base de dados'!A:B, 2, 0)*AA462, 2)</f>
        <v>28.29</v>
      </c>
      <c r="AC462" s="1">
        <f>ROUND((AA462*(Destino!AG462/100))*(W462/100),2)</f>
        <v>19.8</v>
      </c>
      <c r="AD462" s="1">
        <f>ROUND(AA462*(Destino!AH462/100),2)</f>
        <v>26.17</v>
      </c>
      <c r="AE462" s="1">
        <f>ROUND((((AA462+AB462)*1.5039)*(Destino!AI462/100))-AC462,2)</f>
        <v>59.76</v>
      </c>
      <c r="AF462" s="1">
        <f>ROUND((AA462+AB462+AE462)*(J462/100),2)</f>
        <v>14.84</v>
      </c>
      <c r="AG462" s="1">
        <f>ROUND(AA462*T462,2)</f>
        <v>0</v>
      </c>
      <c r="AH462" s="1">
        <f>ROUND(AA462-AD462+AE462+AF462+AG462, 3)</f>
        <v>331.34100000000001</v>
      </c>
      <c r="AI462" s="1">
        <f>AH462*M462*K462</f>
        <v>331.34100000000001</v>
      </c>
      <c r="BA462" s="1" t="s">
        <v>11731</v>
      </c>
      <c r="BB462" s="1">
        <f>AI462</f>
        <v>331.34100000000001</v>
      </c>
      <c r="BD462" s="1">
        <f>N462</f>
        <v>0.75267200000000001</v>
      </c>
    </row>
    <row r="463" spans="1:56" x14ac:dyDescent="0.25">
      <c r="A463" s="1">
        <v>600002826</v>
      </c>
      <c r="B463" s="1">
        <v>1400</v>
      </c>
      <c r="C463" s="1">
        <v>2200001473</v>
      </c>
      <c r="D463" s="1" t="s">
        <v>303</v>
      </c>
      <c r="E463" s="1">
        <f>IF(AND(B463&lt;&gt;1110,B463&lt;&gt;1210,B463&lt;&gt;1510,B463&lt;&gt;1710),B463,IF(B463=1110,"1100",IF(B463=1210,"1200",IF(B463=1510,"1500",IF(B463=1710,"1700","X")))))</f>
        <v>1400</v>
      </c>
      <c r="F463" s="1" t="s">
        <v>11198</v>
      </c>
      <c r="G463" s="1" t="s">
        <v>302</v>
      </c>
      <c r="H463" s="1">
        <f>ROUND(P463/(1-((R463+S463))/100)*Q463, 3)</f>
        <v>723.75</v>
      </c>
      <c r="I463" s="1">
        <v>0.45</v>
      </c>
      <c r="J463" s="1">
        <v>1.5</v>
      </c>
      <c r="K463" s="1">
        <v>1</v>
      </c>
      <c r="L463" s="1" t="s">
        <v>292</v>
      </c>
      <c r="M463" s="1">
        <v>1</v>
      </c>
      <c r="N463" s="1">
        <v>1</v>
      </c>
      <c r="O463" s="1" t="s">
        <v>296</v>
      </c>
      <c r="P463" s="1">
        <v>526.52800000000002</v>
      </c>
      <c r="Q463" s="1">
        <v>1</v>
      </c>
      <c r="R463" s="1">
        <v>18</v>
      </c>
      <c r="S463" s="1">
        <v>9.25</v>
      </c>
      <c r="T463" s="1">
        <v>0</v>
      </c>
      <c r="V463" s="1" t="s">
        <v>11223</v>
      </c>
      <c r="W463" s="1">
        <v>100</v>
      </c>
      <c r="X463" s="1" t="s">
        <v>298</v>
      </c>
      <c r="Y463" s="1" t="s">
        <v>299</v>
      </c>
      <c r="Z463" s="1">
        <v>1</v>
      </c>
      <c r="AA463" s="1">
        <f>ROUND(H463*I463*Z463, 3)</f>
        <v>325.68799999999999</v>
      </c>
      <c r="AB463" s="1">
        <f>ROUND(VLOOKUP(X463,'Base de dados'!A:B, 2, 0)*AA463, 2)</f>
        <v>32.57</v>
      </c>
      <c r="AC463" s="1">
        <f>ROUND((AA463*(Destino!AG463/100))*(W463/100),2)</f>
        <v>58.62</v>
      </c>
      <c r="AD463" s="1">
        <f>ROUND(AA463*(Destino!AH463/100),2)</f>
        <v>30.13</v>
      </c>
      <c r="AF463" s="1">
        <f>ROUND((AA463+ AB463)*(J463/100),2)</f>
        <v>5.37</v>
      </c>
      <c r="AG463" s="1">
        <f>ROUND(AA463*T463,2)</f>
        <v>0</v>
      </c>
      <c r="AH463" s="1">
        <f>ROUND(AA463-(AC463+AD463)+AF463+AG463, 3)</f>
        <v>242.30799999999999</v>
      </c>
      <c r="AI463" s="1">
        <f>AH463*M463*K463</f>
        <v>242.30799999999999</v>
      </c>
      <c r="BA463" s="1" t="s">
        <v>11446</v>
      </c>
      <c r="BB463" s="1">
        <f>AI463</f>
        <v>242.30799999999999</v>
      </c>
      <c r="BD463" s="1">
        <f>N463</f>
        <v>1</v>
      </c>
    </row>
    <row r="464" spans="1:56" x14ac:dyDescent="0.25">
      <c r="A464" s="1">
        <v>600002826</v>
      </c>
      <c r="B464" s="1">
        <v>1700</v>
      </c>
      <c r="C464" s="1">
        <v>2200001421</v>
      </c>
      <c r="D464" s="1" t="s">
        <v>303</v>
      </c>
      <c r="E464" s="1">
        <f>IF(AND(B464&lt;&gt;1110,B464&lt;&gt;1210,B464&lt;&gt;1510,B464&lt;&gt;1710),B464,IF(B464=1110,"1100",IF(B464=1210,"1200",IF(B464=1510,"1500",IF(B464=1710,"1700","X")))))</f>
        <v>1700</v>
      </c>
      <c r="F464" s="1" t="s">
        <v>11238</v>
      </c>
      <c r="G464" s="1" t="s">
        <v>302</v>
      </c>
      <c r="H464" s="1">
        <f>ROUND(P464/(1-((R464+S464))/100)*Q464, 3)</f>
        <v>289.32299999999998</v>
      </c>
      <c r="I464" s="1">
        <v>0.25</v>
      </c>
      <c r="J464" s="1">
        <v>3</v>
      </c>
      <c r="K464" s="1">
        <v>1</v>
      </c>
      <c r="L464" s="1" t="s">
        <v>292</v>
      </c>
      <c r="M464" s="1">
        <v>4</v>
      </c>
      <c r="N464" s="1">
        <v>1</v>
      </c>
      <c r="O464" s="1" t="s">
        <v>296</v>
      </c>
      <c r="P464" s="1">
        <f>IFERROR(VLOOKUP(BC464, BA:BA:BB:BB, 2, 0),)</f>
        <v>242.30799999999999</v>
      </c>
      <c r="Q464" s="1">
        <f>IFERROR(VLOOKUP(BC464, BA:BA:BD:BD, 4, 0),1)</f>
        <v>1</v>
      </c>
      <c r="R464" s="1">
        <v>7</v>
      </c>
      <c r="S464" s="1">
        <v>9.25</v>
      </c>
      <c r="T464" s="1">
        <v>0</v>
      </c>
      <c r="V464" s="1" t="s">
        <v>11223</v>
      </c>
      <c r="W464" s="1">
        <v>100</v>
      </c>
      <c r="X464" s="1" t="s">
        <v>298</v>
      </c>
      <c r="Y464" s="1" t="s">
        <v>299</v>
      </c>
      <c r="Z464" s="1">
        <v>1</v>
      </c>
      <c r="AA464" s="1">
        <f>ROUND(H464*I464*Z464, 3)</f>
        <v>72.331000000000003</v>
      </c>
      <c r="AB464" s="1">
        <f>ROUND(VLOOKUP(X464,'Base de dados'!A:B, 2, 0)*AA464, 2)</f>
        <v>7.23</v>
      </c>
      <c r="AC464" s="1">
        <f>ROUND((AA464*(Destino!AG464/100))*(W464/100),2)</f>
        <v>5.0599999999999996</v>
      </c>
      <c r="AD464" s="1">
        <f>ROUND(AA464*(Destino!AH464/100),2)</f>
        <v>0</v>
      </c>
      <c r="AE464" s="1">
        <f>ROUND((((AA464+AB464)*1.48)*(Destino!AI464/100))-AC464,2)</f>
        <v>14.96</v>
      </c>
      <c r="AF464" s="1">
        <f>ROUND((AA464+AB464+AE464)*(J464/100),2)</f>
        <v>2.84</v>
      </c>
      <c r="AG464" s="1">
        <f>ROUND(AA464*T464,2)</f>
        <v>0</v>
      </c>
      <c r="AH464" s="1">
        <f>ROUND(AA464+AB464-AD464+AE464+AF464+AG464, 3)</f>
        <v>97.361000000000004</v>
      </c>
      <c r="AI464" s="1">
        <f>AH464*M464*K464</f>
        <v>389.44400000000002</v>
      </c>
      <c r="BA464" s="1" t="s">
        <v>11336</v>
      </c>
      <c r="BB464" s="1">
        <f>AI464</f>
        <v>389.44400000000002</v>
      </c>
      <c r="BC464" s="1" t="s">
        <v>11446</v>
      </c>
      <c r="BD464" s="1">
        <f>N464</f>
        <v>1</v>
      </c>
    </row>
    <row r="465" spans="1:56" x14ac:dyDescent="0.25">
      <c r="A465" s="1">
        <v>600002835</v>
      </c>
      <c r="B465" s="1">
        <v>1000</v>
      </c>
      <c r="C465" s="1">
        <v>2200001473</v>
      </c>
      <c r="D465" s="1" t="s">
        <v>303</v>
      </c>
      <c r="E465" s="1">
        <f>IF(AND(B465&lt;&gt;1110,B465&lt;&gt;1210,B465&lt;&gt;1510,B465&lt;&gt;1710),B465,IF(B465=1110,"1100",IF(B465=1210,"1200",IF(B465=1510,"1500",IF(B465=1710,"1700","X")))))</f>
        <v>1000</v>
      </c>
      <c r="F465" s="1" t="s">
        <v>11198</v>
      </c>
      <c r="G465" s="1" t="s">
        <v>302</v>
      </c>
      <c r="H465" s="1">
        <f>ROUND(P465/(1-((R465+S465))/100)*Q465, 3)</f>
        <v>169.041</v>
      </c>
      <c r="I465" s="1">
        <v>0.45</v>
      </c>
      <c r="J465" s="1">
        <v>1.5</v>
      </c>
      <c r="K465" s="1">
        <v>1</v>
      </c>
      <c r="L465" s="1" t="s">
        <v>292</v>
      </c>
      <c r="M465" s="1">
        <v>1</v>
      </c>
      <c r="N465" s="1">
        <v>1</v>
      </c>
      <c r="O465" s="1" t="s">
        <v>296</v>
      </c>
      <c r="P465" s="1">
        <v>133.12</v>
      </c>
      <c r="Q465" s="1">
        <v>1</v>
      </c>
      <c r="R465" s="1">
        <v>12</v>
      </c>
      <c r="S465" s="1">
        <v>9.25</v>
      </c>
      <c r="T465" s="1">
        <v>0</v>
      </c>
      <c r="V465" s="1" t="s">
        <v>11223</v>
      </c>
      <c r="W465" s="1">
        <v>100</v>
      </c>
      <c r="X465" s="1" t="s">
        <v>298</v>
      </c>
      <c r="Y465" s="1" t="s">
        <v>299</v>
      </c>
      <c r="Z465" s="1">
        <v>1</v>
      </c>
      <c r="AA465" s="1">
        <f>ROUND(H465*I465*Z465, 3)</f>
        <v>76.067999999999998</v>
      </c>
      <c r="AB465" s="1">
        <f>ROUND(VLOOKUP(X465,'Base de dados'!A:B, 2, 0)*AA465, 2)</f>
        <v>7.61</v>
      </c>
      <c r="AC465" s="1">
        <f>ROUND((AA465*(Destino!AG465/100))*(W465/100),2)</f>
        <v>9.1300000000000008</v>
      </c>
      <c r="AD465" s="1">
        <f>ROUND(AA465*(Destino!AH465/100),2)</f>
        <v>7.04</v>
      </c>
      <c r="AF465" s="1">
        <f>ROUND((AA465+ AB465)*(J465/100),2)</f>
        <v>1.26</v>
      </c>
      <c r="AG465" s="1">
        <f>ROUND(AA465*T465,2)</f>
        <v>0</v>
      </c>
      <c r="AH465" s="1">
        <f>ROUND(AA465-(AC465+AD465)+AF465+AG465, 3)</f>
        <v>61.158000000000001</v>
      </c>
      <c r="AI465" s="1">
        <f>AH465*M465*K465</f>
        <v>61.158000000000001</v>
      </c>
      <c r="BA465" s="1" t="s">
        <v>11732</v>
      </c>
      <c r="BB465" s="1">
        <f>AI465</f>
        <v>61.158000000000001</v>
      </c>
      <c r="BD465" s="1">
        <f>N465</f>
        <v>1</v>
      </c>
    </row>
    <row r="466" spans="1:56" x14ac:dyDescent="0.25">
      <c r="A466" s="1">
        <v>600002835</v>
      </c>
      <c r="B466" s="1">
        <v>1100</v>
      </c>
      <c r="C466" s="1">
        <v>2200001473</v>
      </c>
      <c r="D466" s="1" t="s">
        <v>303</v>
      </c>
      <c r="E466" s="1">
        <f>IF(AND(B466&lt;&gt;1110,B466&lt;&gt;1210,B466&lt;&gt;1510,B466&lt;&gt;1710),B466,IF(B466=1110,"1100",IF(B466=1210,"1200",IF(B466=1510,"1500",IF(B466=1710,"1700","X")))))</f>
        <v>1100</v>
      </c>
      <c r="F466" s="1" t="s">
        <v>11198</v>
      </c>
      <c r="G466" s="1" t="s">
        <v>302</v>
      </c>
      <c r="H466" s="1">
        <f>ROUND(P466/(1-((R466+S466))/100)*Q466, 3)</f>
        <v>158.947</v>
      </c>
      <c r="I466" s="1">
        <v>0.45</v>
      </c>
      <c r="J466" s="1">
        <v>2</v>
      </c>
      <c r="K466" s="1">
        <v>1</v>
      </c>
      <c r="L466" s="1" t="s">
        <v>292</v>
      </c>
      <c r="M466" s="1">
        <v>1</v>
      </c>
      <c r="N466" s="1">
        <v>1</v>
      </c>
      <c r="O466" s="1" t="s">
        <v>296</v>
      </c>
      <c r="P466" s="1">
        <v>133.11799999999999</v>
      </c>
      <c r="Q466" s="1">
        <v>1</v>
      </c>
      <c r="R466" s="1">
        <v>7</v>
      </c>
      <c r="S466" s="1">
        <v>9.25</v>
      </c>
      <c r="T466" s="1">
        <v>0</v>
      </c>
      <c r="V466" s="1" t="s">
        <v>11223</v>
      </c>
      <c r="W466" s="1">
        <v>100</v>
      </c>
      <c r="X466" s="1" t="s">
        <v>298</v>
      </c>
      <c r="Y466" s="1" t="s">
        <v>299</v>
      </c>
      <c r="Z466" s="1">
        <v>1</v>
      </c>
      <c r="AA466" s="1">
        <f>ROUND(H466*I466*Z466, 3)</f>
        <v>71.525999999999996</v>
      </c>
      <c r="AB466" s="1">
        <f>ROUND(VLOOKUP(X466,'Base de dados'!A:B, 2, 0)*AA466, 2)</f>
        <v>7.15</v>
      </c>
      <c r="AC466" s="1">
        <f>ROUND((AA466*(Destino!AG466/100))*(W466/100),2)</f>
        <v>5.01</v>
      </c>
      <c r="AD466" s="1">
        <f>ROUND(AA466*(Destino!AH466/100),2)</f>
        <v>6.62</v>
      </c>
      <c r="AF466" s="1">
        <f>ROUND((AA466+ AB466)*(J466/100),2)</f>
        <v>1.57</v>
      </c>
      <c r="AG466" s="1">
        <f>ROUND(AA466*T466,2)</f>
        <v>0</v>
      </c>
      <c r="AH466" s="1">
        <f>ROUND(AA466-(AC466+AD466)+AF466+AG466, 3)</f>
        <v>61.466000000000001</v>
      </c>
      <c r="AI466" s="1">
        <f>AH466*M466*K466</f>
        <v>61.466000000000001</v>
      </c>
      <c r="BA466" s="1" t="s">
        <v>11733</v>
      </c>
      <c r="BB466" s="1">
        <f>AI466</f>
        <v>61.466000000000001</v>
      </c>
      <c r="BD466" s="1">
        <f>N466</f>
        <v>1</v>
      </c>
    </row>
    <row r="467" spans="1:56" x14ac:dyDescent="0.25">
      <c r="A467" s="1">
        <v>600002835</v>
      </c>
      <c r="B467" s="1">
        <v>1110</v>
      </c>
      <c r="C467" s="1">
        <v>2200001473</v>
      </c>
      <c r="D467" s="1" t="s">
        <v>303</v>
      </c>
      <c r="E467" s="1" t="str">
        <f>IF(AND(B467&lt;&gt;1110,B467&lt;&gt;1210,B467&lt;&gt;1510,B467&lt;&gt;1710),B467,IF(B467=1110,"1100",IF(B467=1210,"1200",IF(B467=1510,"1500",IF(B467=1710,"1700","X")))))</f>
        <v>1100</v>
      </c>
      <c r="F467" s="1" t="s">
        <v>447</v>
      </c>
      <c r="G467" s="1" t="s">
        <v>302</v>
      </c>
      <c r="H467" s="1">
        <f>ROUND(P467/(1-((R467+S467))/100)*Q467, 3)</f>
        <v>158.947</v>
      </c>
      <c r="I467" s="1">
        <v>0.45</v>
      </c>
      <c r="J467" s="1">
        <v>4</v>
      </c>
      <c r="K467" s="1">
        <v>1</v>
      </c>
      <c r="L467" s="1" t="s">
        <v>292</v>
      </c>
      <c r="M467" s="1">
        <v>1</v>
      </c>
      <c r="N467" s="1">
        <v>0.75264399999999998</v>
      </c>
      <c r="O467" s="1" t="s">
        <v>296</v>
      </c>
      <c r="P467" s="1">
        <v>133.11799999999999</v>
      </c>
      <c r="Q467" s="1">
        <v>1</v>
      </c>
      <c r="R467" s="1">
        <v>7</v>
      </c>
      <c r="S467" s="1">
        <v>9.25</v>
      </c>
      <c r="T467" s="1">
        <v>0</v>
      </c>
      <c r="V467" s="1" t="s">
        <v>11223</v>
      </c>
      <c r="W467" s="1">
        <v>100</v>
      </c>
      <c r="X467" s="1" t="s">
        <v>298</v>
      </c>
      <c r="Y467" s="1" t="s">
        <v>299</v>
      </c>
      <c r="Z467" s="1">
        <v>1</v>
      </c>
      <c r="AA467" s="1">
        <f>ROUND(H467*I467*Z467, 3)</f>
        <v>71.525999999999996</v>
      </c>
      <c r="AB467" s="1">
        <f>ROUND(VLOOKUP(X467,'Base de dados'!A:B, 2, 0)*AA467, 2)</f>
        <v>7.15</v>
      </c>
      <c r="AC467" s="1">
        <f>ROUND((AA467*(Destino!AG467/100))*(W467/100),2)</f>
        <v>5.01</v>
      </c>
      <c r="AD467" s="1">
        <f>ROUND(AA467*(Destino!AH467/100),2)</f>
        <v>6.62</v>
      </c>
      <c r="AE467" s="1">
        <f>ROUND((((AA467+AB467)*1.5039)*(Destino!AI467/100))-AC467,2)</f>
        <v>15.1</v>
      </c>
      <c r="AF467" s="1">
        <f>ROUND((AA467+AB467+AE467)*(J467/100),2)</f>
        <v>3.75</v>
      </c>
      <c r="AG467" s="1">
        <f>ROUND(AA467*T467,2)</f>
        <v>0</v>
      </c>
      <c r="AH467" s="1">
        <f>ROUND(AA467-AD467+AE467+AF467+AG467, 3)</f>
        <v>83.756</v>
      </c>
      <c r="AI467" s="1">
        <f>AH467*M467*K467</f>
        <v>83.756</v>
      </c>
      <c r="BA467" s="1" t="s">
        <v>11734</v>
      </c>
      <c r="BB467" s="1">
        <f>AI467</f>
        <v>83.756</v>
      </c>
      <c r="BD467" s="1">
        <f>N467</f>
        <v>0.75264399999999998</v>
      </c>
    </row>
    <row r="468" spans="1:56" x14ac:dyDescent="0.25">
      <c r="A468" s="1">
        <v>600002835</v>
      </c>
      <c r="B468" s="1">
        <v>1400</v>
      </c>
      <c r="C468" s="1">
        <v>2200001473</v>
      </c>
      <c r="D468" s="1" t="s">
        <v>303</v>
      </c>
      <c r="E468" s="1">
        <f>IF(AND(B468&lt;&gt;1110,B468&lt;&gt;1210,B468&lt;&gt;1510,B468&lt;&gt;1710),B468,IF(B468=1110,"1100",IF(B468=1210,"1200",IF(B468=1510,"1500",IF(B468=1710,"1700","X")))))</f>
        <v>1400</v>
      </c>
      <c r="F468" s="1" t="s">
        <v>11198</v>
      </c>
      <c r="G468" s="1" t="s">
        <v>302</v>
      </c>
      <c r="H468" s="1">
        <f>ROUND(P468/(1-((R468+S468))/100)*Q468, 3)</f>
        <v>182.98</v>
      </c>
      <c r="I468" s="1">
        <v>0.45</v>
      </c>
      <c r="J468" s="1">
        <v>1.5</v>
      </c>
      <c r="K468" s="1">
        <v>1</v>
      </c>
      <c r="L468" s="1" t="s">
        <v>292</v>
      </c>
      <c r="M468" s="1">
        <v>1</v>
      </c>
      <c r="N468" s="1">
        <v>1</v>
      </c>
      <c r="O468" s="1" t="s">
        <v>296</v>
      </c>
      <c r="P468" s="1">
        <v>133.11799999999999</v>
      </c>
      <c r="Q468" s="1">
        <v>1</v>
      </c>
      <c r="R468" s="1">
        <v>18</v>
      </c>
      <c r="S468" s="1">
        <v>9.25</v>
      </c>
      <c r="T468" s="1">
        <v>0</v>
      </c>
      <c r="V468" s="1" t="s">
        <v>11223</v>
      </c>
      <c r="W468" s="1">
        <v>100</v>
      </c>
      <c r="X468" s="1" t="s">
        <v>298</v>
      </c>
      <c r="Y468" s="1" t="s">
        <v>299</v>
      </c>
      <c r="Z468" s="1">
        <v>1</v>
      </c>
      <c r="AA468" s="1">
        <f>ROUND(H468*I468*Z468, 3)</f>
        <v>82.340999999999994</v>
      </c>
      <c r="AB468" s="1">
        <f>ROUND(VLOOKUP(X468,'Base de dados'!A:B, 2, 0)*AA468, 2)</f>
        <v>8.23</v>
      </c>
      <c r="AC468" s="1">
        <f>ROUND((AA468*(Destino!AG468/100))*(W468/100),2)</f>
        <v>14.82</v>
      </c>
      <c r="AD468" s="1">
        <f>ROUND(AA468*(Destino!AH468/100),2)</f>
        <v>7.62</v>
      </c>
      <c r="AF468" s="1">
        <f>ROUND((AA468+ AB468)*(J468/100),2)</f>
        <v>1.36</v>
      </c>
      <c r="AG468" s="1">
        <f>ROUND(AA468*T468,2)</f>
        <v>0</v>
      </c>
      <c r="AH468" s="1">
        <f>ROUND(AA468-(AC468+AD468)+AF468+AG468, 3)</f>
        <v>61.261000000000003</v>
      </c>
      <c r="AI468" s="1">
        <f>AH468*M468*K468</f>
        <v>61.261000000000003</v>
      </c>
      <c r="BA468" s="1" t="s">
        <v>11447</v>
      </c>
      <c r="BB468" s="1">
        <f>AI468</f>
        <v>61.261000000000003</v>
      </c>
      <c r="BD468" s="1">
        <f>N468</f>
        <v>1</v>
      </c>
    </row>
    <row r="469" spans="1:56" x14ac:dyDescent="0.25">
      <c r="A469" s="1">
        <v>600002835</v>
      </c>
      <c r="B469" s="1">
        <v>1700</v>
      </c>
      <c r="C469" s="1">
        <v>2200001421</v>
      </c>
      <c r="D469" s="1" t="s">
        <v>303</v>
      </c>
      <c r="E469" s="1">
        <f>IF(AND(B469&lt;&gt;1110,B469&lt;&gt;1210,B469&lt;&gt;1510,B469&lt;&gt;1710),B469,IF(B469=1110,"1100",IF(B469=1210,"1200",IF(B469=1510,"1500",IF(B469=1710,"1700","X")))))</f>
        <v>1700</v>
      </c>
      <c r="F469" s="1" t="s">
        <v>11238</v>
      </c>
      <c r="G469" s="1" t="s">
        <v>302</v>
      </c>
      <c r="H469" s="1">
        <f>ROUND(P469/(1-((R469+S469))/100)*Q469, 3)</f>
        <v>73.147000000000006</v>
      </c>
      <c r="I469" s="1">
        <v>0.25</v>
      </c>
      <c r="J469" s="1">
        <v>3</v>
      </c>
      <c r="K469" s="1">
        <v>1</v>
      </c>
      <c r="L469" s="1" t="s">
        <v>292</v>
      </c>
      <c r="M469" s="1">
        <v>4</v>
      </c>
      <c r="N469" s="1">
        <v>1</v>
      </c>
      <c r="O469" s="1" t="s">
        <v>296</v>
      </c>
      <c r="P469" s="1">
        <f>IFERROR(VLOOKUP(BC469, BA:BA:BB:BB, 2, 0),)</f>
        <v>61.261000000000003</v>
      </c>
      <c r="Q469" s="1">
        <f>IFERROR(VLOOKUP(BC469, BA:BA:BD:BD, 4, 0),1)</f>
        <v>1</v>
      </c>
      <c r="R469" s="1">
        <v>7</v>
      </c>
      <c r="S469" s="1">
        <v>9.25</v>
      </c>
      <c r="T469" s="1">
        <v>0</v>
      </c>
      <c r="V469" s="1" t="s">
        <v>11223</v>
      </c>
      <c r="W469" s="1">
        <v>100</v>
      </c>
      <c r="X469" s="1" t="s">
        <v>298</v>
      </c>
      <c r="Y469" s="1" t="s">
        <v>299</v>
      </c>
      <c r="Z469" s="1">
        <v>1</v>
      </c>
      <c r="AA469" s="1">
        <f>ROUND(H469*I469*Z469, 3)</f>
        <v>18.286999999999999</v>
      </c>
      <c r="AB469" s="1">
        <f>ROUND(VLOOKUP(X469,'Base de dados'!A:B, 2, 0)*AA469, 2)</f>
        <v>1.83</v>
      </c>
      <c r="AC469" s="1">
        <f>ROUND((AA469*(Destino!AG469/100))*(W469/100),2)</f>
        <v>1.28</v>
      </c>
      <c r="AD469" s="1">
        <f>ROUND(AA469*(Destino!AH469/100),2)</f>
        <v>0</v>
      </c>
      <c r="AE469" s="1">
        <f>ROUND((((AA469+AB469)*1.48)*(Destino!AI469/100))-AC469,2)</f>
        <v>3.78</v>
      </c>
      <c r="AF469" s="1">
        <f>ROUND((AA469+AB469+AE469)*(J469/100),2)</f>
        <v>0.72</v>
      </c>
      <c r="AG469" s="1">
        <f>ROUND(AA469*T469,2)</f>
        <v>0</v>
      </c>
      <c r="AH469" s="1">
        <f>ROUND(AA469+AB469-AD469+AE469+AF469+AG469, 3)</f>
        <v>24.617000000000001</v>
      </c>
      <c r="AI469" s="1">
        <f>AH469*M469*K469</f>
        <v>98.468000000000004</v>
      </c>
      <c r="BA469" s="1" t="s">
        <v>11337</v>
      </c>
      <c r="BB469" s="1">
        <f>AI469</f>
        <v>98.468000000000004</v>
      </c>
      <c r="BC469" s="1" t="s">
        <v>11447</v>
      </c>
      <c r="BD469" s="1">
        <f>N469</f>
        <v>1</v>
      </c>
    </row>
    <row r="470" spans="1:56" x14ac:dyDescent="0.25">
      <c r="A470" s="1">
        <v>600002837</v>
      </c>
      <c r="B470" s="1">
        <v>1000</v>
      </c>
      <c r="C470" s="1">
        <v>2200001473</v>
      </c>
      <c r="D470" s="1" t="s">
        <v>303</v>
      </c>
      <c r="E470" s="1">
        <f>IF(AND(B470&lt;&gt;1110,B470&lt;&gt;1210,B470&lt;&gt;1510,B470&lt;&gt;1710),B470,IF(B470=1110,"1100",IF(B470=1210,"1200",IF(B470=1510,"1500",IF(B470=1710,"1700","X")))))</f>
        <v>1000</v>
      </c>
      <c r="F470" s="1" t="s">
        <v>11198</v>
      </c>
      <c r="G470" s="1" t="s">
        <v>302</v>
      </c>
      <c r="H470" s="1">
        <f>ROUND(P470/(1-((R470+S470))/100)*Q470, 3)</f>
        <v>156.55699999999999</v>
      </c>
      <c r="I470" s="1">
        <v>0.45</v>
      </c>
      <c r="J470" s="1">
        <v>1.5</v>
      </c>
      <c r="K470" s="1">
        <v>1</v>
      </c>
      <c r="L470" s="1" t="s">
        <v>292</v>
      </c>
      <c r="M470" s="1">
        <v>1</v>
      </c>
      <c r="N470" s="1">
        <v>1</v>
      </c>
      <c r="O470" s="1" t="s">
        <v>296</v>
      </c>
      <c r="P470" s="1">
        <v>123.289</v>
      </c>
      <c r="Q470" s="1">
        <v>1</v>
      </c>
      <c r="R470" s="1">
        <v>12</v>
      </c>
      <c r="S470" s="1">
        <v>9.25</v>
      </c>
      <c r="T470" s="1">
        <v>0</v>
      </c>
      <c r="V470" s="1" t="s">
        <v>11223</v>
      </c>
      <c r="W470" s="1">
        <v>100</v>
      </c>
      <c r="X470" s="1" t="s">
        <v>298</v>
      </c>
      <c r="Y470" s="1" t="s">
        <v>299</v>
      </c>
      <c r="Z470" s="1">
        <v>1</v>
      </c>
      <c r="AA470" s="1">
        <f>ROUND(H470*I470*Z470, 3)</f>
        <v>70.450999999999993</v>
      </c>
      <c r="AB470" s="1">
        <f>ROUND(VLOOKUP(X470,'Base de dados'!A:B, 2, 0)*AA470, 2)</f>
        <v>7.05</v>
      </c>
      <c r="AC470" s="1">
        <f>ROUND((AA470*(Destino!AG470/100))*(W470/100),2)</f>
        <v>8.4499999999999993</v>
      </c>
      <c r="AD470" s="1">
        <f>ROUND(AA470*(Destino!AH470/100),2)</f>
        <v>6.52</v>
      </c>
      <c r="AF470" s="1">
        <f>ROUND((AA470+ AB470)*(J470/100),2)</f>
        <v>1.1599999999999999</v>
      </c>
      <c r="AG470" s="1">
        <f>ROUND(AA470*T470,2)</f>
        <v>0</v>
      </c>
      <c r="AH470" s="1">
        <f>ROUND(AA470-(AC470+AD470)+AF470+AG470, 3)</f>
        <v>56.640999999999998</v>
      </c>
      <c r="AI470" s="1">
        <f>AH470*M470*K470</f>
        <v>56.640999999999998</v>
      </c>
      <c r="BA470" s="1" t="s">
        <v>11735</v>
      </c>
      <c r="BB470" s="1">
        <f>AI470</f>
        <v>56.640999999999998</v>
      </c>
      <c r="BD470" s="1">
        <f>N470</f>
        <v>1</v>
      </c>
    </row>
    <row r="471" spans="1:56" x14ac:dyDescent="0.25">
      <c r="A471" s="1">
        <v>600002837</v>
      </c>
      <c r="B471" s="1">
        <v>1100</v>
      </c>
      <c r="C471" s="1">
        <v>2200001473</v>
      </c>
      <c r="D471" s="1" t="s">
        <v>303</v>
      </c>
      <c r="E471" s="1">
        <f>IF(AND(B471&lt;&gt;1110,B471&lt;&gt;1210,B471&lt;&gt;1510,B471&lt;&gt;1710),B471,IF(B471=1110,"1100",IF(B471=1210,"1200",IF(B471=1510,"1500",IF(B471=1710,"1700","X")))))</f>
        <v>1100</v>
      </c>
      <c r="F471" s="1" t="s">
        <v>11198</v>
      </c>
      <c r="G471" s="1" t="s">
        <v>302</v>
      </c>
      <c r="H471" s="1">
        <f>ROUND(P471/(1-((R471+S471))/100)*Q471, 3)</f>
        <v>147.21100000000001</v>
      </c>
      <c r="I471" s="1">
        <v>0.45</v>
      </c>
      <c r="J471" s="1">
        <v>2</v>
      </c>
      <c r="K471" s="1">
        <v>1</v>
      </c>
      <c r="L471" s="1" t="s">
        <v>292</v>
      </c>
      <c r="M471" s="1">
        <v>1</v>
      </c>
      <c r="N471" s="1">
        <v>1</v>
      </c>
      <c r="O471" s="1" t="s">
        <v>296</v>
      </c>
      <c r="P471" s="1">
        <v>123.289</v>
      </c>
      <c r="Q471" s="1">
        <v>1</v>
      </c>
      <c r="R471" s="1">
        <v>7</v>
      </c>
      <c r="S471" s="1">
        <v>9.25</v>
      </c>
      <c r="T471" s="1">
        <v>0</v>
      </c>
      <c r="V471" s="1" t="s">
        <v>11223</v>
      </c>
      <c r="W471" s="1">
        <v>100</v>
      </c>
      <c r="X471" s="1" t="s">
        <v>298</v>
      </c>
      <c r="Y471" s="1" t="s">
        <v>299</v>
      </c>
      <c r="Z471" s="1">
        <v>1</v>
      </c>
      <c r="AA471" s="1">
        <f>ROUND(H471*I471*Z471, 3)</f>
        <v>66.245000000000005</v>
      </c>
      <c r="AB471" s="1">
        <f>ROUND(VLOOKUP(X471,'Base de dados'!A:B, 2, 0)*AA471, 2)</f>
        <v>6.62</v>
      </c>
      <c r="AC471" s="1">
        <f>ROUND((AA471*(Destino!AG471/100))*(W471/100),2)</f>
        <v>4.6399999999999997</v>
      </c>
      <c r="AD471" s="1">
        <f>ROUND(AA471*(Destino!AH471/100),2)</f>
        <v>6.13</v>
      </c>
      <c r="AF471" s="1">
        <f>ROUND((AA471+ AB471)*(J471/100),2)</f>
        <v>1.46</v>
      </c>
      <c r="AG471" s="1">
        <f>ROUND(AA471*T471,2)</f>
        <v>0</v>
      </c>
      <c r="AH471" s="1">
        <f>ROUND(AA471-(AC471+AD471)+AF471+AG471, 3)</f>
        <v>56.935000000000002</v>
      </c>
      <c r="AI471" s="1">
        <f>AH471*M471*K471</f>
        <v>56.935000000000002</v>
      </c>
      <c r="BA471" s="1" t="s">
        <v>11736</v>
      </c>
      <c r="BB471" s="1">
        <f>AI471</f>
        <v>56.935000000000002</v>
      </c>
      <c r="BD471" s="1">
        <f>N471</f>
        <v>1</v>
      </c>
    </row>
    <row r="472" spans="1:56" x14ac:dyDescent="0.25">
      <c r="A472" s="1">
        <v>600002837</v>
      </c>
      <c r="B472" s="1">
        <v>1110</v>
      </c>
      <c r="C472" s="1">
        <v>2200001473</v>
      </c>
      <c r="D472" s="1" t="s">
        <v>303</v>
      </c>
      <c r="E472" s="1" t="str">
        <f>IF(AND(B472&lt;&gt;1110,B472&lt;&gt;1210,B472&lt;&gt;1510,B472&lt;&gt;1710),B472,IF(B472=1110,"1100",IF(B472=1210,"1200",IF(B472=1510,"1500",IF(B472=1710,"1700","X")))))</f>
        <v>1100</v>
      </c>
      <c r="F472" s="1" t="s">
        <v>447</v>
      </c>
      <c r="G472" s="1" t="s">
        <v>302</v>
      </c>
      <c r="H472" s="1">
        <f>ROUND(P472/(1-((R472+S472))/100)*Q472, 3)</f>
        <v>147.21100000000001</v>
      </c>
      <c r="I472" s="1">
        <v>0.45</v>
      </c>
      <c r="J472" s="1">
        <v>4</v>
      </c>
      <c r="K472" s="1">
        <v>1</v>
      </c>
      <c r="L472" s="1" t="s">
        <v>292</v>
      </c>
      <c r="M472" s="1">
        <v>1</v>
      </c>
      <c r="N472" s="1">
        <v>0.75275499999999995</v>
      </c>
      <c r="O472" s="1" t="s">
        <v>296</v>
      </c>
      <c r="P472" s="1">
        <v>123.289</v>
      </c>
      <c r="Q472" s="1">
        <v>1</v>
      </c>
      <c r="R472" s="1">
        <v>7</v>
      </c>
      <c r="S472" s="1">
        <v>9.25</v>
      </c>
      <c r="T472" s="1">
        <v>0</v>
      </c>
      <c r="V472" s="1" t="s">
        <v>11223</v>
      </c>
      <c r="W472" s="1">
        <v>100</v>
      </c>
      <c r="X472" s="1" t="s">
        <v>298</v>
      </c>
      <c r="Y472" s="1" t="s">
        <v>299</v>
      </c>
      <c r="Z472" s="1">
        <v>1</v>
      </c>
      <c r="AA472" s="1">
        <f>ROUND(H472*I472*Z472, 3)</f>
        <v>66.245000000000005</v>
      </c>
      <c r="AB472" s="1">
        <f>ROUND(VLOOKUP(X472,'Base de dados'!A:B, 2, 0)*AA472, 2)</f>
        <v>6.62</v>
      </c>
      <c r="AC472" s="1">
        <f>ROUND((AA472*(Destino!AG472/100))*(W472/100),2)</f>
        <v>4.6399999999999997</v>
      </c>
      <c r="AD472" s="1">
        <f>ROUND(AA472*(Destino!AH472/100),2)</f>
        <v>6.13</v>
      </c>
      <c r="AE472" s="1">
        <f>ROUND((((AA472+AB472)*1.5039)*(Destino!AI472/100))-AC472,2)</f>
        <v>13.99</v>
      </c>
      <c r="AF472" s="1">
        <f>ROUND((AA472+AB472+AE472)*(J472/100),2)</f>
        <v>3.47</v>
      </c>
      <c r="AG472" s="1">
        <f>ROUND(AA472*T472,2)</f>
        <v>0</v>
      </c>
      <c r="AH472" s="1">
        <f>ROUND(AA472-AD472+AE472+AF472+AG472, 3)</f>
        <v>77.575000000000003</v>
      </c>
      <c r="AI472" s="1">
        <f>AH472*M472*K472</f>
        <v>77.575000000000003</v>
      </c>
      <c r="BA472" s="1" t="s">
        <v>11737</v>
      </c>
      <c r="BB472" s="1">
        <f>AI472</f>
        <v>77.575000000000003</v>
      </c>
      <c r="BD472" s="1">
        <f>N472</f>
        <v>0.75275499999999995</v>
      </c>
    </row>
    <row r="473" spans="1:56" x14ac:dyDescent="0.25">
      <c r="A473" s="1">
        <v>600002837</v>
      </c>
      <c r="B473" s="1">
        <v>1300</v>
      </c>
      <c r="C473" s="1">
        <v>2200001421</v>
      </c>
      <c r="D473" s="1" t="s">
        <v>303</v>
      </c>
      <c r="E473" s="1">
        <f>IF(AND(B473&lt;&gt;1110,B473&lt;&gt;1210,B473&lt;&gt;1510,B473&lt;&gt;1710),B473,IF(B473=1110,"1100",IF(B473=1210,"1200",IF(B473=1510,"1500",IF(B473=1710,"1700","X")))))</f>
        <v>1300</v>
      </c>
      <c r="F473" s="1" t="s">
        <v>11247</v>
      </c>
      <c r="G473" s="1" t="s">
        <v>302</v>
      </c>
      <c r="H473" s="1">
        <f>ROUND(P473/(1-((R473+S473))/100)*Q473, 3)</f>
        <v>67.75</v>
      </c>
      <c r="I473" s="1">
        <v>1</v>
      </c>
      <c r="J473" s="1">
        <v>7</v>
      </c>
      <c r="K473" s="1">
        <v>1</v>
      </c>
      <c r="L473" s="1" t="s">
        <v>292</v>
      </c>
      <c r="M473" s="1">
        <v>1</v>
      </c>
      <c r="N473" s="1">
        <v>1</v>
      </c>
      <c r="O473" s="1" t="s">
        <v>292</v>
      </c>
      <c r="P473" s="1">
        <f>IFERROR(VLOOKUP(BC473, BA:BA:BB:BB, 2, 0),)</f>
        <v>56.741</v>
      </c>
      <c r="Q473" s="1">
        <f>IFERROR(VLOOKUP(BC473, BA:BA:BD:BD, 4, 0),1)</f>
        <v>1</v>
      </c>
      <c r="R473" s="1">
        <v>7</v>
      </c>
      <c r="S473" s="1">
        <v>9.25</v>
      </c>
      <c r="T473" s="1">
        <v>0</v>
      </c>
      <c r="V473" s="1" t="s">
        <v>11223</v>
      </c>
      <c r="W473" s="1">
        <v>100</v>
      </c>
      <c r="X473" s="1" t="s">
        <v>298</v>
      </c>
      <c r="Y473" s="1" t="s">
        <v>299</v>
      </c>
      <c r="Z473" s="1">
        <v>1</v>
      </c>
      <c r="AA473" s="1">
        <f>ROUND(H473*I473*Z473, 3)</f>
        <v>67.75</v>
      </c>
      <c r="AB473" s="1">
        <f>ROUND(VLOOKUP(X473,'Base de dados'!A:B, 2, 0)*AA473, 2)</f>
        <v>6.78</v>
      </c>
      <c r="AC473" s="1">
        <f>ROUND((AA473*(Destino!AG473/100))*(W473/100),2)</f>
        <v>0</v>
      </c>
      <c r="AD473" s="1">
        <f>ROUND((AA473+AB473)*(Destino!AH473/100),2)</f>
        <v>6.89</v>
      </c>
      <c r="AF473" s="1">
        <f>ROUND((AA473+ AB473)*(J473/100),2)</f>
        <v>5.22</v>
      </c>
      <c r="AG473" s="1">
        <f>ROUND(AA473*T473,2)</f>
        <v>0</v>
      </c>
      <c r="AH473" s="1">
        <f>ROUND((AA473+AB473)-(AC473+AD473)+AF473+AG473, 3)</f>
        <v>72.86</v>
      </c>
      <c r="AI473" s="1">
        <f>AH473*M473*K473</f>
        <v>72.86</v>
      </c>
      <c r="BB473" s="1">
        <f>AI473</f>
        <v>72.86</v>
      </c>
      <c r="BC473" s="1" t="s">
        <v>11448</v>
      </c>
      <c r="BD473" s="1">
        <f>N473</f>
        <v>1</v>
      </c>
    </row>
    <row r="474" spans="1:56" x14ac:dyDescent="0.25">
      <c r="A474" s="1">
        <v>600002837</v>
      </c>
      <c r="B474" s="1">
        <v>1400</v>
      </c>
      <c r="C474" s="1">
        <v>2200001473</v>
      </c>
      <c r="D474" s="1" t="s">
        <v>303</v>
      </c>
      <c r="E474" s="1">
        <f>IF(AND(B474&lt;&gt;1110,B474&lt;&gt;1210,B474&lt;&gt;1510,B474&lt;&gt;1710),B474,IF(B474=1110,"1100",IF(B474=1210,"1200",IF(B474=1510,"1500",IF(B474=1710,"1700","X")))))</f>
        <v>1400</v>
      </c>
      <c r="F474" s="1" t="s">
        <v>11198</v>
      </c>
      <c r="G474" s="1" t="s">
        <v>302</v>
      </c>
      <c r="H474" s="1">
        <f>ROUND(P474/(1-((R474+S474))/100)*Q474, 3)</f>
        <v>169.46899999999999</v>
      </c>
      <c r="I474" s="1">
        <v>0.45</v>
      </c>
      <c r="J474" s="1">
        <v>1.5</v>
      </c>
      <c r="K474" s="1">
        <v>1</v>
      </c>
      <c r="L474" s="1" t="s">
        <v>292</v>
      </c>
      <c r="M474" s="1">
        <v>1</v>
      </c>
      <c r="N474" s="1">
        <v>1</v>
      </c>
      <c r="O474" s="1" t="s">
        <v>296</v>
      </c>
      <c r="P474" s="1">
        <v>123.289</v>
      </c>
      <c r="Q474" s="1">
        <v>1</v>
      </c>
      <c r="R474" s="1">
        <v>18</v>
      </c>
      <c r="S474" s="1">
        <v>9.25</v>
      </c>
      <c r="T474" s="1">
        <v>0</v>
      </c>
      <c r="V474" s="1" t="s">
        <v>11223</v>
      </c>
      <c r="W474" s="1">
        <v>100</v>
      </c>
      <c r="X474" s="1" t="s">
        <v>298</v>
      </c>
      <c r="Y474" s="1" t="s">
        <v>299</v>
      </c>
      <c r="Z474" s="1">
        <v>1</v>
      </c>
      <c r="AA474" s="1">
        <f>ROUND(H474*I474*Z474, 3)</f>
        <v>76.260999999999996</v>
      </c>
      <c r="AB474" s="1">
        <f>ROUND(VLOOKUP(X474,'Base de dados'!A:B, 2, 0)*AA474, 2)</f>
        <v>7.63</v>
      </c>
      <c r="AC474" s="1">
        <f>ROUND((AA474*(Destino!AG474/100))*(W474/100),2)</f>
        <v>13.73</v>
      </c>
      <c r="AD474" s="1">
        <f>ROUND(AA474*(Destino!AH474/100),2)</f>
        <v>7.05</v>
      </c>
      <c r="AF474" s="1">
        <f>ROUND((AA474+ AB474)*(J474/100),2)</f>
        <v>1.26</v>
      </c>
      <c r="AG474" s="1">
        <f>ROUND(AA474*T474,2)</f>
        <v>0</v>
      </c>
      <c r="AH474" s="1">
        <f>ROUND(AA474-(AC474+AD474)+AF474+AG474, 3)</f>
        <v>56.741</v>
      </c>
      <c r="AI474" s="1">
        <f>AH474*M474*K474</f>
        <v>56.741</v>
      </c>
      <c r="BA474" s="1" t="s">
        <v>11448</v>
      </c>
      <c r="BB474" s="1">
        <f>AI474</f>
        <v>56.741</v>
      </c>
      <c r="BD474" s="1">
        <f>N474</f>
        <v>1</v>
      </c>
    </row>
    <row r="475" spans="1:56" x14ac:dyDescent="0.25">
      <c r="A475" s="1">
        <v>600002837</v>
      </c>
      <c r="B475" s="1">
        <v>1700</v>
      </c>
      <c r="C475" s="1">
        <v>2200001421</v>
      </c>
      <c r="D475" s="1" t="s">
        <v>303</v>
      </c>
      <c r="E475" s="1">
        <f>IF(AND(B475&lt;&gt;1110,B475&lt;&gt;1210,B475&lt;&gt;1510,B475&lt;&gt;1710),B475,IF(B475=1110,"1100",IF(B475=1210,"1200",IF(B475=1510,"1500",IF(B475=1710,"1700","X")))))</f>
        <v>1700</v>
      </c>
      <c r="F475" s="1" t="s">
        <v>11238</v>
      </c>
      <c r="G475" s="1" t="s">
        <v>302</v>
      </c>
      <c r="H475" s="1">
        <f>ROUND(P475/(1-((R475+S475))/100)*Q475, 3)</f>
        <v>67.75</v>
      </c>
      <c r="I475" s="1">
        <v>0.25</v>
      </c>
      <c r="J475" s="1">
        <v>3</v>
      </c>
      <c r="K475" s="1">
        <v>1</v>
      </c>
      <c r="L475" s="1" t="s">
        <v>292</v>
      </c>
      <c r="M475" s="1">
        <v>4</v>
      </c>
      <c r="N475" s="1">
        <v>1</v>
      </c>
      <c r="O475" s="1" t="s">
        <v>296</v>
      </c>
      <c r="P475" s="1">
        <f>IFERROR(VLOOKUP(BC475, BA:BA:BB:BB, 2, 0),)</f>
        <v>56.741</v>
      </c>
      <c r="Q475" s="1">
        <f>IFERROR(VLOOKUP(BC475, BA:BA:BD:BD, 4, 0),1)</f>
        <v>1</v>
      </c>
      <c r="R475" s="1">
        <v>7</v>
      </c>
      <c r="S475" s="1">
        <v>9.25</v>
      </c>
      <c r="T475" s="1">
        <v>0</v>
      </c>
      <c r="V475" s="1" t="s">
        <v>11223</v>
      </c>
      <c r="W475" s="1">
        <v>100</v>
      </c>
      <c r="X475" s="1" t="s">
        <v>298</v>
      </c>
      <c r="Y475" s="1" t="s">
        <v>299</v>
      </c>
      <c r="Z475" s="1">
        <v>1</v>
      </c>
      <c r="AA475" s="1">
        <f>ROUND(H475*I475*Z475, 3)</f>
        <v>16.937999999999999</v>
      </c>
      <c r="AB475" s="1">
        <f>ROUND(VLOOKUP(X475,'Base de dados'!A:B, 2, 0)*AA475, 2)</f>
        <v>1.69</v>
      </c>
      <c r="AC475" s="1">
        <f>ROUND((AA475*(Destino!AG475/100))*(W475/100),2)</f>
        <v>1.19</v>
      </c>
      <c r="AD475" s="1">
        <f>ROUND(AA475*(Destino!AH475/100),2)</f>
        <v>0</v>
      </c>
      <c r="AE475" s="1">
        <f>ROUND((((AA475+AB475)*1.48)*(Destino!AI475/100))-AC475,2)</f>
        <v>3.5</v>
      </c>
      <c r="AF475" s="1">
        <f>ROUND((AA475+AB475+AE475)*(J475/100),2)</f>
        <v>0.66</v>
      </c>
      <c r="AG475" s="1">
        <f>ROUND(AA475*T475,2)</f>
        <v>0</v>
      </c>
      <c r="AH475" s="1">
        <f>ROUND(AA475+AB475-AD475+AE475+AF475+AG475, 3)</f>
        <v>22.788</v>
      </c>
      <c r="AI475" s="1">
        <f>AH475*M475*K475</f>
        <v>91.152000000000001</v>
      </c>
      <c r="BA475" s="1" t="s">
        <v>11338</v>
      </c>
      <c r="BB475" s="1">
        <f>AI475</f>
        <v>91.152000000000001</v>
      </c>
      <c r="BC475" s="1" t="s">
        <v>11448</v>
      </c>
      <c r="BD475" s="1">
        <f>N475</f>
        <v>1</v>
      </c>
    </row>
    <row r="476" spans="1:56" x14ac:dyDescent="0.25">
      <c r="A476" s="1">
        <v>600002838</v>
      </c>
      <c r="B476" s="1">
        <v>1000</v>
      </c>
      <c r="C476" s="1">
        <v>2200001473</v>
      </c>
      <c r="D476" s="1" t="s">
        <v>303</v>
      </c>
      <c r="E476" s="1">
        <f>IF(AND(B476&lt;&gt;1110,B476&lt;&gt;1210,B476&lt;&gt;1510,B476&lt;&gt;1710),B476,IF(B476=1110,"1100",IF(B476=1210,"1200",IF(B476=1510,"1500",IF(B476=1710,"1700","X")))))</f>
        <v>1000</v>
      </c>
      <c r="F476" s="1" t="s">
        <v>11198</v>
      </c>
      <c r="G476" s="1" t="s">
        <v>302</v>
      </c>
      <c r="H476" s="1">
        <f>ROUND(P476/(1-((R476+S476))/100)*Q476, 3)</f>
        <v>169.37100000000001</v>
      </c>
      <c r="I476" s="1">
        <v>0.45</v>
      </c>
      <c r="J476" s="1">
        <v>1.5</v>
      </c>
      <c r="K476" s="1">
        <v>1</v>
      </c>
      <c r="L476" s="1" t="s">
        <v>292</v>
      </c>
      <c r="M476" s="1">
        <v>1</v>
      </c>
      <c r="N476" s="1">
        <v>1</v>
      </c>
      <c r="O476" s="1" t="s">
        <v>296</v>
      </c>
      <c r="P476" s="1">
        <v>133.38</v>
      </c>
      <c r="Q476" s="1">
        <v>1</v>
      </c>
      <c r="R476" s="1">
        <v>12</v>
      </c>
      <c r="S476" s="1">
        <v>9.25</v>
      </c>
      <c r="T476" s="1">
        <v>0</v>
      </c>
      <c r="V476" s="1" t="s">
        <v>11223</v>
      </c>
      <c r="W476" s="1">
        <v>100</v>
      </c>
      <c r="X476" s="1" t="s">
        <v>298</v>
      </c>
      <c r="Y476" s="1" t="s">
        <v>299</v>
      </c>
      <c r="Z476" s="1">
        <v>1</v>
      </c>
      <c r="AA476" s="1">
        <f>ROUND(H476*I476*Z476, 3)</f>
        <v>76.216999999999999</v>
      </c>
      <c r="AB476" s="1">
        <f>ROUND(VLOOKUP(X476,'Base de dados'!A:B, 2, 0)*AA476, 2)</f>
        <v>7.62</v>
      </c>
      <c r="AC476" s="1">
        <f>ROUND((AA476*(Destino!AG476/100))*(W476/100),2)</f>
        <v>9.15</v>
      </c>
      <c r="AD476" s="1">
        <f>ROUND(AA476*(Destino!AH476/100),2)</f>
        <v>7.05</v>
      </c>
      <c r="AF476" s="1">
        <f>ROUND((AA476+ AB476)*(J476/100),2)</f>
        <v>1.26</v>
      </c>
      <c r="AG476" s="1">
        <f>ROUND(AA476*T476,2)</f>
        <v>0</v>
      </c>
      <c r="AH476" s="1">
        <f>ROUND(AA476-(AC476+AD476)+AF476+AG476, 3)</f>
        <v>61.277000000000001</v>
      </c>
      <c r="AI476" s="1">
        <f>AH476*M476*K476</f>
        <v>61.277000000000001</v>
      </c>
      <c r="BA476" s="1" t="s">
        <v>11738</v>
      </c>
      <c r="BB476" s="1">
        <f>AI476</f>
        <v>61.277000000000001</v>
      </c>
      <c r="BD476" s="1">
        <f>N476</f>
        <v>1</v>
      </c>
    </row>
    <row r="477" spans="1:56" x14ac:dyDescent="0.25">
      <c r="A477" s="1">
        <v>600002838</v>
      </c>
      <c r="B477" s="1">
        <v>1100</v>
      </c>
      <c r="C477" s="1">
        <v>2200001473</v>
      </c>
      <c r="D477" s="1" t="s">
        <v>303</v>
      </c>
      <c r="E477" s="1">
        <f>IF(AND(B477&lt;&gt;1110,B477&lt;&gt;1210,B477&lt;&gt;1510,B477&lt;&gt;1710),B477,IF(B477=1110,"1100",IF(B477=1210,"1200",IF(B477=1510,"1500",IF(B477=1710,"1700","X")))))</f>
        <v>1100</v>
      </c>
      <c r="F477" s="1" t="s">
        <v>11198</v>
      </c>
      <c r="G477" s="1" t="s">
        <v>302</v>
      </c>
      <c r="H477" s="1">
        <f>ROUND(P477/(1-((R477+S477))/100)*Q477, 3)</f>
        <v>159.26</v>
      </c>
      <c r="I477" s="1">
        <v>0.45</v>
      </c>
      <c r="J477" s="1">
        <v>2</v>
      </c>
      <c r="K477" s="1">
        <v>1</v>
      </c>
      <c r="L477" s="1" t="s">
        <v>292</v>
      </c>
      <c r="M477" s="1">
        <v>1</v>
      </c>
      <c r="N477" s="1">
        <v>1</v>
      </c>
      <c r="O477" s="1" t="s">
        <v>296</v>
      </c>
      <c r="P477" s="1">
        <v>133.38</v>
      </c>
      <c r="Q477" s="1">
        <v>1</v>
      </c>
      <c r="R477" s="1">
        <v>7</v>
      </c>
      <c r="S477" s="1">
        <v>9.25</v>
      </c>
      <c r="T477" s="1">
        <v>0</v>
      </c>
      <c r="V477" s="1" t="s">
        <v>11223</v>
      </c>
      <c r="W477" s="1">
        <v>100</v>
      </c>
      <c r="X477" s="1" t="s">
        <v>298</v>
      </c>
      <c r="Y477" s="1" t="s">
        <v>299</v>
      </c>
      <c r="Z477" s="1">
        <v>1</v>
      </c>
      <c r="AA477" s="1">
        <f>ROUND(H477*I477*Z477, 3)</f>
        <v>71.667000000000002</v>
      </c>
      <c r="AB477" s="1">
        <f>ROUND(VLOOKUP(X477,'Base de dados'!A:B, 2, 0)*AA477, 2)</f>
        <v>7.17</v>
      </c>
      <c r="AC477" s="1">
        <f>ROUND((AA477*(Destino!AG477/100))*(W477/100),2)</f>
        <v>5.0199999999999996</v>
      </c>
      <c r="AD477" s="1">
        <f>ROUND(AA477*(Destino!AH477/100),2)</f>
        <v>6.63</v>
      </c>
      <c r="AF477" s="1">
        <f>ROUND((AA477+ AB477)*(J477/100),2)</f>
        <v>1.58</v>
      </c>
      <c r="AG477" s="1">
        <f>ROUND(AA477*T477,2)</f>
        <v>0</v>
      </c>
      <c r="AH477" s="1">
        <f>ROUND(AA477-(AC477+AD477)+AF477+AG477, 3)</f>
        <v>61.597000000000001</v>
      </c>
      <c r="AI477" s="1">
        <f>AH477*M477*K477</f>
        <v>61.597000000000001</v>
      </c>
      <c r="BA477" s="1" t="s">
        <v>11739</v>
      </c>
      <c r="BB477" s="1">
        <f>AI477</f>
        <v>61.597000000000001</v>
      </c>
      <c r="BD477" s="1">
        <f>N477</f>
        <v>1</v>
      </c>
    </row>
    <row r="478" spans="1:56" x14ac:dyDescent="0.25">
      <c r="A478" s="1">
        <v>600002838</v>
      </c>
      <c r="B478" s="1">
        <v>1110</v>
      </c>
      <c r="C478" s="1">
        <v>2200001473</v>
      </c>
      <c r="D478" s="1" t="s">
        <v>303</v>
      </c>
      <c r="E478" s="1" t="str">
        <f>IF(AND(B478&lt;&gt;1110,B478&lt;&gt;1210,B478&lt;&gt;1510,B478&lt;&gt;1710),B478,IF(B478=1110,"1100",IF(B478=1210,"1200",IF(B478=1510,"1500",IF(B478=1710,"1700","X")))))</f>
        <v>1100</v>
      </c>
      <c r="F478" s="1" t="s">
        <v>447</v>
      </c>
      <c r="G478" s="1" t="s">
        <v>302</v>
      </c>
      <c r="H478" s="1">
        <f>ROUND(P478/(1-((R478+S478))/100)*Q478, 3)</f>
        <v>159.26</v>
      </c>
      <c r="I478" s="1">
        <v>0.45</v>
      </c>
      <c r="J478" s="1">
        <v>4</v>
      </c>
      <c r="K478" s="1">
        <v>1</v>
      </c>
      <c r="L478" s="1" t="s">
        <v>292</v>
      </c>
      <c r="M478" s="1">
        <v>1</v>
      </c>
      <c r="N478" s="1">
        <v>0.75255300000000003</v>
      </c>
      <c r="O478" s="1" t="s">
        <v>296</v>
      </c>
      <c r="P478" s="1">
        <v>133.38</v>
      </c>
      <c r="Q478" s="1">
        <v>1</v>
      </c>
      <c r="R478" s="1">
        <v>7</v>
      </c>
      <c r="S478" s="1">
        <v>9.25</v>
      </c>
      <c r="T478" s="1">
        <v>0</v>
      </c>
      <c r="V478" s="1" t="s">
        <v>11223</v>
      </c>
      <c r="W478" s="1">
        <v>100</v>
      </c>
      <c r="X478" s="1" t="s">
        <v>298</v>
      </c>
      <c r="Y478" s="1" t="s">
        <v>299</v>
      </c>
      <c r="Z478" s="1">
        <v>1</v>
      </c>
      <c r="AA478" s="1">
        <f>ROUND(H478*I478*Z478, 3)</f>
        <v>71.667000000000002</v>
      </c>
      <c r="AB478" s="1">
        <f>ROUND(VLOOKUP(X478,'Base de dados'!A:B, 2, 0)*AA478, 2)</f>
        <v>7.17</v>
      </c>
      <c r="AC478" s="1">
        <f>ROUND((AA478*(Destino!AG478/100))*(W478/100),2)</f>
        <v>5.0199999999999996</v>
      </c>
      <c r="AD478" s="1">
        <f>ROUND(AA478*(Destino!AH478/100),2)</f>
        <v>6.63</v>
      </c>
      <c r="AE478" s="1">
        <f>ROUND((((AA478+AB478)*1.5039)*(Destino!AI478/100))-AC478,2)</f>
        <v>15.14</v>
      </c>
      <c r="AF478" s="1">
        <f>ROUND((AA478+AB478+AE478)*(J478/100),2)</f>
        <v>3.76</v>
      </c>
      <c r="AG478" s="1">
        <f>ROUND(AA478*T478,2)</f>
        <v>0</v>
      </c>
      <c r="AH478" s="1">
        <f>ROUND(AA478-AD478+AE478+AF478+AG478, 3)</f>
        <v>83.936999999999998</v>
      </c>
      <c r="AI478" s="1">
        <f>AH478*M478*K478</f>
        <v>83.936999999999998</v>
      </c>
      <c r="BA478" s="1" t="s">
        <v>11740</v>
      </c>
      <c r="BB478" s="1">
        <f>AI478</f>
        <v>83.936999999999998</v>
      </c>
      <c r="BD478" s="1">
        <f>N478</f>
        <v>0.75255300000000003</v>
      </c>
    </row>
    <row r="479" spans="1:56" x14ac:dyDescent="0.25">
      <c r="A479" s="1">
        <v>600002838</v>
      </c>
      <c r="B479" s="1">
        <v>1400</v>
      </c>
      <c r="C479" s="1">
        <v>2200001473</v>
      </c>
      <c r="D479" s="1" t="s">
        <v>303</v>
      </c>
      <c r="E479" s="1">
        <f>IF(AND(B479&lt;&gt;1110,B479&lt;&gt;1210,B479&lt;&gt;1510,B479&lt;&gt;1710),B479,IF(B479=1110,"1100",IF(B479=1210,"1200",IF(B479=1510,"1500",IF(B479=1710,"1700","X")))))</f>
        <v>1400</v>
      </c>
      <c r="F479" s="1" t="s">
        <v>11198</v>
      </c>
      <c r="G479" s="1" t="s">
        <v>302</v>
      </c>
      <c r="H479" s="1">
        <f>ROUND(P479/(1-((R479+S479))/100)*Q479, 3)</f>
        <v>183.34</v>
      </c>
      <c r="I479" s="1">
        <v>0.45</v>
      </c>
      <c r="J479" s="1">
        <v>1.5</v>
      </c>
      <c r="K479" s="1">
        <v>1</v>
      </c>
      <c r="L479" s="1" t="s">
        <v>292</v>
      </c>
      <c r="M479" s="1">
        <v>1</v>
      </c>
      <c r="N479" s="1">
        <v>1</v>
      </c>
      <c r="O479" s="1" t="s">
        <v>296</v>
      </c>
      <c r="P479" s="1">
        <v>133.38</v>
      </c>
      <c r="Q479" s="1">
        <v>1</v>
      </c>
      <c r="R479" s="1">
        <v>18</v>
      </c>
      <c r="S479" s="1">
        <v>9.25</v>
      </c>
      <c r="T479" s="1">
        <v>0</v>
      </c>
      <c r="V479" s="1" t="s">
        <v>11223</v>
      </c>
      <c r="W479" s="1">
        <v>100</v>
      </c>
      <c r="X479" s="1" t="s">
        <v>298</v>
      </c>
      <c r="Y479" s="1" t="s">
        <v>299</v>
      </c>
      <c r="Z479" s="1">
        <v>1</v>
      </c>
      <c r="AA479" s="1">
        <f>ROUND(H479*I479*Z479, 3)</f>
        <v>82.503</v>
      </c>
      <c r="AB479" s="1">
        <f>ROUND(VLOOKUP(X479,'Base de dados'!A:B, 2, 0)*AA479, 2)</f>
        <v>8.25</v>
      </c>
      <c r="AC479" s="1">
        <f>ROUND((AA479*(Destino!AG479/100))*(W479/100),2)</f>
        <v>14.85</v>
      </c>
      <c r="AD479" s="1">
        <f>ROUND(AA479*(Destino!AH479/100),2)</f>
        <v>7.63</v>
      </c>
      <c r="AF479" s="1">
        <f>ROUND((AA479+ AB479)*(J479/100),2)</f>
        <v>1.36</v>
      </c>
      <c r="AG479" s="1">
        <f>ROUND(AA479*T479,2)</f>
        <v>0</v>
      </c>
      <c r="AH479" s="1">
        <f>ROUND(AA479-(AC479+AD479)+AF479+AG479, 3)</f>
        <v>61.383000000000003</v>
      </c>
      <c r="AI479" s="1">
        <f>AH479*M479*K479</f>
        <v>61.383000000000003</v>
      </c>
      <c r="BA479" s="1" t="s">
        <v>11449</v>
      </c>
      <c r="BB479" s="1">
        <f>AI479</f>
        <v>61.383000000000003</v>
      </c>
      <c r="BD479" s="1">
        <f>N479</f>
        <v>1</v>
      </c>
    </row>
    <row r="480" spans="1:56" x14ac:dyDescent="0.25">
      <c r="A480" s="1">
        <v>600002838</v>
      </c>
      <c r="B480" s="1">
        <v>1700</v>
      </c>
      <c r="C480" s="1">
        <v>2200001421</v>
      </c>
      <c r="D480" s="1" t="s">
        <v>303</v>
      </c>
      <c r="E480" s="1">
        <f>IF(AND(B480&lt;&gt;1110,B480&lt;&gt;1210,B480&lt;&gt;1510,B480&lt;&gt;1710),B480,IF(B480=1110,"1100",IF(B480=1210,"1200",IF(B480=1510,"1500",IF(B480=1710,"1700","X")))))</f>
        <v>1700</v>
      </c>
      <c r="F480" s="1" t="s">
        <v>11238</v>
      </c>
      <c r="G480" s="1" t="s">
        <v>302</v>
      </c>
      <c r="H480" s="1">
        <f>ROUND(P480/(1-((R480+S480))/100)*Q480, 3)</f>
        <v>73.293000000000006</v>
      </c>
      <c r="I480" s="1">
        <v>0.25</v>
      </c>
      <c r="J480" s="1">
        <v>3</v>
      </c>
      <c r="K480" s="1">
        <v>1</v>
      </c>
      <c r="L480" s="1" t="s">
        <v>292</v>
      </c>
      <c r="M480" s="1">
        <v>4</v>
      </c>
      <c r="N480" s="1">
        <v>1</v>
      </c>
      <c r="O480" s="1" t="s">
        <v>296</v>
      </c>
      <c r="P480" s="1">
        <f>IFERROR(VLOOKUP(BC480, BA:BA:BB:BB, 2, 0),)</f>
        <v>61.383000000000003</v>
      </c>
      <c r="Q480" s="1">
        <f>IFERROR(VLOOKUP(BC480, BA:BA:BD:BD, 4, 0),1)</f>
        <v>1</v>
      </c>
      <c r="R480" s="1">
        <v>7</v>
      </c>
      <c r="S480" s="1">
        <v>9.25</v>
      </c>
      <c r="T480" s="1">
        <v>0</v>
      </c>
      <c r="V480" s="1" t="s">
        <v>11223</v>
      </c>
      <c r="W480" s="1">
        <v>100</v>
      </c>
      <c r="X480" s="1" t="s">
        <v>298</v>
      </c>
      <c r="Y480" s="1" t="s">
        <v>299</v>
      </c>
      <c r="Z480" s="1">
        <v>1</v>
      </c>
      <c r="AA480" s="1">
        <f>ROUND(H480*I480*Z480, 3)</f>
        <v>18.323</v>
      </c>
      <c r="AB480" s="1">
        <f>ROUND(VLOOKUP(X480,'Base de dados'!A:B, 2, 0)*AA480, 2)</f>
        <v>1.83</v>
      </c>
      <c r="AC480" s="1">
        <f>ROUND((AA480*(Destino!AG480/100))*(W480/100),2)</f>
        <v>1.28</v>
      </c>
      <c r="AD480" s="1">
        <f>ROUND(AA480*(Destino!AH480/100),2)</f>
        <v>0</v>
      </c>
      <c r="AE480" s="1">
        <f>ROUND((((AA480+AB480)*1.48)*(Destino!AI480/100))-AC480,2)</f>
        <v>3.79</v>
      </c>
      <c r="AF480" s="1">
        <f>ROUND((AA480+AB480+AE480)*(J480/100),2)</f>
        <v>0.72</v>
      </c>
      <c r="AG480" s="1">
        <f>ROUND(AA480*T480,2)</f>
        <v>0</v>
      </c>
      <c r="AH480" s="1">
        <f>ROUND(AA480+AB480-AD480+AE480+AF480+AG480, 3)</f>
        <v>24.663</v>
      </c>
      <c r="AI480" s="1">
        <f>AH480*M480*K480</f>
        <v>98.652000000000001</v>
      </c>
      <c r="BA480" s="1" t="s">
        <v>11339</v>
      </c>
      <c r="BB480" s="1">
        <f>AI480</f>
        <v>98.652000000000001</v>
      </c>
      <c r="BC480" s="1" t="s">
        <v>11449</v>
      </c>
      <c r="BD480" s="1">
        <f>N480</f>
        <v>1</v>
      </c>
    </row>
    <row r="481" spans="1:56" x14ac:dyDescent="0.25">
      <c r="A481" s="1">
        <v>600002842</v>
      </c>
      <c r="B481" s="1">
        <v>1000</v>
      </c>
      <c r="C481" s="1">
        <v>2200001473</v>
      </c>
      <c r="D481" s="1" t="s">
        <v>303</v>
      </c>
      <c r="E481" s="1">
        <f>IF(AND(B481&lt;&gt;1110,B481&lt;&gt;1210,B481&lt;&gt;1510,B481&lt;&gt;1710),B481,IF(B481=1110,"1100",IF(B481=1210,"1200",IF(B481=1510,"1500",IF(B481=1710,"1700","X")))))</f>
        <v>1000</v>
      </c>
      <c r="F481" s="1" t="s">
        <v>11198</v>
      </c>
      <c r="G481" s="1" t="s">
        <v>302</v>
      </c>
      <c r="H481" s="1">
        <f>ROUND(P481/(1-((R481+S481))/100)*Q481, 3)</f>
        <v>133.55600000000001</v>
      </c>
      <c r="I481" s="1">
        <v>0.45</v>
      </c>
      <c r="J481" s="1">
        <v>1.5</v>
      </c>
      <c r="K481" s="1">
        <v>1</v>
      </c>
      <c r="L481" s="1" t="s">
        <v>292</v>
      </c>
      <c r="M481" s="1">
        <v>1</v>
      </c>
      <c r="N481" s="1">
        <v>1</v>
      </c>
      <c r="O481" s="1" t="s">
        <v>296</v>
      </c>
      <c r="P481" s="1">
        <v>105.175</v>
      </c>
      <c r="Q481" s="1">
        <v>1</v>
      </c>
      <c r="R481" s="1">
        <v>12</v>
      </c>
      <c r="S481" s="1">
        <v>9.25</v>
      </c>
      <c r="T481" s="1">
        <v>0</v>
      </c>
      <c r="V481" s="1" t="s">
        <v>11223</v>
      </c>
      <c r="W481" s="1">
        <v>100</v>
      </c>
      <c r="X481" s="1" t="s">
        <v>368</v>
      </c>
      <c r="Y481" s="1" t="s">
        <v>299</v>
      </c>
      <c r="Z481" s="1">
        <v>1</v>
      </c>
      <c r="AA481" s="1">
        <f>ROUND(H481*I481*Z481, 3)</f>
        <v>60.1</v>
      </c>
      <c r="AB481" s="1">
        <f>ROUND(VLOOKUP(X481,'Base de dados'!A:B, 2, 0)*AA481, 2)</f>
        <v>6.01</v>
      </c>
      <c r="AC481" s="1">
        <f>ROUND((AA481*(Destino!AG481/100))*(W481/100),2)</f>
        <v>7.21</v>
      </c>
      <c r="AD481" s="1">
        <f>ROUND(AA481*(Destino!AH481/100),2)</f>
        <v>5.56</v>
      </c>
      <c r="AF481" s="1">
        <f>ROUND((AA481+ AB481)*(J481/100),2)</f>
        <v>0.99</v>
      </c>
      <c r="AG481" s="1">
        <f>ROUND(AA481*T481,2)</f>
        <v>0</v>
      </c>
      <c r="AH481" s="1">
        <f>ROUND(AA481-(AC481+AD481)+AF481+AG481, 3)</f>
        <v>48.32</v>
      </c>
      <c r="AI481" s="1">
        <f>AH481*M481*K481</f>
        <v>48.32</v>
      </c>
      <c r="BA481" s="1" t="s">
        <v>11741</v>
      </c>
      <c r="BB481" s="1">
        <f>AI481</f>
        <v>48.32</v>
      </c>
      <c r="BD481" s="1">
        <f>N481</f>
        <v>1</v>
      </c>
    </row>
    <row r="482" spans="1:56" x14ac:dyDescent="0.25">
      <c r="A482" s="1">
        <v>600002842</v>
      </c>
      <c r="B482" s="1">
        <v>1100</v>
      </c>
      <c r="C482" s="1">
        <v>2200001473</v>
      </c>
      <c r="D482" s="1" t="s">
        <v>303</v>
      </c>
      <c r="E482" s="1">
        <f>IF(AND(B482&lt;&gt;1110,B482&lt;&gt;1210,B482&lt;&gt;1510,B482&lt;&gt;1710),B482,IF(B482=1110,"1100",IF(B482=1210,"1200",IF(B482=1510,"1500",IF(B482=1710,"1700","X")))))</f>
        <v>1100</v>
      </c>
      <c r="F482" s="1" t="s">
        <v>11198</v>
      </c>
      <c r="G482" s="1" t="s">
        <v>302</v>
      </c>
      <c r="H482" s="1">
        <f>ROUND(P482/(1-((R482+S482))/100)*Q482, 3)</f>
        <v>125.58199999999999</v>
      </c>
      <c r="I482" s="1">
        <v>0.45</v>
      </c>
      <c r="J482" s="1">
        <v>2</v>
      </c>
      <c r="K482" s="1">
        <v>1</v>
      </c>
      <c r="L482" s="1" t="s">
        <v>292</v>
      </c>
      <c r="M482" s="1">
        <v>1</v>
      </c>
      <c r="N482" s="1">
        <v>1</v>
      </c>
      <c r="O482" s="1" t="s">
        <v>296</v>
      </c>
      <c r="P482" s="1">
        <v>105.175</v>
      </c>
      <c r="Q482" s="1">
        <v>1</v>
      </c>
      <c r="R482" s="1">
        <v>7</v>
      </c>
      <c r="S482" s="1">
        <v>9.25</v>
      </c>
      <c r="T482" s="1">
        <v>0</v>
      </c>
      <c r="V482" s="1" t="s">
        <v>11223</v>
      </c>
      <c r="W482" s="1">
        <v>100</v>
      </c>
      <c r="X482" s="1" t="s">
        <v>368</v>
      </c>
      <c r="Y482" s="1" t="s">
        <v>299</v>
      </c>
      <c r="Z482" s="1">
        <v>1</v>
      </c>
      <c r="AA482" s="1">
        <f>ROUND(H482*I482*Z482, 3)</f>
        <v>56.512</v>
      </c>
      <c r="AB482" s="1">
        <f>ROUND(VLOOKUP(X482,'Base de dados'!A:B, 2, 0)*AA482, 2)</f>
        <v>5.65</v>
      </c>
      <c r="AC482" s="1">
        <f>ROUND((AA482*(Destino!AG482/100))*(W482/100),2)</f>
        <v>3.96</v>
      </c>
      <c r="AD482" s="1">
        <f>ROUND(AA482*(Destino!AH482/100),2)</f>
        <v>5.23</v>
      </c>
      <c r="AF482" s="1">
        <f>ROUND((AA482+ AB482)*(J482/100),2)</f>
        <v>1.24</v>
      </c>
      <c r="AG482" s="1">
        <f>ROUND(AA482*T482,2)</f>
        <v>0</v>
      </c>
      <c r="AH482" s="1">
        <f>ROUND(AA482-(AC482+AD482)+AF482+AG482, 3)</f>
        <v>48.561999999999998</v>
      </c>
      <c r="AI482" s="1">
        <f>AH482*M482*K482</f>
        <v>48.561999999999998</v>
      </c>
      <c r="BA482" s="1" t="s">
        <v>11450</v>
      </c>
      <c r="BB482" s="1">
        <f>AI482</f>
        <v>48.561999999999998</v>
      </c>
      <c r="BD482" s="1">
        <f>N482</f>
        <v>1</v>
      </c>
    </row>
    <row r="483" spans="1:56" x14ac:dyDescent="0.25">
      <c r="A483" s="1">
        <v>600002842</v>
      </c>
      <c r="B483" s="1">
        <v>1110</v>
      </c>
      <c r="C483" s="1">
        <v>2200000102</v>
      </c>
      <c r="D483" s="1" t="s">
        <v>303</v>
      </c>
      <c r="E483" s="1" t="str">
        <f>IF(AND(B483&lt;&gt;1110,B483&lt;&gt;1210,B483&lt;&gt;1510,B483&lt;&gt;1710),B483,IF(B483=1110,"1100",IF(B483=1210,"1200",IF(B483=1510,"1500",IF(B483=1710,"1700","X")))))</f>
        <v>1100</v>
      </c>
      <c r="F483" s="1" t="s">
        <v>11241</v>
      </c>
      <c r="G483" s="1" t="s">
        <v>302</v>
      </c>
      <c r="H483" s="1">
        <f>ROUND(P483/(1-((R483+S483))/100)*Q483, 3)</f>
        <v>55.183999999999997</v>
      </c>
      <c r="I483" s="1">
        <v>1</v>
      </c>
      <c r="J483" s="1">
        <v>4</v>
      </c>
      <c r="K483" s="1">
        <v>1</v>
      </c>
      <c r="L483" s="1" t="s">
        <v>292</v>
      </c>
      <c r="M483" s="1">
        <v>1</v>
      </c>
      <c r="N483" s="1">
        <v>0.76268400000000003</v>
      </c>
      <c r="O483" s="1" t="s">
        <v>292</v>
      </c>
      <c r="P483" s="1">
        <f>IFERROR(VLOOKUP(BC483, BA:BA:BB:BB, 2, 0),)</f>
        <v>48.561999999999998</v>
      </c>
      <c r="Q483" s="1">
        <f>IFERROR(VLOOKUP(BC483, BA:BA:BD:BD, 4, 0),1)</f>
        <v>1</v>
      </c>
      <c r="R483" s="1">
        <v>12</v>
      </c>
      <c r="S483" s="1">
        <v>0</v>
      </c>
      <c r="T483" s="1">
        <v>0</v>
      </c>
      <c r="V483" s="1" t="s">
        <v>11223</v>
      </c>
      <c r="W483" s="1">
        <v>100</v>
      </c>
      <c r="X483" s="1" t="s">
        <v>368</v>
      </c>
      <c r="Y483" s="1" t="s">
        <v>299</v>
      </c>
      <c r="Z483" s="1">
        <v>1</v>
      </c>
      <c r="AA483" s="1">
        <f>ROUND(H483*I483*Z483, 3)</f>
        <v>55.183999999999997</v>
      </c>
      <c r="AB483" s="1">
        <f>ROUND(VLOOKUP(X483,'Base de dados'!A:B, 2, 0)*AA483, 2)</f>
        <v>5.52</v>
      </c>
      <c r="AC483" s="1">
        <f>ROUND((AA483*(Destino!AG483/100))*(W483/100),2)</f>
        <v>6.62</v>
      </c>
      <c r="AD483" s="1">
        <f>ROUND(AA483*(Destino!AH483/100),2)</f>
        <v>0</v>
      </c>
      <c r="AE483" s="1">
        <f>ROUND((((AA483+AB483)*1.5039)*(Destino!AI483/100))-AC483,2)</f>
        <v>8.9</v>
      </c>
      <c r="AF483" s="1">
        <f>ROUND((AA483+AB483+AE483)*(J483/100),2)</f>
        <v>2.78</v>
      </c>
      <c r="AG483" s="1">
        <f>ROUND(AA483*T483,2)</f>
        <v>0</v>
      </c>
      <c r="AH483" s="1">
        <f>ROUND(AA483+AE483+AF483+AG483, 3)</f>
        <v>66.864000000000004</v>
      </c>
      <c r="AI483" s="1">
        <f>AH483*M483*K483</f>
        <v>66.864000000000004</v>
      </c>
      <c r="BB483" s="1">
        <f>AI483</f>
        <v>66.864000000000004</v>
      </c>
      <c r="BC483" s="1" t="s">
        <v>11450</v>
      </c>
      <c r="BD483" s="1">
        <f>N483</f>
        <v>0.76268400000000003</v>
      </c>
    </row>
    <row r="484" spans="1:56" x14ac:dyDescent="0.25">
      <c r="A484" s="1">
        <v>600002842</v>
      </c>
      <c r="B484" s="1">
        <v>1110</v>
      </c>
      <c r="C484" s="1">
        <v>2200001473</v>
      </c>
      <c r="D484" s="1" t="s">
        <v>303</v>
      </c>
      <c r="E484" s="1" t="str">
        <f>IF(AND(B484&lt;&gt;1110,B484&lt;&gt;1210,B484&lt;&gt;1510,B484&lt;&gt;1710),B484,IF(B484=1110,"1100",IF(B484=1210,"1200",IF(B484=1510,"1500",IF(B484=1710,"1700","X")))))</f>
        <v>1100</v>
      </c>
      <c r="F484" s="1" t="s">
        <v>447</v>
      </c>
      <c r="G484" s="1" t="s">
        <v>302</v>
      </c>
      <c r="H484" s="1">
        <f>ROUND(P484/(1-((R484+S484))/100)*Q484, 3)</f>
        <v>125.58199999999999</v>
      </c>
      <c r="I484" s="1">
        <v>0.45</v>
      </c>
      <c r="J484" s="1">
        <v>4</v>
      </c>
      <c r="K484" s="1">
        <v>1</v>
      </c>
      <c r="L484" s="1" t="s">
        <v>292</v>
      </c>
      <c r="M484" s="1">
        <v>1</v>
      </c>
      <c r="N484" s="1">
        <v>0.75268900000000005</v>
      </c>
      <c r="O484" s="1" t="s">
        <v>296</v>
      </c>
      <c r="P484" s="1">
        <v>105.175</v>
      </c>
      <c r="Q484" s="1">
        <v>1</v>
      </c>
      <c r="R484" s="1">
        <v>7</v>
      </c>
      <c r="S484" s="1">
        <v>9.25</v>
      </c>
      <c r="T484" s="1">
        <v>0</v>
      </c>
      <c r="V484" s="1" t="s">
        <v>11223</v>
      </c>
      <c r="W484" s="1">
        <v>100</v>
      </c>
      <c r="X484" s="1" t="s">
        <v>368</v>
      </c>
      <c r="Y484" s="1" t="s">
        <v>299</v>
      </c>
      <c r="Z484" s="1">
        <v>1</v>
      </c>
      <c r="AA484" s="1">
        <f>ROUND(H484*I484*Z484, 3)</f>
        <v>56.512</v>
      </c>
      <c r="AB484" s="1">
        <f>ROUND(VLOOKUP(X484,'Base de dados'!A:B, 2, 0)*AA484, 2)</f>
        <v>5.65</v>
      </c>
      <c r="AC484" s="1">
        <f>ROUND((AA484*(Destino!AG484/100))*(W484/100),2)</f>
        <v>3.96</v>
      </c>
      <c r="AD484" s="1">
        <f>ROUND(AA484*(Destino!AH484/100),2)</f>
        <v>5.23</v>
      </c>
      <c r="AE484" s="1">
        <f>ROUND((((AA484+AB484)*1.5039)*(Destino!AI484/100))-AC484,2)</f>
        <v>11.93</v>
      </c>
      <c r="AF484" s="1">
        <f>ROUND((AA484+AB484+AE484)*(J484/100),2)</f>
        <v>2.96</v>
      </c>
      <c r="AG484" s="1">
        <f>ROUND(AA484*T484,2)</f>
        <v>0</v>
      </c>
      <c r="AH484" s="1">
        <f>ROUND(AA484-AD484+AE484+AF484+AG484, 3)</f>
        <v>66.171999999999997</v>
      </c>
      <c r="AI484" s="1">
        <f>AH484*M484*K484</f>
        <v>66.171999999999997</v>
      </c>
      <c r="BA484" s="1" t="s">
        <v>11742</v>
      </c>
      <c r="BB484" s="1">
        <f>AI484</f>
        <v>66.171999999999997</v>
      </c>
      <c r="BD484" s="1">
        <f>N484</f>
        <v>0.75268900000000005</v>
      </c>
    </row>
    <row r="485" spans="1:56" x14ac:dyDescent="0.25">
      <c r="A485" s="1">
        <v>600002842</v>
      </c>
      <c r="B485" s="1">
        <v>1400</v>
      </c>
      <c r="C485" s="1">
        <v>2200001473</v>
      </c>
      <c r="D485" s="1" t="s">
        <v>303</v>
      </c>
      <c r="E485" s="1">
        <f>IF(AND(B485&lt;&gt;1110,B485&lt;&gt;1210,B485&lt;&gt;1510,B485&lt;&gt;1710),B485,IF(B485=1110,"1100",IF(B485=1210,"1200",IF(B485=1510,"1500",IF(B485=1710,"1700","X")))))</f>
        <v>1400</v>
      </c>
      <c r="F485" s="1" t="s">
        <v>11198</v>
      </c>
      <c r="G485" s="1" t="s">
        <v>302</v>
      </c>
      <c r="H485" s="1">
        <f>ROUND(P485/(1-((R485+S485))/100)*Q485, 3)</f>
        <v>144.57</v>
      </c>
      <c r="I485" s="1">
        <v>0.45</v>
      </c>
      <c r="J485" s="1">
        <v>1.5</v>
      </c>
      <c r="K485" s="1">
        <v>1</v>
      </c>
      <c r="L485" s="1" t="s">
        <v>292</v>
      </c>
      <c r="M485" s="1">
        <v>1</v>
      </c>
      <c r="N485" s="1">
        <v>1</v>
      </c>
      <c r="O485" s="1" t="s">
        <v>296</v>
      </c>
      <c r="P485" s="1">
        <v>105.175</v>
      </c>
      <c r="Q485" s="1">
        <v>1</v>
      </c>
      <c r="R485" s="1">
        <v>18</v>
      </c>
      <c r="S485" s="1">
        <v>9.25</v>
      </c>
      <c r="T485" s="1">
        <v>0</v>
      </c>
      <c r="V485" s="1" t="s">
        <v>11223</v>
      </c>
      <c r="W485" s="1">
        <v>100</v>
      </c>
      <c r="X485" s="1" t="s">
        <v>368</v>
      </c>
      <c r="Y485" s="1" t="s">
        <v>299</v>
      </c>
      <c r="Z485" s="1">
        <v>1</v>
      </c>
      <c r="AA485" s="1">
        <f>ROUND(H485*I485*Z485, 3)</f>
        <v>65.057000000000002</v>
      </c>
      <c r="AB485" s="1">
        <f>ROUND(VLOOKUP(X485,'Base de dados'!A:B, 2, 0)*AA485, 2)</f>
        <v>6.51</v>
      </c>
      <c r="AC485" s="1">
        <f>ROUND((AA485*(Destino!AG485/100))*(W485/100),2)</f>
        <v>11.71</v>
      </c>
      <c r="AD485" s="1">
        <f>ROUND(AA485*(Destino!AH485/100),2)</f>
        <v>6.02</v>
      </c>
      <c r="AF485" s="1">
        <f>ROUND((AA485+ AB485)*(J485/100),2)</f>
        <v>1.07</v>
      </c>
      <c r="AG485" s="1">
        <f>ROUND(AA485*T485,2)</f>
        <v>0</v>
      </c>
      <c r="AH485" s="1">
        <f>ROUND(AA485-(AC485+AD485)+AF485+AG485, 3)</f>
        <v>48.396999999999998</v>
      </c>
      <c r="AI485" s="1">
        <f>AH485*M485*K485</f>
        <v>48.396999999999998</v>
      </c>
      <c r="BA485" s="1" t="s">
        <v>11743</v>
      </c>
      <c r="BB485" s="1">
        <f>AI485</f>
        <v>48.396999999999998</v>
      </c>
      <c r="BD485" s="1">
        <f>N485</f>
        <v>1</v>
      </c>
    </row>
    <row r="486" spans="1:56" x14ac:dyDescent="0.25">
      <c r="A486" s="1">
        <v>600002844</v>
      </c>
      <c r="B486" s="1">
        <v>1000</v>
      </c>
      <c r="C486" s="1">
        <v>2200001473</v>
      </c>
      <c r="D486" s="1" t="s">
        <v>303</v>
      </c>
      <c r="E486" s="1">
        <f>IF(AND(B486&lt;&gt;1110,B486&lt;&gt;1210,B486&lt;&gt;1510,B486&lt;&gt;1710),B486,IF(B486=1110,"1100",IF(B486=1210,"1200",IF(B486=1510,"1500",IF(B486=1710,"1700","X")))))</f>
        <v>1000</v>
      </c>
      <c r="F486" s="1" t="s">
        <v>11198</v>
      </c>
      <c r="G486" s="1" t="s">
        <v>302</v>
      </c>
      <c r="H486" s="1">
        <f>ROUND(P486/(1-((R486+S486))/100)*Q486, 3)</f>
        <v>175.52099999999999</v>
      </c>
      <c r="I486" s="1">
        <v>0.45</v>
      </c>
      <c r="J486" s="1">
        <v>1.5</v>
      </c>
      <c r="K486" s="1">
        <v>1</v>
      </c>
      <c r="L486" s="1" t="s">
        <v>292</v>
      </c>
      <c r="M486" s="1">
        <v>1</v>
      </c>
      <c r="N486" s="1">
        <v>1</v>
      </c>
      <c r="O486" s="1" t="s">
        <v>296</v>
      </c>
      <c r="P486" s="1">
        <v>138.22300000000001</v>
      </c>
      <c r="Q486" s="1">
        <v>1</v>
      </c>
      <c r="R486" s="1">
        <v>12</v>
      </c>
      <c r="S486" s="1">
        <v>9.25</v>
      </c>
      <c r="T486" s="1">
        <v>0</v>
      </c>
      <c r="V486" s="1" t="s">
        <v>11223</v>
      </c>
      <c r="W486" s="1">
        <v>100</v>
      </c>
      <c r="X486" s="1" t="s">
        <v>298</v>
      </c>
      <c r="Y486" s="1" t="s">
        <v>299</v>
      </c>
      <c r="Z486" s="1">
        <v>1</v>
      </c>
      <c r="AA486" s="1">
        <f>ROUND(H486*I486*Z486, 3)</f>
        <v>78.983999999999995</v>
      </c>
      <c r="AB486" s="1">
        <f>ROUND(VLOOKUP(X486,'Base de dados'!A:B, 2, 0)*AA486, 2)</f>
        <v>7.9</v>
      </c>
      <c r="AC486" s="1">
        <f>ROUND((AA486*(Destino!AG486/100))*(W486/100),2)</f>
        <v>9.48</v>
      </c>
      <c r="AD486" s="1">
        <f>ROUND(AA486*(Destino!AH486/100),2)</f>
        <v>7.31</v>
      </c>
      <c r="AF486" s="1">
        <f>ROUND((AA486+ AB486)*(J486/100),2)</f>
        <v>1.3</v>
      </c>
      <c r="AG486" s="1">
        <f>ROUND(AA486*T486,2)</f>
        <v>0</v>
      </c>
      <c r="AH486" s="1">
        <f>ROUND(AA486-(AC486+AD486)+AF486+AG486, 3)</f>
        <v>63.494</v>
      </c>
      <c r="AI486" s="1">
        <f>AH486*M486*K486</f>
        <v>63.494</v>
      </c>
      <c r="BA486" s="1" t="s">
        <v>11744</v>
      </c>
      <c r="BB486" s="1">
        <f>AI486</f>
        <v>63.494</v>
      </c>
      <c r="BD486" s="1">
        <f>N486</f>
        <v>1</v>
      </c>
    </row>
    <row r="487" spans="1:56" x14ac:dyDescent="0.25">
      <c r="A487" s="1">
        <v>600002844</v>
      </c>
      <c r="B487" s="1">
        <v>1100</v>
      </c>
      <c r="C487" s="1">
        <v>2200001473</v>
      </c>
      <c r="D487" s="1" t="s">
        <v>303</v>
      </c>
      <c r="E487" s="1">
        <f>IF(AND(B487&lt;&gt;1110,B487&lt;&gt;1210,B487&lt;&gt;1510,B487&lt;&gt;1710),B487,IF(B487=1110,"1100",IF(B487=1210,"1200",IF(B487=1510,"1500",IF(B487=1710,"1700","X")))))</f>
        <v>1100</v>
      </c>
      <c r="F487" s="1" t="s">
        <v>11198</v>
      </c>
      <c r="G487" s="1" t="s">
        <v>302</v>
      </c>
      <c r="H487" s="1">
        <f>ROUND(P487/(1-((R487+S487))/100)*Q487, 3)</f>
        <v>165.04499999999999</v>
      </c>
      <c r="I487" s="1">
        <v>0.45</v>
      </c>
      <c r="J487" s="1">
        <v>2</v>
      </c>
      <c r="K487" s="1">
        <v>1</v>
      </c>
      <c r="L487" s="1" t="s">
        <v>292</v>
      </c>
      <c r="M487" s="1">
        <v>1</v>
      </c>
      <c r="N487" s="1">
        <v>1</v>
      </c>
      <c r="O487" s="1" t="s">
        <v>296</v>
      </c>
      <c r="P487" s="1">
        <v>138.22499999999999</v>
      </c>
      <c r="Q487" s="1">
        <v>1</v>
      </c>
      <c r="R487" s="1">
        <v>7</v>
      </c>
      <c r="S487" s="1">
        <v>9.25</v>
      </c>
      <c r="T487" s="1">
        <v>0</v>
      </c>
      <c r="V487" s="1" t="s">
        <v>11223</v>
      </c>
      <c r="W487" s="1">
        <v>100</v>
      </c>
      <c r="X487" s="1" t="s">
        <v>298</v>
      </c>
      <c r="Y487" s="1" t="s">
        <v>299</v>
      </c>
      <c r="Z487" s="1">
        <v>1</v>
      </c>
      <c r="AA487" s="1">
        <f>ROUND(H487*I487*Z487, 3)</f>
        <v>74.27</v>
      </c>
      <c r="AB487" s="1">
        <f>ROUND(VLOOKUP(X487,'Base de dados'!A:B, 2, 0)*AA487, 2)</f>
        <v>7.43</v>
      </c>
      <c r="AC487" s="1">
        <f>ROUND((AA487*(Destino!AG487/100))*(W487/100),2)</f>
        <v>5.2</v>
      </c>
      <c r="AD487" s="1">
        <f>ROUND(AA487*(Destino!AH487/100),2)</f>
        <v>6.87</v>
      </c>
      <c r="AF487" s="1">
        <f>ROUND((AA487+ AB487)*(J487/100),2)</f>
        <v>1.63</v>
      </c>
      <c r="AG487" s="1">
        <f>ROUND(AA487*T487,2)</f>
        <v>0</v>
      </c>
      <c r="AH487" s="1">
        <f>ROUND(AA487-(AC487+AD487)+AF487+AG487, 3)</f>
        <v>63.83</v>
      </c>
      <c r="AI487" s="1">
        <f>AH487*M487*K487</f>
        <v>63.83</v>
      </c>
      <c r="BA487" s="1" t="s">
        <v>11745</v>
      </c>
      <c r="BB487" s="1">
        <f>AI487</f>
        <v>63.83</v>
      </c>
      <c r="BD487" s="1">
        <f>N487</f>
        <v>1</v>
      </c>
    </row>
    <row r="488" spans="1:56" x14ac:dyDescent="0.25">
      <c r="A488" s="1">
        <v>600002844</v>
      </c>
      <c r="B488" s="1">
        <v>1110</v>
      </c>
      <c r="C488" s="1">
        <v>2200001473</v>
      </c>
      <c r="D488" s="1" t="s">
        <v>303</v>
      </c>
      <c r="E488" s="1" t="str">
        <f>IF(AND(B488&lt;&gt;1110,B488&lt;&gt;1210,B488&lt;&gt;1510,B488&lt;&gt;1710),B488,IF(B488=1110,"1100",IF(B488=1210,"1200",IF(B488=1510,"1500",IF(B488=1710,"1700","X")))))</f>
        <v>1100</v>
      </c>
      <c r="F488" s="1" t="s">
        <v>447</v>
      </c>
      <c r="G488" s="1" t="s">
        <v>302</v>
      </c>
      <c r="H488" s="1">
        <f>ROUND(P488/(1-((R488+S488))/100)*Q488, 3)</f>
        <v>165.04499999999999</v>
      </c>
      <c r="I488" s="1">
        <v>0.45</v>
      </c>
      <c r="J488" s="1">
        <v>4</v>
      </c>
      <c r="K488" s="1">
        <v>1</v>
      </c>
      <c r="L488" s="1" t="s">
        <v>292</v>
      </c>
      <c r="M488" s="1">
        <v>1</v>
      </c>
      <c r="N488" s="1">
        <v>0.75261500000000003</v>
      </c>
      <c r="O488" s="1" t="s">
        <v>296</v>
      </c>
      <c r="P488" s="1">
        <v>138.22499999999999</v>
      </c>
      <c r="Q488" s="1">
        <v>1</v>
      </c>
      <c r="R488" s="1">
        <v>7</v>
      </c>
      <c r="S488" s="1">
        <v>9.25</v>
      </c>
      <c r="T488" s="1">
        <v>0</v>
      </c>
      <c r="V488" s="1" t="s">
        <v>11223</v>
      </c>
      <c r="W488" s="1">
        <v>100</v>
      </c>
      <c r="X488" s="1" t="s">
        <v>298</v>
      </c>
      <c r="Y488" s="1" t="s">
        <v>299</v>
      </c>
      <c r="Z488" s="1">
        <v>1</v>
      </c>
      <c r="AA488" s="1">
        <f>ROUND(H488*I488*Z488, 3)</f>
        <v>74.27</v>
      </c>
      <c r="AB488" s="1">
        <f>ROUND(VLOOKUP(X488,'Base de dados'!A:B, 2, 0)*AA488, 2)</f>
        <v>7.43</v>
      </c>
      <c r="AC488" s="1">
        <f>ROUND((AA488*(Destino!AG488/100))*(W488/100),2)</f>
        <v>5.2</v>
      </c>
      <c r="AD488" s="1">
        <f>ROUND(AA488*(Destino!AH488/100),2)</f>
        <v>6.87</v>
      </c>
      <c r="AE488" s="1">
        <f>ROUND((((AA488+AB488)*1.5039)*(Destino!AI488/100))-AC488,2)</f>
        <v>15.69</v>
      </c>
      <c r="AF488" s="1">
        <f>ROUND((AA488+AB488+AE488)*(J488/100),2)</f>
        <v>3.9</v>
      </c>
      <c r="AG488" s="1">
        <f>ROUND(AA488*T488,2)</f>
        <v>0</v>
      </c>
      <c r="AH488" s="1">
        <f>ROUND(AA488-AD488+AE488+AF488+AG488, 3)</f>
        <v>86.99</v>
      </c>
      <c r="AI488" s="1">
        <f>AH488*M488*K488</f>
        <v>86.99</v>
      </c>
      <c r="BA488" s="1" t="s">
        <v>11746</v>
      </c>
      <c r="BB488" s="1">
        <f>AI488</f>
        <v>86.99</v>
      </c>
      <c r="BD488" s="1">
        <f>N488</f>
        <v>0.75261500000000003</v>
      </c>
    </row>
    <row r="489" spans="1:56" x14ac:dyDescent="0.25">
      <c r="A489" s="1">
        <v>600002844</v>
      </c>
      <c r="B489" s="1">
        <v>1400</v>
      </c>
      <c r="C489" s="1">
        <v>2200001473</v>
      </c>
      <c r="D489" s="1" t="s">
        <v>303</v>
      </c>
      <c r="E489" s="1">
        <f>IF(AND(B489&lt;&gt;1110,B489&lt;&gt;1210,B489&lt;&gt;1510,B489&lt;&gt;1710),B489,IF(B489=1110,"1100",IF(B489=1210,"1200",IF(B489=1510,"1500",IF(B489=1710,"1700","X")))))</f>
        <v>1400</v>
      </c>
      <c r="F489" s="1" t="s">
        <v>11198</v>
      </c>
      <c r="G489" s="1" t="s">
        <v>302</v>
      </c>
      <c r="H489" s="1">
        <f>ROUND(P489/(1-((R489+S489))/100)*Q489, 3)</f>
        <v>190</v>
      </c>
      <c r="I489" s="1">
        <v>0.45</v>
      </c>
      <c r="J489" s="1">
        <v>1.5</v>
      </c>
      <c r="K489" s="1">
        <v>1</v>
      </c>
      <c r="L489" s="1" t="s">
        <v>292</v>
      </c>
      <c r="M489" s="1">
        <v>1</v>
      </c>
      <c r="N489" s="1">
        <v>1</v>
      </c>
      <c r="O489" s="1" t="s">
        <v>296</v>
      </c>
      <c r="P489" s="1">
        <v>138.22499999999999</v>
      </c>
      <c r="Q489" s="1">
        <v>1</v>
      </c>
      <c r="R489" s="1">
        <v>18</v>
      </c>
      <c r="S489" s="1">
        <v>9.25</v>
      </c>
      <c r="T489" s="1">
        <v>0</v>
      </c>
      <c r="V489" s="1" t="s">
        <v>11223</v>
      </c>
      <c r="W489" s="1">
        <v>100</v>
      </c>
      <c r="X489" s="1" t="s">
        <v>298</v>
      </c>
      <c r="Y489" s="1" t="s">
        <v>299</v>
      </c>
      <c r="Z489" s="1">
        <v>1</v>
      </c>
      <c r="AA489" s="1">
        <f>ROUND(H489*I489*Z489, 3)</f>
        <v>85.5</v>
      </c>
      <c r="AB489" s="1">
        <f>ROUND(VLOOKUP(X489,'Base de dados'!A:B, 2, 0)*AA489, 2)</f>
        <v>8.5500000000000007</v>
      </c>
      <c r="AC489" s="1">
        <f>ROUND((AA489*(Destino!AG489/100))*(W489/100),2)</f>
        <v>15.39</v>
      </c>
      <c r="AD489" s="1">
        <f>ROUND(AA489*(Destino!AH489/100),2)</f>
        <v>7.91</v>
      </c>
      <c r="AF489" s="1">
        <f>ROUND((AA489+ AB489)*(J489/100),2)</f>
        <v>1.41</v>
      </c>
      <c r="AG489" s="1">
        <f>ROUND(AA489*T489,2)</f>
        <v>0</v>
      </c>
      <c r="AH489" s="1">
        <f>ROUND(AA489-(AC489+AD489)+AF489+AG489, 3)</f>
        <v>63.61</v>
      </c>
      <c r="AI489" s="1">
        <f>AH489*M489*K489</f>
        <v>63.61</v>
      </c>
      <c r="BA489" s="1" t="s">
        <v>11451</v>
      </c>
      <c r="BB489" s="1">
        <f>AI489</f>
        <v>63.61</v>
      </c>
      <c r="BD489" s="1">
        <f>N489</f>
        <v>1</v>
      </c>
    </row>
    <row r="490" spans="1:56" x14ac:dyDescent="0.25">
      <c r="A490" s="1">
        <v>600002844</v>
      </c>
      <c r="B490" s="1">
        <v>1700</v>
      </c>
      <c r="C490" s="1">
        <v>2200001421</v>
      </c>
      <c r="D490" s="1" t="s">
        <v>303</v>
      </c>
      <c r="E490" s="1">
        <f>IF(AND(B490&lt;&gt;1110,B490&lt;&gt;1210,B490&lt;&gt;1510,B490&lt;&gt;1710),B490,IF(B490=1110,"1100",IF(B490=1210,"1200",IF(B490=1510,"1500",IF(B490=1710,"1700","X")))))</f>
        <v>1700</v>
      </c>
      <c r="F490" s="1" t="s">
        <v>11238</v>
      </c>
      <c r="G490" s="1" t="s">
        <v>302</v>
      </c>
      <c r="H490" s="1">
        <f>ROUND(P490/(1-((R490+S490))/100)*Q490, 3)</f>
        <v>75.951999999999998</v>
      </c>
      <c r="I490" s="1">
        <v>0.25</v>
      </c>
      <c r="J490" s="1">
        <v>3</v>
      </c>
      <c r="K490" s="1">
        <v>1</v>
      </c>
      <c r="L490" s="1" t="s">
        <v>292</v>
      </c>
      <c r="M490" s="1">
        <v>4</v>
      </c>
      <c r="N490" s="1">
        <v>1</v>
      </c>
      <c r="O490" s="1" t="s">
        <v>296</v>
      </c>
      <c r="P490" s="1">
        <f>IFERROR(VLOOKUP(BC490, BA:BA:BB:BB, 2, 0),)</f>
        <v>63.61</v>
      </c>
      <c r="Q490" s="1">
        <f>IFERROR(VLOOKUP(BC490, BA:BA:BD:BD, 4, 0),1)</f>
        <v>1</v>
      </c>
      <c r="R490" s="1">
        <v>7</v>
      </c>
      <c r="S490" s="1">
        <v>9.25</v>
      </c>
      <c r="T490" s="1">
        <v>0</v>
      </c>
      <c r="V490" s="1" t="s">
        <v>11223</v>
      </c>
      <c r="W490" s="1">
        <v>100</v>
      </c>
      <c r="X490" s="1" t="s">
        <v>298</v>
      </c>
      <c r="Y490" s="1" t="s">
        <v>299</v>
      </c>
      <c r="Z490" s="1">
        <v>1</v>
      </c>
      <c r="AA490" s="1">
        <f>ROUND(H490*I490*Z490, 3)</f>
        <v>18.988</v>
      </c>
      <c r="AB490" s="1">
        <f>ROUND(VLOOKUP(X490,'Base de dados'!A:B, 2, 0)*AA490, 2)</f>
        <v>1.9</v>
      </c>
      <c r="AC490" s="1">
        <f>ROUND((AA490*(Destino!AG490/100))*(W490/100),2)</f>
        <v>1.33</v>
      </c>
      <c r="AD490" s="1">
        <f>ROUND(AA490*(Destino!AH490/100),2)</f>
        <v>0</v>
      </c>
      <c r="AE490" s="1">
        <f>ROUND((((AA490+AB490)*1.48)*(Destino!AI490/100))-AC490,2)</f>
        <v>3.93</v>
      </c>
      <c r="AF490" s="1">
        <f>ROUND((AA490+AB490+AE490)*(J490/100),2)</f>
        <v>0.74</v>
      </c>
      <c r="AG490" s="1">
        <f>ROUND(AA490*T490,2)</f>
        <v>0</v>
      </c>
      <c r="AH490" s="1">
        <f>ROUND(AA490+AB490-AD490+AE490+AF490+AG490, 3)</f>
        <v>25.558</v>
      </c>
      <c r="AI490" s="1">
        <f>AH490*M490*K490</f>
        <v>102.232</v>
      </c>
      <c r="BA490" s="1" t="s">
        <v>11340</v>
      </c>
      <c r="BB490" s="1">
        <f>AI490</f>
        <v>102.232</v>
      </c>
      <c r="BC490" s="1" t="s">
        <v>11451</v>
      </c>
      <c r="BD490" s="1">
        <f>N490</f>
        <v>1</v>
      </c>
    </row>
    <row r="491" spans="1:56" x14ac:dyDescent="0.25">
      <c r="A491" s="1">
        <v>600002850</v>
      </c>
      <c r="B491" s="1">
        <v>1000</v>
      </c>
      <c r="C491" s="1">
        <v>2200001473</v>
      </c>
      <c r="D491" s="1" t="s">
        <v>303</v>
      </c>
      <c r="E491" s="1">
        <f>IF(AND(B491&lt;&gt;1110,B491&lt;&gt;1210,B491&lt;&gt;1510,B491&lt;&gt;1710),B491,IF(B491=1110,"1100",IF(B491=1210,"1200",IF(B491=1510,"1500",IF(B491=1710,"1700","X")))))</f>
        <v>1000</v>
      </c>
      <c r="F491" s="1" t="s">
        <v>11198</v>
      </c>
      <c r="G491" s="1" t="s">
        <v>302</v>
      </c>
      <c r="H491" s="1">
        <f>ROUND(P491/(1-((R491+S491))/100)*Q491, 3)</f>
        <v>263.18299999999999</v>
      </c>
      <c r="I491" s="1">
        <v>0.45</v>
      </c>
      <c r="J491" s="1">
        <v>1.5</v>
      </c>
      <c r="K491" s="1">
        <v>1</v>
      </c>
      <c r="L491" s="1" t="s">
        <v>292</v>
      </c>
      <c r="M491" s="1">
        <v>1</v>
      </c>
      <c r="N491" s="1">
        <v>1</v>
      </c>
      <c r="O491" s="1" t="s">
        <v>296</v>
      </c>
      <c r="P491" s="1">
        <v>207.25700000000001</v>
      </c>
      <c r="Q491" s="1">
        <v>1</v>
      </c>
      <c r="R491" s="1">
        <v>12</v>
      </c>
      <c r="S491" s="1">
        <v>9.25</v>
      </c>
      <c r="T491" s="1">
        <v>0</v>
      </c>
      <c r="V491" s="1" t="s">
        <v>11223</v>
      </c>
      <c r="W491" s="1">
        <v>100</v>
      </c>
      <c r="X491" s="1" t="s">
        <v>368</v>
      </c>
      <c r="Y491" s="1" t="s">
        <v>299</v>
      </c>
      <c r="Z491" s="1">
        <v>1</v>
      </c>
      <c r="AA491" s="1">
        <f>ROUND(H491*I491*Z491, 3)</f>
        <v>118.432</v>
      </c>
      <c r="AB491" s="1">
        <f>ROUND(VLOOKUP(X491,'Base de dados'!A:B, 2, 0)*AA491, 2)</f>
        <v>11.84</v>
      </c>
      <c r="AC491" s="1">
        <f>ROUND((AA491*(Destino!AG491/100))*(W491/100),2)</f>
        <v>14.21</v>
      </c>
      <c r="AD491" s="1">
        <f>ROUND(AA491*(Destino!AH491/100),2)</f>
        <v>10.95</v>
      </c>
      <c r="AF491" s="1">
        <f>ROUND((AA491+ AB491)*(J491/100),2)</f>
        <v>1.95</v>
      </c>
      <c r="AG491" s="1">
        <f>ROUND(AA491*T491,2)</f>
        <v>0</v>
      </c>
      <c r="AH491" s="1">
        <f>ROUND(AA491-(AC491+AD491)+AF491+AG491, 3)</f>
        <v>95.221999999999994</v>
      </c>
      <c r="AI491" s="1">
        <f>AH491*M491*K491</f>
        <v>95.221999999999994</v>
      </c>
      <c r="BA491" s="1" t="s">
        <v>11747</v>
      </c>
      <c r="BB491" s="1">
        <f>AI491</f>
        <v>95.221999999999994</v>
      </c>
      <c r="BD491" s="1">
        <f>N491</f>
        <v>1</v>
      </c>
    </row>
    <row r="492" spans="1:56" x14ac:dyDescent="0.25">
      <c r="A492" s="1">
        <v>600002850</v>
      </c>
      <c r="B492" s="1">
        <v>1100</v>
      </c>
      <c r="C492" s="1">
        <v>2200001473</v>
      </c>
      <c r="D492" s="1" t="s">
        <v>303</v>
      </c>
      <c r="E492" s="1">
        <f>IF(AND(B492&lt;&gt;1110,B492&lt;&gt;1210,B492&lt;&gt;1510,B492&lt;&gt;1710),B492,IF(B492=1110,"1100",IF(B492=1210,"1200",IF(B492=1510,"1500",IF(B492=1710,"1700","X")))))</f>
        <v>1100</v>
      </c>
      <c r="F492" s="1" t="s">
        <v>11198</v>
      </c>
      <c r="G492" s="1" t="s">
        <v>302</v>
      </c>
      <c r="H492" s="1">
        <f>ROUND(P492/(1-((R492+S492))/100)*Q492, 3)</f>
        <v>247.471</v>
      </c>
      <c r="I492" s="1">
        <v>0.45</v>
      </c>
      <c r="J492" s="1">
        <v>2</v>
      </c>
      <c r="K492" s="1">
        <v>1</v>
      </c>
      <c r="L492" s="1" t="s">
        <v>292</v>
      </c>
      <c r="M492" s="1">
        <v>1</v>
      </c>
      <c r="N492" s="1">
        <v>1</v>
      </c>
      <c r="O492" s="1" t="s">
        <v>296</v>
      </c>
      <c r="P492" s="1">
        <v>207.25700000000001</v>
      </c>
      <c r="Q492" s="1">
        <v>1</v>
      </c>
      <c r="R492" s="1">
        <v>7</v>
      </c>
      <c r="S492" s="1">
        <v>9.25</v>
      </c>
      <c r="T492" s="1">
        <v>0</v>
      </c>
      <c r="V492" s="1" t="s">
        <v>11223</v>
      </c>
      <c r="W492" s="1">
        <v>100</v>
      </c>
      <c r="X492" s="1" t="s">
        <v>368</v>
      </c>
      <c r="Y492" s="1" t="s">
        <v>299</v>
      </c>
      <c r="Z492" s="1">
        <v>1</v>
      </c>
      <c r="AA492" s="1">
        <f>ROUND(H492*I492*Z492, 3)</f>
        <v>111.36199999999999</v>
      </c>
      <c r="AB492" s="1">
        <f>ROUND(VLOOKUP(X492,'Base de dados'!A:B, 2, 0)*AA492, 2)</f>
        <v>11.14</v>
      </c>
      <c r="AC492" s="1">
        <f>ROUND((AA492*(Destino!AG492/100))*(W492/100),2)</f>
        <v>7.8</v>
      </c>
      <c r="AD492" s="1">
        <f>ROUND(AA492*(Destino!AH492/100),2)</f>
        <v>10.3</v>
      </c>
      <c r="AF492" s="1">
        <f>ROUND((AA492+ AB492)*(J492/100),2)</f>
        <v>2.4500000000000002</v>
      </c>
      <c r="AG492" s="1">
        <f>ROUND(AA492*T492,2)</f>
        <v>0</v>
      </c>
      <c r="AH492" s="1">
        <f>ROUND(AA492-(AC492+AD492)+AF492+AG492, 3)</f>
        <v>95.712000000000003</v>
      </c>
      <c r="AI492" s="1">
        <f>AH492*M492*K492</f>
        <v>95.712000000000003</v>
      </c>
      <c r="BA492" s="1" t="s">
        <v>11748</v>
      </c>
      <c r="BB492" s="1">
        <f>AI492</f>
        <v>95.712000000000003</v>
      </c>
      <c r="BD492" s="1">
        <f>N492</f>
        <v>1</v>
      </c>
    </row>
    <row r="493" spans="1:56" x14ac:dyDescent="0.25">
      <c r="A493" s="1">
        <v>600002850</v>
      </c>
      <c r="B493" s="1">
        <v>1110</v>
      </c>
      <c r="C493" s="1">
        <v>2200001286</v>
      </c>
      <c r="D493" s="1" t="s">
        <v>303</v>
      </c>
      <c r="E493" s="1" t="str">
        <f>IF(AND(B493&lt;&gt;1110,B493&lt;&gt;1210,B493&lt;&gt;1510,B493&lt;&gt;1710),B493,IF(B493=1110,"1100",IF(B493=1210,"1200",IF(B493=1510,"1500",IF(B493=1710,"1700","X")))))</f>
        <v>1100</v>
      </c>
      <c r="F493" s="1" t="s">
        <v>11248</v>
      </c>
      <c r="G493" s="1" t="s">
        <v>302</v>
      </c>
      <c r="H493" s="1">
        <f>ROUND(P493/(1-((R493+S493))/100)*Q493, 3)</f>
        <v>0</v>
      </c>
      <c r="I493" s="1">
        <v>1</v>
      </c>
      <c r="J493" s="1">
        <v>5</v>
      </c>
      <c r="K493" s="1">
        <v>1</v>
      </c>
      <c r="L493" s="1" t="s">
        <v>292</v>
      </c>
      <c r="M493" s="1">
        <v>1</v>
      </c>
      <c r="N493" s="1">
        <v>0.74325300000000005</v>
      </c>
      <c r="O493" s="1" t="s">
        <v>292</v>
      </c>
      <c r="P493" s="1">
        <f>IFERROR(VLOOKUP(BC493, BA:BA:BB:BB, 2, 0),)</f>
        <v>0</v>
      </c>
      <c r="Q493" s="1">
        <f>IFERROR(VLOOKUP(BC493, BA:BA:BD:BD, 4, 0),1)</f>
        <v>1</v>
      </c>
      <c r="R493" s="1">
        <v>1</v>
      </c>
      <c r="S493" s="1">
        <v>9.25</v>
      </c>
      <c r="T493" s="1">
        <v>0</v>
      </c>
      <c r="V493" s="1" t="s">
        <v>11223</v>
      </c>
      <c r="W493" s="1">
        <v>100</v>
      </c>
      <c r="X493" s="1" t="s">
        <v>368</v>
      </c>
      <c r="Y493" s="1" t="s">
        <v>299</v>
      </c>
      <c r="Z493" s="1">
        <v>1</v>
      </c>
      <c r="AA493" s="1">
        <f>ROUND(H493*I493*Z493, 3)</f>
        <v>0</v>
      </c>
      <c r="AB493" s="1">
        <f>ROUND(VLOOKUP(X493,'Base de dados'!A:B, 2, 0)*AA493, 2)</f>
        <v>0</v>
      </c>
      <c r="AC493" s="1">
        <f>ROUND((AA493*(Destino!AG493/100))*(W493/100),2)</f>
        <v>0</v>
      </c>
      <c r="AD493" s="1">
        <f>ROUND(AA493*(Destino!AH493/100),2)</f>
        <v>0</v>
      </c>
      <c r="AF493" s="1">
        <f>ROUND(AA493 *(J493/100),2)</f>
        <v>0</v>
      </c>
      <c r="AG493" s="1">
        <f>ROUND(AA493*T493,2)</f>
        <v>0</v>
      </c>
      <c r="AH493" s="1">
        <v>0</v>
      </c>
      <c r="AI493" s="1">
        <f>AH493*M493*K493</f>
        <v>0</v>
      </c>
      <c r="BB493" s="1">
        <f>AI493</f>
        <v>0</v>
      </c>
      <c r="BC493" s="1" t="s">
        <v>11452</v>
      </c>
      <c r="BD493" s="1">
        <f>N493</f>
        <v>0.74325300000000005</v>
      </c>
    </row>
    <row r="494" spans="1:56" x14ac:dyDescent="0.25">
      <c r="A494" s="1">
        <v>600002850</v>
      </c>
      <c r="B494" s="1">
        <v>1110</v>
      </c>
      <c r="C494" s="1">
        <v>2200001473</v>
      </c>
      <c r="D494" s="1" t="s">
        <v>303</v>
      </c>
      <c r="E494" s="1" t="str">
        <f>IF(AND(B494&lt;&gt;1110,B494&lt;&gt;1210,B494&lt;&gt;1510,B494&lt;&gt;1710),B494,IF(B494=1110,"1100",IF(B494=1210,"1200",IF(B494=1510,"1500",IF(B494=1710,"1700","X")))))</f>
        <v>1100</v>
      </c>
      <c r="F494" s="1" t="s">
        <v>447</v>
      </c>
      <c r="G494" s="1" t="s">
        <v>302</v>
      </c>
      <c r="H494" s="1">
        <f>ROUND(P494/(1-((R494+S494))/100)*Q494, 3)</f>
        <v>247.471</v>
      </c>
      <c r="I494" s="1">
        <v>0.45</v>
      </c>
      <c r="J494" s="1">
        <v>4</v>
      </c>
      <c r="K494" s="1">
        <v>1</v>
      </c>
      <c r="L494" s="1" t="s">
        <v>292</v>
      </c>
      <c r="M494" s="1">
        <v>1</v>
      </c>
      <c r="N494" s="1">
        <v>0.75272600000000001</v>
      </c>
      <c r="O494" s="1" t="s">
        <v>296</v>
      </c>
      <c r="P494" s="1">
        <v>207.25700000000001</v>
      </c>
      <c r="Q494" s="1">
        <v>1</v>
      </c>
      <c r="R494" s="1">
        <v>7</v>
      </c>
      <c r="S494" s="1">
        <v>9.25</v>
      </c>
      <c r="T494" s="1">
        <v>0</v>
      </c>
      <c r="V494" s="1" t="s">
        <v>11223</v>
      </c>
      <c r="W494" s="1">
        <v>100</v>
      </c>
      <c r="X494" s="1" t="s">
        <v>368</v>
      </c>
      <c r="Y494" s="1" t="s">
        <v>299</v>
      </c>
      <c r="Z494" s="1">
        <v>1</v>
      </c>
      <c r="AA494" s="1">
        <f>ROUND(H494*I494*Z494, 3)</f>
        <v>111.36199999999999</v>
      </c>
      <c r="AB494" s="1">
        <f>ROUND(VLOOKUP(X494,'Base de dados'!A:B, 2, 0)*AA494, 2)</f>
        <v>11.14</v>
      </c>
      <c r="AC494" s="1">
        <f>ROUND((AA494*(Destino!AG494/100))*(W494/100),2)</f>
        <v>7.8</v>
      </c>
      <c r="AD494" s="1">
        <f>ROUND(AA494*(Destino!AH494/100),2)</f>
        <v>10.3</v>
      </c>
      <c r="AE494" s="1">
        <f>ROUND((((AA494+AB494)*1.5039)*(Destino!AI494/100))-AC494,2)</f>
        <v>23.52</v>
      </c>
      <c r="AF494" s="1">
        <f>ROUND((AA494+AB494+AE494)*(J494/100),2)</f>
        <v>5.84</v>
      </c>
      <c r="AG494" s="1">
        <f>ROUND(AA494*T494,2)</f>
        <v>0</v>
      </c>
      <c r="AH494" s="1">
        <f>ROUND(AA494-AD494+AE494+AF494+AG494, 3)</f>
        <v>130.422</v>
      </c>
      <c r="AI494" s="1">
        <f>AH494*M494*K494</f>
        <v>130.422</v>
      </c>
      <c r="BA494" s="1" t="s">
        <v>11749</v>
      </c>
      <c r="BB494" s="1">
        <f>AI494</f>
        <v>130.422</v>
      </c>
      <c r="BD494" s="1">
        <f>N494</f>
        <v>0.75272600000000001</v>
      </c>
    </row>
    <row r="495" spans="1:56" x14ac:dyDescent="0.25">
      <c r="A495" s="1">
        <v>600002850</v>
      </c>
      <c r="B495" s="1">
        <v>1400</v>
      </c>
      <c r="C495" s="1">
        <v>2200001473</v>
      </c>
      <c r="D495" s="1" t="s">
        <v>303</v>
      </c>
      <c r="E495" s="1">
        <f>IF(AND(B495&lt;&gt;1110,B495&lt;&gt;1210,B495&lt;&gt;1510,B495&lt;&gt;1710),B495,IF(B495=1110,"1100",IF(B495=1210,"1200",IF(B495=1510,"1500",IF(B495=1710,"1700","X")))))</f>
        <v>1400</v>
      </c>
      <c r="F495" s="1" t="s">
        <v>11198</v>
      </c>
      <c r="G495" s="1" t="s">
        <v>302</v>
      </c>
      <c r="H495" s="1">
        <f>ROUND(P495/(1-((R495+S495))/100)*Q495, 3)</f>
        <v>284.88900000000001</v>
      </c>
      <c r="I495" s="1">
        <v>0.45</v>
      </c>
      <c r="J495" s="1">
        <v>1.5</v>
      </c>
      <c r="K495" s="1">
        <v>1</v>
      </c>
      <c r="L495" s="1" t="s">
        <v>292</v>
      </c>
      <c r="M495" s="1">
        <v>1</v>
      </c>
      <c r="N495" s="1">
        <v>1</v>
      </c>
      <c r="O495" s="1" t="s">
        <v>296</v>
      </c>
      <c r="P495" s="1">
        <v>207.25700000000001</v>
      </c>
      <c r="Q495" s="1">
        <v>1</v>
      </c>
      <c r="R495" s="1">
        <v>18</v>
      </c>
      <c r="S495" s="1">
        <v>9.25</v>
      </c>
      <c r="T495" s="1">
        <v>0</v>
      </c>
      <c r="V495" s="1" t="s">
        <v>11223</v>
      </c>
      <c r="W495" s="1">
        <v>100</v>
      </c>
      <c r="X495" s="1" t="s">
        <v>368</v>
      </c>
      <c r="Y495" s="1" t="s">
        <v>299</v>
      </c>
      <c r="Z495" s="1">
        <v>1</v>
      </c>
      <c r="AA495" s="1">
        <f>ROUND(H495*I495*Z495, 3)</f>
        <v>128.19999999999999</v>
      </c>
      <c r="AB495" s="1">
        <f>ROUND(VLOOKUP(X495,'Base de dados'!A:B, 2, 0)*AA495, 2)</f>
        <v>12.82</v>
      </c>
      <c r="AC495" s="1">
        <f>ROUND((AA495*(Destino!AG495/100))*(W495/100),2)</f>
        <v>23.08</v>
      </c>
      <c r="AD495" s="1">
        <f>ROUND(AA495*(Destino!AH495/100),2)</f>
        <v>11.86</v>
      </c>
      <c r="AF495" s="1">
        <f>ROUND((AA495+ AB495)*(J495/100),2)</f>
        <v>2.12</v>
      </c>
      <c r="AG495" s="1">
        <f>ROUND(AA495*T495,2)</f>
        <v>0</v>
      </c>
      <c r="AH495" s="1">
        <f>ROUND(AA495-(AC495+AD495)+AF495+AG495, 3)</f>
        <v>95.38</v>
      </c>
      <c r="AI495" s="1">
        <f>AH495*M495*K495</f>
        <v>95.38</v>
      </c>
      <c r="BA495" s="1" t="s">
        <v>11750</v>
      </c>
      <c r="BB495" s="1">
        <f>AI495</f>
        <v>95.38</v>
      </c>
      <c r="BD495" s="1">
        <f>N495</f>
        <v>1</v>
      </c>
    </row>
    <row r="496" spans="1:56" x14ac:dyDescent="0.25">
      <c r="A496" s="1">
        <v>600002852</v>
      </c>
      <c r="B496" s="1">
        <v>1000</v>
      </c>
      <c r="C496" s="1">
        <v>2200001473</v>
      </c>
      <c r="D496" s="1" t="s">
        <v>303</v>
      </c>
      <c r="E496" s="1">
        <f>IF(AND(B496&lt;&gt;1110,B496&lt;&gt;1210,B496&lt;&gt;1510,B496&lt;&gt;1710),B496,IF(B496=1110,"1100",IF(B496=1210,"1200",IF(B496=1510,"1500",IF(B496=1710,"1700","X")))))</f>
        <v>1000</v>
      </c>
      <c r="F496" s="1" t="s">
        <v>11198</v>
      </c>
      <c r="G496" s="1" t="s">
        <v>302</v>
      </c>
      <c r="H496" s="1">
        <f>ROUND(P496/(1-((R496+S496))/100)*Q496, 3)</f>
        <v>332.83600000000001</v>
      </c>
      <c r="I496" s="1">
        <v>0.45</v>
      </c>
      <c r="J496" s="1">
        <v>1.5</v>
      </c>
      <c r="K496" s="1">
        <v>1</v>
      </c>
      <c r="L496" s="1" t="s">
        <v>292</v>
      </c>
      <c r="M496" s="1">
        <v>1</v>
      </c>
      <c r="N496" s="1">
        <v>1</v>
      </c>
      <c r="O496" s="1" t="s">
        <v>296</v>
      </c>
      <c r="P496" s="1">
        <v>262.108</v>
      </c>
      <c r="Q496" s="1">
        <v>1</v>
      </c>
      <c r="R496" s="1">
        <v>12</v>
      </c>
      <c r="S496" s="1">
        <v>9.25</v>
      </c>
      <c r="T496" s="1">
        <v>0</v>
      </c>
      <c r="V496" s="1" t="s">
        <v>11223</v>
      </c>
      <c r="W496" s="1">
        <v>100</v>
      </c>
      <c r="X496" s="1" t="s">
        <v>298</v>
      </c>
      <c r="Y496" s="1" t="s">
        <v>299</v>
      </c>
      <c r="Z496" s="1">
        <v>1</v>
      </c>
      <c r="AA496" s="1">
        <f>ROUND(H496*I496*Z496, 3)</f>
        <v>149.77600000000001</v>
      </c>
      <c r="AB496" s="1">
        <f>ROUND(VLOOKUP(X496,'Base de dados'!A:B, 2, 0)*AA496, 2)</f>
        <v>14.98</v>
      </c>
      <c r="AC496" s="1">
        <f>ROUND((AA496*(Destino!AG496/100))*(W496/100),2)</f>
        <v>17.97</v>
      </c>
      <c r="AD496" s="1">
        <f>ROUND(AA496*(Destino!AH496/100),2)</f>
        <v>13.85</v>
      </c>
      <c r="AF496" s="1">
        <f>ROUND((AA496+ AB496)*(J496/100),2)</f>
        <v>2.4700000000000002</v>
      </c>
      <c r="AG496" s="1">
        <f>ROUND(AA496*T496,2)</f>
        <v>0</v>
      </c>
      <c r="AH496" s="1">
        <f>ROUND(AA496-(AC496+AD496)+AF496+AG496, 3)</f>
        <v>120.426</v>
      </c>
      <c r="AI496" s="1">
        <f>AH496*M496*K496</f>
        <v>120.426</v>
      </c>
      <c r="BA496" s="1" t="s">
        <v>11751</v>
      </c>
      <c r="BB496" s="1">
        <f>AI496</f>
        <v>120.426</v>
      </c>
      <c r="BD496" s="1">
        <f>N496</f>
        <v>1</v>
      </c>
    </row>
    <row r="497" spans="1:56" x14ac:dyDescent="0.25">
      <c r="A497" s="1">
        <v>600002852</v>
      </c>
      <c r="B497" s="1">
        <v>1100</v>
      </c>
      <c r="C497" s="1">
        <v>2200001473</v>
      </c>
      <c r="D497" s="1" t="s">
        <v>303</v>
      </c>
      <c r="E497" s="1">
        <f>IF(AND(B497&lt;&gt;1110,B497&lt;&gt;1210,B497&lt;&gt;1510,B497&lt;&gt;1710),B497,IF(B497=1110,"1100",IF(B497=1210,"1200",IF(B497=1510,"1500",IF(B497=1710,"1700","X")))))</f>
        <v>1100</v>
      </c>
      <c r="F497" s="1" t="s">
        <v>11198</v>
      </c>
      <c r="G497" s="1" t="s">
        <v>302</v>
      </c>
      <c r="H497" s="1">
        <f>ROUND(P497/(1-((R497+S497))/100)*Q497, 3)</f>
        <v>312.96800000000002</v>
      </c>
      <c r="I497" s="1">
        <v>0.45</v>
      </c>
      <c r="J497" s="1">
        <v>2</v>
      </c>
      <c r="K497" s="1">
        <v>1</v>
      </c>
      <c r="L497" s="1" t="s">
        <v>292</v>
      </c>
      <c r="M497" s="1">
        <v>1</v>
      </c>
      <c r="N497" s="1">
        <v>1</v>
      </c>
      <c r="O497" s="1" t="s">
        <v>296</v>
      </c>
      <c r="P497" s="1">
        <v>262.11099999999999</v>
      </c>
      <c r="Q497" s="1">
        <v>1</v>
      </c>
      <c r="R497" s="1">
        <v>7</v>
      </c>
      <c r="S497" s="1">
        <v>9.25</v>
      </c>
      <c r="T497" s="1">
        <v>0</v>
      </c>
      <c r="V497" s="1" t="s">
        <v>11223</v>
      </c>
      <c r="W497" s="1">
        <v>100</v>
      </c>
      <c r="X497" s="1" t="s">
        <v>298</v>
      </c>
      <c r="Y497" s="1" t="s">
        <v>299</v>
      </c>
      <c r="Z497" s="1">
        <v>1</v>
      </c>
      <c r="AA497" s="1">
        <f>ROUND(H497*I497*Z497, 3)</f>
        <v>140.83600000000001</v>
      </c>
      <c r="AB497" s="1">
        <f>ROUND(VLOOKUP(X497,'Base de dados'!A:B, 2, 0)*AA497, 2)</f>
        <v>14.08</v>
      </c>
      <c r="AC497" s="1">
        <f>ROUND((AA497*(Destino!AG497/100))*(W497/100),2)</f>
        <v>9.86</v>
      </c>
      <c r="AD497" s="1">
        <f>ROUND(AA497*(Destino!AH497/100),2)</f>
        <v>13.03</v>
      </c>
      <c r="AF497" s="1">
        <f>ROUND((AA497+ AB497)*(J497/100),2)</f>
        <v>3.1</v>
      </c>
      <c r="AG497" s="1">
        <f>ROUND(AA497*T497,2)</f>
        <v>0</v>
      </c>
      <c r="AH497" s="1">
        <f>ROUND(AA497-(AC497+AD497)+AF497+AG497, 3)</f>
        <v>121.04600000000001</v>
      </c>
      <c r="AI497" s="1">
        <f>AH497*M497*K497</f>
        <v>121.04600000000001</v>
      </c>
      <c r="BA497" s="1" t="s">
        <v>11752</v>
      </c>
      <c r="BB497" s="1">
        <f>AI497</f>
        <v>121.04600000000001</v>
      </c>
      <c r="BD497" s="1">
        <f>N497</f>
        <v>1</v>
      </c>
    </row>
    <row r="498" spans="1:56" x14ac:dyDescent="0.25">
      <c r="A498" s="1">
        <v>600002852</v>
      </c>
      <c r="B498" s="1">
        <v>1110</v>
      </c>
      <c r="C498" s="1">
        <v>2200001473</v>
      </c>
      <c r="D498" s="1" t="s">
        <v>303</v>
      </c>
      <c r="E498" s="1" t="str">
        <f>IF(AND(B498&lt;&gt;1110,B498&lt;&gt;1210,B498&lt;&gt;1510,B498&lt;&gt;1710),B498,IF(B498=1110,"1100",IF(B498=1210,"1200",IF(B498=1510,"1500",IF(B498=1710,"1700","X")))))</f>
        <v>1100</v>
      </c>
      <c r="F498" s="1" t="s">
        <v>447</v>
      </c>
      <c r="G498" s="1" t="s">
        <v>302</v>
      </c>
      <c r="H498" s="1">
        <f>ROUND(P498/(1-((R498+S498))/100)*Q498, 3)</f>
        <v>312.96800000000002</v>
      </c>
      <c r="I498" s="1">
        <v>0.45</v>
      </c>
      <c r="J498" s="1">
        <v>4</v>
      </c>
      <c r="K498" s="1">
        <v>1</v>
      </c>
      <c r="L498" s="1" t="s">
        <v>292</v>
      </c>
      <c r="M498" s="1">
        <v>1</v>
      </c>
      <c r="N498" s="1">
        <v>0.75266100000000002</v>
      </c>
      <c r="O498" s="1" t="s">
        <v>296</v>
      </c>
      <c r="P498" s="1">
        <v>262.11099999999999</v>
      </c>
      <c r="Q498" s="1">
        <v>1</v>
      </c>
      <c r="R498" s="1">
        <v>7</v>
      </c>
      <c r="S498" s="1">
        <v>9.25</v>
      </c>
      <c r="T498" s="1">
        <v>0</v>
      </c>
      <c r="V498" s="1" t="s">
        <v>11223</v>
      </c>
      <c r="W498" s="1">
        <v>100</v>
      </c>
      <c r="X498" s="1" t="s">
        <v>298</v>
      </c>
      <c r="Y498" s="1" t="s">
        <v>299</v>
      </c>
      <c r="Z498" s="1">
        <v>1</v>
      </c>
      <c r="AA498" s="1">
        <f>ROUND(H498*I498*Z498, 3)</f>
        <v>140.83600000000001</v>
      </c>
      <c r="AB498" s="1">
        <f>ROUND(VLOOKUP(X498,'Base de dados'!A:B, 2, 0)*AA498, 2)</f>
        <v>14.08</v>
      </c>
      <c r="AC498" s="1">
        <f>ROUND((AA498*(Destino!AG498/100))*(W498/100),2)</f>
        <v>9.86</v>
      </c>
      <c r="AD498" s="1">
        <f>ROUND(AA498*(Destino!AH498/100),2)</f>
        <v>13.03</v>
      </c>
      <c r="AE498" s="1">
        <f>ROUND((((AA498+AB498)*1.5039)*(Destino!AI498/100))-AC498,2)</f>
        <v>29.75</v>
      </c>
      <c r="AF498" s="1">
        <f>ROUND((AA498+AB498+AE498)*(J498/100),2)</f>
        <v>7.39</v>
      </c>
      <c r="AG498" s="1">
        <f>ROUND(AA498*T498,2)</f>
        <v>0</v>
      </c>
      <c r="AH498" s="1">
        <f>ROUND(AA498-AD498+AE498+AF498+AG498, 3)</f>
        <v>164.946</v>
      </c>
      <c r="AI498" s="1">
        <f>AH498*M498*K498</f>
        <v>164.946</v>
      </c>
      <c r="BA498" s="1" t="s">
        <v>11753</v>
      </c>
      <c r="BB498" s="1">
        <f>AI498</f>
        <v>164.946</v>
      </c>
      <c r="BD498" s="1">
        <f>N498</f>
        <v>0.75266100000000002</v>
      </c>
    </row>
    <row r="499" spans="1:56" x14ac:dyDescent="0.25">
      <c r="A499" s="1">
        <v>600002852</v>
      </c>
      <c r="B499" s="1">
        <v>1400</v>
      </c>
      <c r="C499" s="1">
        <v>2200001473</v>
      </c>
      <c r="D499" s="1" t="s">
        <v>303</v>
      </c>
      <c r="E499" s="1">
        <f>IF(AND(B499&lt;&gt;1110,B499&lt;&gt;1210,B499&lt;&gt;1510,B499&lt;&gt;1710),B499,IF(B499=1110,"1100",IF(B499=1210,"1200",IF(B499=1510,"1500",IF(B499=1710,"1700","X")))))</f>
        <v>1400</v>
      </c>
      <c r="F499" s="1" t="s">
        <v>11198</v>
      </c>
      <c r="G499" s="1" t="s">
        <v>302</v>
      </c>
      <c r="H499" s="1">
        <f>ROUND(P499/(1-((R499+S499))/100)*Q499, 3)</f>
        <v>360.29</v>
      </c>
      <c r="I499" s="1">
        <v>0.45</v>
      </c>
      <c r="J499" s="1">
        <v>1.5</v>
      </c>
      <c r="K499" s="1">
        <v>1</v>
      </c>
      <c r="L499" s="1" t="s">
        <v>292</v>
      </c>
      <c r="M499" s="1">
        <v>1</v>
      </c>
      <c r="N499" s="1">
        <v>1</v>
      </c>
      <c r="O499" s="1" t="s">
        <v>296</v>
      </c>
      <c r="P499" s="1">
        <v>262.11099999999999</v>
      </c>
      <c r="Q499" s="1">
        <v>1</v>
      </c>
      <c r="R499" s="1">
        <v>18</v>
      </c>
      <c r="S499" s="1">
        <v>9.25</v>
      </c>
      <c r="T499" s="1">
        <v>0</v>
      </c>
      <c r="V499" s="1" t="s">
        <v>11223</v>
      </c>
      <c r="W499" s="1">
        <v>100</v>
      </c>
      <c r="X499" s="1" t="s">
        <v>298</v>
      </c>
      <c r="Y499" s="1" t="s">
        <v>299</v>
      </c>
      <c r="Z499" s="1">
        <v>1</v>
      </c>
      <c r="AA499" s="1">
        <f>ROUND(H499*I499*Z499, 3)</f>
        <v>162.131</v>
      </c>
      <c r="AB499" s="1">
        <f>ROUND(VLOOKUP(X499,'Base de dados'!A:B, 2, 0)*AA499, 2)</f>
        <v>16.21</v>
      </c>
      <c r="AC499" s="1">
        <f>ROUND((AA499*(Destino!AG499/100))*(W499/100),2)</f>
        <v>29.18</v>
      </c>
      <c r="AD499" s="1">
        <f>ROUND(AA499*(Destino!AH499/100),2)</f>
        <v>15</v>
      </c>
      <c r="AF499" s="1">
        <f>ROUND((AA499+ AB499)*(J499/100),2)</f>
        <v>2.68</v>
      </c>
      <c r="AG499" s="1">
        <f>ROUND(AA499*T499,2)</f>
        <v>0</v>
      </c>
      <c r="AH499" s="1">
        <f>ROUND(AA499-(AC499+AD499)+AF499+AG499, 3)</f>
        <v>120.631</v>
      </c>
      <c r="AI499" s="1">
        <f>AH499*M499*K499</f>
        <v>120.631</v>
      </c>
      <c r="BA499" s="1" t="s">
        <v>11453</v>
      </c>
      <c r="BB499" s="1">
        <f>AI499</f>
        <v>120.631</v>
      </c>
      <c r="BD499" s="1">
        <f>N499</f>
        <v>1</v>
      </c>
    </row>
    <row r="500" spans="1:56" x14ac:dyDescent="0.25">
      <c r="A500" s="1">
        <v>600002852</v>
      </c>
      <c r="B500" s="1">
        <v>1700</v>
      </c>
      <c r="C500" s="1">
        <v>2200001421</v>
      </c>
      <c r="D500" s="1" t="s">
        <v>303</v>
      </c>
      <c r="E500" s="1">
        <f>IF(AND(B500&lt;&gt;1110,B500&lt;&gt;1210,B500&lt;&gt;1510,B500&lt;&gt;1710),B500,IF(B500=1110,"1100",IF(B500=1210,"1200",IF(B500=1510,"1500",IF(B500=1710,"1700","X")))))</f>
        <v>1700</v>
      </c>
      <c r="F500" s="1" t="s">
        <v>11238</v>
      </c>
      <c r="G500" s="1" t="s">
        <v>302</v>
      </c>
      <c r="H500" s="1">
        <f>ROUND(P500/(1-((R500+S500))/100)*Q500, 3)</f>
        <v>144.03700000000001</v>
      </c>
      <c r="I500" s="1">
        <v>0.25</v>
      </c>
      <c r="J500" s="1">
        <v>3</v>
      </c>
      <c r="K500" s="1">
        <v>1</v>
      </c>
      <c r="L500" s="1" t="s">
        <v>292</v>
      </c>
      <c r="M500" s="1">
        <v>4</v>
      </c>
      <c r="N500" s="1">
        <v>1</v>
      </c>
      <c r="O500" s="1" t="s">
        <v>296</v>
      </c>
      <c r="P500" s="1">
        <f>IFERROR(VLOOKUP(BC500, BA:BA:BB:BB, 2, 0),)</f>
        <v>120.631</v>
      </c>
      <c r="Q500" s="1">
        <f>IFERROR(VLOOKUP(BC500, BA:BA:BD:BD, 4, 0),1)</f>
        <v>1</v>
      </c>
      <c r="R500" s="1">
        <v>7</v>
      </c>
      <c r="S500" s="1">
        <v>9.25</v>
      </c>
      <c r="T500" s="1">
        <v>0</v>
      </c>
      <c r="V500" s="1" t="s">
        <v>11223</v>
      </c>
      <c r="W500" s="1">
        <v>100</v>
      </c>
      <c r="X500" s="1" t="s">
        <v>298</v>
      </c>
      <c r="Y500" s="1" t="s">
        <v>299</v>
      </c>
      <c r="Z500" s="1">
        <v>1</v>
      </c>
      <c r="AA500" s="1">
        <f>ROUND(H500*I500*Z500, 3)</f>
        <v>36.009</v>
      </c>
      <c r="AB500" s="1">
        <f>ROUND(VLOOKUP(X500,'Base de dados'!A:B, 2, 0)*AA500, 2)</f>
        <v>3.6</v>
      </c>
      <c r="AC500" s="1">
        <f>ROUND((AA500*(Destino!AG500/100))*(W500/100),2)</f>
        <v>2.52</v>
      </c>
      <c r="AD500" s="1">
        <f>ROUND(AA500*(Destino!AH500/100),2)</f>
        <v>0</v>
      </c>
      <c r="AE500" s="1">
        <f>ROUND((((AA500+AB500)*1.48)*(Destino!AI500/100))-AC500,2)</f>
        <v>7.45</v>
      </c>
      <c r="AF500" s="1">
        <f>ROUND((AA500+AB500+AE500)*(J500/100),2)</f>
        <v>1.41</v>
      </c>
      <c r="AG500" s="1">
        <f>ROUND(AA500*T500,2)</f>
        <v>0</v>
      </c>
      <c r="AH500" s="1">
        <f>ROUND(AA500+AB500-AD500+AE500+AF500+AG500, 3)</f>
        <v>48.469000000000001</v>
      </c>
      <c r="AI500" s="1">
        <f>AH500*M500*K500</f>
        <v>193.876</v>
      </c>
      <c r="BA500" s="1" t="s">
        <v>11341</v>
      </c>
      <c r="BB500" s="1">
        <f>AI500</f>
        <v>193.876</v>
      </c>
      <c r="BC500" s="1" t="s">
        <v>11453</v>
      </c>
      <c r="BD500" s="1">
        <f>N500</f>
        <v>1</v>
      </c>
    </row>
    <row r="501" spans="1:56" x14ac:dyDescent="0.25">
      <c r="A501" s="1">
        <v>600002861</v>
      </c>
      <c r="B501" s="1">
        <v>1000</v>
      </c>
      <c r="C501" s="1">
        <v>2200001473</v>
      </c>
      <c r="D501" s="1" t="s">
        <v>303</v>
      </c>
      <c r="E501" s="1">
        <f>IF(AND(B501&lt;&gt;1110,B501&lt;&gt;1210,B501&lt;&gt;1510,B501&lt;&gt;1710),B501,IF(B501=1110,"1100",IF(B501=1210,"1200",IF(B501=1510,"1500",IF(B501=1710,"1700","X")))))</f>
        <v>1000</v>
      </c>
      <c r="F501" s="1" t="s">
        <v>11198</v>
      </c>
      <c r="G501" s="1" t="s">
        <v>302</v>
      </c>
      <c r="H501" s="1">
        <f>ROUND(P501/(1-((R501+S501))/100)*Q501, 3)</f>
        <v>365.57299999999998</v>
      </c>
      <c r="I501" s="1">
        <v>0.45</v>
      </c>
      <c r="J501" s="1">
        <v>1.5</v>
      </c>
      <c r="K501" s="1">
        <v>1</v>
      </c>
      <c r="L501" s="1" t="s">
        <v>292</v>
      </c>
      <c r="M501" s="1">
        <v>1</v>
      </c>
      <c r="N501" s="1">
        <v>1</v>
      </c>
      <c r="O501" s="1" t="s">
        <v>296</v>
      </c>
      <c r="P501" s="1">
        <v>287.88900000000001</v>
      </c>
      <c r="Q501" s="1">
        <v>1</v>
      </c>
      <c r="R501" s="1">
        <v>12</v>
      </c>
      <c r="S501" s="1">
        <v>9.25</v>
      </c>
      <c r="T501" s="1">
        <v>0</v>
      </c>
      <c r="V501" s="1" t="s">
        <v>11223</v>
      </c>
      <c r="W501" s="1">
        <v>100</v>
      </c>
      <c r="X501" s="1" t="s">
        <v>298</v>
      </c>
      <c r="Y501" s="1" t="s">
        <v>299</v>
      </c>
      <c r="Z501" s="1">
        <v>1</v>
      </c>
      <c r="AA501" s="1">
        <f>ROUND(H501*I501*Z501, 3)</f>
        <v>164.50800000000001</v>
      </c>
      <c r="AB501" s="1">
        <f>ROUND(VLOOKUP(X501,'Base de dados'!A:B, 2, 0)*AA501, 2)</f>
        <v>16.45</v>
      </c>
      <c r="AC501" s="1">
        <f>ROUND((AA501*(Destino!AG501/100))*(W501/100),2)</f>
        <v>19.739999999999998</v>
      </c>
      <c r="AD501" s="1">
        <f>ROUND(AA501*(Destino!AH501/100),2)</f>
        <v>15.22</v>
      </c>
      <c r="AF501" s="1">
        <f>ROUND((AA501+ AB501)*(J501/100),2)</f>
        <v>2.71</v>
      </c>
      <c r="AG501" s="1">
        <f>ROUND(AA501*T501,2)</f>
        <v>0</v>
      </c>
      <c r="AH501" s="1">
        <f>ROUND(AA501-(AC501+AD501)+AF501+AG501, 3)</f>
        <v>132.25800000000001</v>
      </c>
      <c r="AI501" s="1">
        <f>AH501*M501*K501</f>
        <v>132.25800000000001</v>
      </c>
      <c r="BA501" s="1" t="s">
        <v>11754</v>
      </c>
      <c r="BB501" s="1">
        <f>AI501</f>
        <v>132.25800000000001</v>
      </c>
      <c r="BD501" s="1">
        <f>N501</f>
        <v>1</v>
      </c>
    </row>
    <row r="502" spans="1:56" x14ac:dyDescent="0.25">
      <c r="A502" s="1">
        <v>600002861</v>
      </c>
      <c r="B502" s="1">
        <v>1100</v>
      </c>
      <c r="C502" s="1">
        <v>2200001473</v>
      </c>
      <c r="D502" s="1" t="s">
        <v>303</v>
      </c>
      <c r="E502" s="1">
        <f>IF(AND(B502&lt;&gt;1110,B502&lt;&gt;1210,B502&lt;&gt;1510,B502&lt;&gt;1710),B502,IF(B502=1110,"1100",IF(B502=1210,"1200",IF(B502=1510,"1500",IF(B502=1710,"1700","X")))))</f>
        <v>1100</v>
      </c>
      <c r="F502" s="1" t="s">
        <v>11198</v>
      </c>
      <c r="G502" s="1" t="s">
        <v>302</v>
      </c>
      <c r="H502" s="1">
        <f>ROUND(P502/(1-((R502+S502))/100)*Q502, 3)</f>
        <v>343.74400000000003</v>
      </c>
      <c r="I502" s="1">
        <v>0.45</v>
      </c>
      <c r="J502" s="1">
        <v>2</v>
      </c>
      <c r="K502" s="1">
        <v>1</v>
      </c>
      <c r="L502" s="1" t="s">
        <v>292</v>
      </c>
      <c r="M502" s="1">
        <v>1</v>
      </c>
      <c r="N502" s="1">
        <v>1</v>
      </c>
      <c r="O502" s="1" t="s">
        <v>296</v>
      </c>
      <c r="P502" s="1">
        <v>287.88600000000002</v>
      </c>
      <c r="Q502" s="1">
        <v>1</v>
      </c>
      <c r="R502" s="1">
        <v>7</v>
      </c>
      <c r="S502" s="1">
        <v>9.25</v>
      </c>
      <c r="T502" s="1">
        <v>0</v>
      </c>
      <c r="V502" s="1" t="s">
        <v>11223</v>
      </c>
      <c r="W502" s="1">
        <v>100</v>
      </c>
      <c r="X502" s="1" t="s">
        <v>298</v>
      </c>
      <c r="Y502" s="1" t="s">
        <v>299</v>
      </c>
      <c r="Z502" s="1">
        <v>1</v>
      </c>
      <c r="AA502" s="1">
        <f>ROUND(H502*I502*Z502, 3)</f>
        <v>154.685</v>
      </c>
      <c r="AB502" s="1">
        <f>ROUND(VLOOKUP(X502,'Base de dados'!A:B, 2, 0)*AA502, 2)</f>
        <v>15.47</v>
      </c>
      <c r="AC502" s="1">
        <f>ROUND((AA502*(Destino!AG502/100))*(W502/100),2)</f>
        <v>10.83</v>
      </c>
      <c r="AD502" s="1">
        <f>ROUND(AA502*(Destino!AH502/100),2)</f>
        <v>14.31</v>
      </c>
      <c r="AF502" s="1">
        <f>ROUND((AA502+ AB502)*(J502/100),2)</f>
        <v>3.4</v>
      </c>
      <c r="AG502" s="1">
        <f>ROUND(AA502*T502,2)</f>
        <v>0</v>
      </c>
      <c r="AH502" s="1">
        <f>ROUND(AA502-(AC502+AD502)+AF502+AG502, 3)</f>
        <v>132.94499999999999</v>
      </c>
      <c r="AI502" s="1">
        <f>AH502*M502*K502</f>
        <v>132.94499999999999</v>
      </c>
      <c r="BA502" s="1" t="s">
        <v>11755</v>
      </c>
      <c r="BB502" s="1">
        <f>AI502</f>
        <v>132.94499999999999</v>
      </c>
      <c r="BD502" s="1">
        <f>N502</f>
        <v>1</v>
      </c>
    </row>
    <row r="503" spans="1:56" x14ac:dyDescent="0.25">
      <c r="A503" s="1">
        <v>600002861</v>
      </c>
      <c r="B503" s="1">
        <v>1110</v>
      </c>
      <c r="C503" s="1">
        <v>2200001473</v>
      </c>
      <c r="D503" s="1" t="s">
        <v>303</v>
      </c>
      <c r="E503" s="1" t="str">
        <f>IF(AND(B503&lt;&gt;1110,B503&lt;&gt;1210,B503&lt;&gt;1510,B503&lt;&gt;1710),B503,IF(B503=1110,"1100",IF(B503=1210,"1200",IF(B503=1510,"1500",IF(B503=1710,"1700","X")))))</f>
        <v>1100</v>
      </c>
      <c r="F503" s="1" t="s">
        <v>447</v>
      </c>
      <c r="G503" s="1" t="s">
        <v>302</v>
      </c>
      <c r="H503" s="1">
        <f>ROUND(P503/(1-((R503+S503))/100)*Q503, 3)</f>
        <v>343.74400000000003</v>
      </c>
      <c r="I503" s="1">
        <v>0.45</v>
      </c>
      <c r="J503" s="1">
        <v>4</v>
      </c>
      <c r="K503" s="1">
        <v>1</v>
      </c>
      <c r="L503" s="1" t="s">
        <v>292</v>
      </c>
      <c r="M503" s="1">
        <v>1</v>
      </c>
      <c r="N503" s="1">
        <v>0.75265599999999999</v>
      </c>
      <c r="O503" s="1" t="s">
        <v>296</v>
      </c>
      <c r="P503" s="1">
        <v>287.88600000000002</v>
      </c>
      <c r="Q503" s="1">
        <v>1</v>
      </c>
      <c r="R503" s="1">
        <v>7</v>
      </c>
      <c r="S503" s="1">
        <v>9.25</v>
      </c>
      <c r="T503" s="1">
        <v>0</v>
      </c>
      <c r="V503" s="1" t="s">
        <v>11223</v>
      </c>
      <c r="W503" s="1">
        <v>100</v>
      </c>
      <c r="X503" s="1" t="s">
        <v>298</v>
      </c>
      <c r="Y503" s="1" t="s">
        <v>299</v>
      </c>
      <c r="Z503" s="1">
        <v>1</v>
      </c>
      <c r="AA503" s="1">
        <f>ROUND(H503*I503*Z503, 3)</f>
        <v>154.685</v>
      </c>
      <c r="AB503" s="1">
        <f>ROUND(VLOOKUP(X503,'Base de dados'!A:B, 2, 0)*AA503, 2)</f>
        <v>15.47</v>
      </c>
      <c r="AC503" s="1">
        <f>ROUND((AA503*(Destino!AG503/100))*(W503/100),2)</f>
        <v>10.83</v>
      </c>
      <c r="AD503" s="1">
        <f>ROUND(AA503*(Destino!AH503/100),2)</f>
        <v>14.31</v>
      </c>
      <c r="AE503" s="1">
        <f>ROUND((((AA503+AB503)*1.5039)*(Destino!AI503/100))-AC503,2)</f>
        <v>32.67</v>
      </c>
      <c r="AF503" s="1">
        <f>ROUND((AA503+AB503+AE503)*(J503/100),2)</f>
        <v>8.11</v>
      </c>
      <c r="AG503" s="1">
        <f>ROUND(AA503*T503,2)</f>
        <v>0</v>
      </c>
      <c r="AH503" s="1">
        <f>ROUND(AA503-AD503+AE503+AF503+AG503, 3)</f>
        <v>181.155</v>
      </c>
      <c r="AI503" s="1">
        <f>AH503*M503*K503</f>
        <v>181.155</v>
      </c>
      <c r="BA503" s="1" t="s">
        <v>11756</v>
      </c>
      <c r="BB503" s="1">
        <f>AI503</f>
        <v>181.155</v>
      </c>
      <c r="BD503" s="1">
        <f>N503</f>
        <v>0.75265599999999999</v>
      </c>
    </row>
    <row r="504" spans="1:56" x14ac:dyDescent="0.25">
      <c r="A504" s="1">
        <v>600002861</v>
      </c>
      <c r="B504" s="1">
        <v>1400</v>
      </c>
      <c r="C504" s="1">
        <v>2200001473</v>
      </c>
      <c r="D504" s="1" t="s">
        <v>303</v>
      </c>
      <c r="E504" s="1">
        <f>IF(AND(B504&lt;&gt;1110,B504&lt;&gt;1210,B504&lt;&gt;1510,B504&lt;&gt;1710),B504,IF(B504=1110,"1100",IF(B504=1210,"1200",IF(B504=1510,"1500",IF(B504=1710,"1700","X")))))</f>
        <v>1400</v>
      </c>
      <c r="F504" s="1" t="s">
        <v>11198</v>
      </c>
      <c r="G504" s="1" t="s">
        <v>302</v>
      </c>
      <c r="H504" s="1">
        <f>ROUND(P504/(1-((R504+S504))/100)*Q504, 3)</f>
        <v>395.72</v>
      </c>
      <c r="I504" s="1">
        <v>0.45</v>
      </c>
      <c r="J504" s="1">
        <v>1.5</v>
      </c>
      <c r="K504" s="1">
        <v>1</v>
      </c>
      <c r="L504" s="1" t="s">
        <v>292</v>
      </c>
      <c r="M504" s="1">
        <v>1</v>
      </c>
      <c r="N504" s="1">
        <v>1</v>
      </c>
      <c r="O504" s="1" t="s">
        <v>296</v>
      </c>
      <c r="P504" s="1">
        <v>287.88600000000002</v>
      </c>
      <c r="Q504" s="1">
        <v>1</v>
      </c>
      <c r="R504" s="1">
        <v>18</v>
      </c>
      <c r="S504" s="1">
        <v>9.25</v>
      </c>
      <c r="T504" s="1">
        <v>0</v>
      </c>
      <c r="V504" s="1" t="s">
        <v>11223</v>
      </c>
      <c r="W504" s="1">
        <v>100</v>
      </c>
      <c r="X504" s="1" t="s">
        <v>298</v>
      </c>
      <c r="Y504" s="1" t="s">
        <v>299</v>
      </c>
      <c r="Z504" s="1">
        <v>1</v>
      </c>
      <c r="AA504" s="1">
        <f>ROUND(H504*I504*Z504, 3)</f>
        <v>178.07400000000001</v>
      </c>
      <c r="AB504" s="1">
        <f>ROUND(VLOOKUP(X504,'Base de dados'!A:B, 2, 0)*AA504, 2)</f>
        <v>17.809999999999999</v>
      </c>
      <c r="AC504" s="1">
        <f>ROUND((AA504*(Destino!AG504/100))*(W504/100),2)</f>
        <v>32.049999999999997</v>
      </c>
      <c r="AD504" s="1">
        <f>ROUND(AA504*(Destino!AH504/100),2)</f>
        <v>16.47</v>
      </c>
      <c r="AF504" s="1">
        <f>ROUND((AA504+ AB504)*(J504/100),2)</f>
        <v>2.94</v>
      </c>
      <c r="AG504" s="1">
        <f>ROUND(AA504*T504,2)</f>
        <v>0</v>
      </c>
      <c r="AH504" s="1">
        <f>ROUND(AA504-(AC504+AD504)+AF504+AG504, 3)</f>
        <v>132.494</v>
      </c>
      <c r="AI504" s="1">
        <f>AH504*M504*K504</f>
        <v>132.494</v>
      </c>
      <c r="BA504" s="1" t="s">
        <v>11454</v>
      </c>
      <c r="BB504" s="1">
        <f>AI504</f>
        <v>132.494</v>
      </c>
      <c r="BD504" s="1">
        <f>N504</f>
        <v>1</v>
      </c>
    </row>
    <row r="505" spans="1:56" x14ac:dyDescent="0.25">
      <c r="A505" s="1">
        <v>600002861</v>
      </c>
      <c r="B505" s="1">
        <v>1700</v>
      </c>
      <c r="C505" s="1">
        <v>2200001421</v>
      </c>
      <c r="D505" s="1" t="s">
        <v>303</v>
      </c>
      <c r="E505" s="1">
        <f>IF(AND(B505&lt;&gt;1110,B505&lt;&gt;1210,B505&lt;&gt;1510,B505&lt;&gt;1710),B505,IF(B505=1110,"1100",IF(B505=1210,"1200",IF(B505=1510,"1500",IF(B505=1710,"1700","X")))))</f>
        <v>1700</v>
      </c>
      <c r="F505" s="1" t="s">
        <v>11238</v>
      </c>
      <c r="G505" s="1" t="s">
        <v>302</v>
      </c>
      <c r="H505" s="1">
        <f>ROUND(P505/(1-((R505+S505))/100)*Q505, 3)</f>
        <v>158.202</v>
      </c>
      <c r="I505" s="1">
        <v>0.25</v>
      </c>
      <c r="J505" s="1">
        <v>3</v>
      </c>
      <c r="K505" s="1">
        <v>1</v>
      </c>
      <c r="L505" s="1" t="s">
        <v>292</v>
      </c>
      <c r="M505" s="1">
        <v>4</v>
      </c>
      <c r="N505" s="1">
        <v>1</v>
      </c>
      <c r="O505" s="1" t="s">
        <v>296</v>
      </c>
      <c r="P505" s="1">
        <f>IFERROR(VLOOKUP(BC505, BA:BA:BB:BB, 2, 0),)</f>
        <v>132.494</v>
      </c>
      <c r="Q505" s="1">
        <f>IFERROR(VLOOKUP(BC505, BA:BA:BD:BD, 4, 0),1)</f>
        <v>1</v>
      </c>
      <c r="R505" s="1">
        <v>7</v>
      </c>
      <c r="S505" s="1">
        <v>9.25</v>
      </c>
      <c r="T505" s="1">
        <v>0</v>
      </c>
      <c r="V505" s="1" t="s">
        <v>11223</v>
      </c>
      <c r="W505" s="1">
        <v>100</v>
      </c>
      <c r="X505" s="1" t="s">
        <v>298</v>
      </c>
      <c r="Y505" s="1" t="s">
        <v>299</v>
      </c>
      <c r="Z505" s="1">
        <v>1</v>
      </c>
      <c r="AA505" s="1">
        <f>ROUND(H505*I505*Z505, 3)</f>
        <v>39.551000000000002</v>
      </c>
      <c r="AB505" s="1">
        <f>ROUND(VLOOKUP(X505,'Base de dados'!A:B, 2, 0)*AA505, 2)</f>
        <v>3.96</v>
      </c>
      <c r="AC505" s="1">
        <f>ROUND((AA505*(Destino!AG505/100))*(W505/100),2)</f>
        <v>2.77</v>
      </c>
      <c r="AD505" s="1">
        <f>ROUND(AA505*(Destino!AH505/100),2)</f>
        <v>0</v>
      </c>
      <c r="AE505" s="1">
        <f>ROUND((((AA505+AB505)*1.48)*(Destino!AI505/100))-AC505,2)</f>
        <v>8.18</v>
      </c>
      <c r="AF505" s="1">
        <f>ROUND((AA505+AB505+AE505)*(J505/100),2)</f>
        <v>1.55</v>
      </c>
      <c r="AG505" s="1">
        <f>ROUND(AA505*T505,2)</f>
        <v>0</v>
      </c>
      <c r="AH505" s="1">
        <f>ROUND(AA505+AB505-AD505+AE505+AF505+AG505, 3)</f>
        <v>53.241</v>
      </c>
      <c r="AI505" s="1">
        <f>AH505*M505*K505</f>
        <v>212.964</v>
      </c>
      <c r="BA505" s="1" t="s">
        <v>11342</v>
      </c>
      <c r="BB505" s="1">
        <f>AI505</f>
        <v>212.964</v>
      </c>
      <c r="BC505" s="1" t="s">
        <v>11454</v>
      </c>
      <c r="BD505" s="1">
        <f>N505</f>
        <v>1</v>
      </c>
    </row>
    <row r="506" spans="1:56" x14ac:dyDescent="0.25">
      <c r="A506" s="1">
        <v>600002862</v>
      </c>
      <c r="B506" s="1">
        <v>1000</v>
      </c>
      <c r="C506" s="1">
        <v>2200001473</v>
      </c>
      <c r="D506" s="1" t="s">
        <v>303</v>
      </c>
      <c r="E506" s="1">
        <f>IF(AND(B506&lt;&gt;1110,B506&lt;&gt;1210,B506&lt;&gt;1510,B506&lt;&gt;1710),B506,IF(B506=1110,"1100",IF(B506=1210,"1200",IF(B506=1510,"1500",IF(B506=1710,"1700","X")))))</f>
        <v>1000</v>
      </c>
      <c r="F506" s="1" t="s">
        <v>11198</v>
      </c>
      <c r="G506" s="1" t="s">
        <v>302</v>
      </c>
      <c r="H506" s="1">
        <f>ROUND(P506/(1-((R506+S506))/100)*Q506, 3)</f>
        <v>449.779</v>
      </c>
      <c r="I506" s="1">
        <v>0.45</v>
      </c>
      <c r="J506" s="1">
        <v>1.5</v>
      </c>
      <c r="K506" s="1">
        <v>1</v>
      </c>
      <c r="L506" s="1" t="s">
        <v>292</v>
      </c>
      <c r="M506" s="1">
        <v>1</v>
      </c>
      <c r="N506" s="1">
        <v>1</v>
      </c>
      <c r="O506" s="1" t="s">
        <v>296</v>
      </c>
      <c r="P506" s="1">
        <v>354.20100000000002</v>
      </c>
      <c r="Q506" s="1">
        <v>1</v>
      </c>
      <c r="R506" s="1">
        <v>12</v>
      </c>
      <c r="S506" s="1">
        <v>9.25</v>
      </c>
      <c r="T506" s="1">
        <v>0</v>
      </c>
      <c r="V506" s="1" t="s">
        <v>11223</v>
      </c>
      <c r="W506" s="1">
        <v>100</v>
      </c>
      <c r="X506" s="1" t="s">
        <v>298</v>
      </c>
      <c r="Y506" s="1" t="s">
        <v>322</v>
      </c>
      <c r="Z506" s="1">
        <v>1</v>
      </c>
      <c r="AA506" s="1">
        <f>ROUND(H506*I506*Z506, 3)</f>
        <v>202.40100000000001</v>
      </c>
      <c r="AB506" s="1">
        <f>ROUND(VLOOKUP(X506,'Base de dados'!A:B, 2, 0)*AA506, 2)</f>
        <v>20.239999999999998</v>
      </c>
      <c r="AC506" s="1">
        <f>ROUND((AA506*(Destino!AG506/100))*(W506/100),2)</f>
        <v>24.29</v>
      </c>
      <c r="AD506" s="1">
        <f>ROUND(AA506*(Destino!AH506/100),2)</f>
        <v>18.72</v>
      </c>
      <c r="AF506" s="1">
        <f>ROUND((AA506+ AB506)*(J506/100),2)</f>
        <v>3.34</v>
      </c>
      <c r="AG506" s="1">
        <f>ROUND(AA506*T506,2)</f>
        <v>0</v>
      </c>
      <c r="AH506" s="1">
        <f>ROUND(AA506-(AC506+AD506)+AF506+AG506, 3)</f>
        <v>162.73099999999999</v>
      </c>
      <c r="AI506" s="1">
        <f>AH506*M506*K506</f>
        <v>162.73099999999999</v>
      </c>
      <c r="BA506" s="1" t="s">
        <v>11757</v>
      </c>
      <c r="BB506" s="1">
        <f>AI506</f>
        <v>162.73099999999999</v>
      </c>
      <c r="BD506" s="1">
        <f>N506</f>
        <v>1</v>
      </c>
    </row>
    <row r="507" spans="1:56" x14ac:dyDescent="0.25">
      <c r="A507" s="1">
        <v>600002862</v>
      </c>
      <c r="B507" s="1">
        <v>1100</v>
      </c>
      <c r="C507" s="1">
        <v>2200001473</v>
      </c>
      <c r="D507" s="1" t="s">
        <v>303</v>
      </c>
      <c r="E507" s="1">
        <f>IF(AND(B507&lt;&gt;1110,B507&lt;&gt;1210,B507&lt;&gt;1510,B507&lt;&gt;1710),B507,IF(B507=1110,"1100",IF(B507=1210,"1200",IF(B507=1510,"1500",IF(B507=1710,"1700","X")))))</f>
        <v>1100</v>
      </c>
      <c r="F507" s="1" t="s">
        <v>11198</v>
      </c>
      <c r="G507" s="1" t="s">
        <v>302</v>
      </c>
      <c r="H507" s="1">
        <f>ROUND(P507/(1-((R507+S507))/100)*Q507, 3)</f>
        <v>422.923</v>
      </c>
      <c r="I507" s="1">
        <v>0.45</v>
      </c>
      <c r="J507" s="1">
        <v>2</v>
      </c>
      <c r="K507" s="1">
        <v>1</v>
      </c>
      <c r="L507" s="1" t="s">
        <v>292</v>
      </c>
      <c r="M507" s="1">
        <v>1</v>
      </c>
      <c r="N507" s="1">
        <v>1</v>
      </c>
      <c r="O507" s="1" t="s">
        <v>296</v>
      </c>
      <c r="P507" s="1">
        <v>354.19799999999998</v>
      </c>
      <c r="Q507" s="1">
        <v>1</v>
      </c>
      <c r="R507" s="1">
        <v>7</v>
      </c>
      <c r="S507" s="1">
        <v>9.25</v>
      </c>
      <c r="T507" s="1">
        <v>0</v>
      </c>
      <c r="V507" s="1" t="s">
        <v>11223</v>
      </c>
      <c r="W507" s="1">
        <v>100</v>
      </c>
      <c r="X507" s="1" t="s">
        <v>298</v>
      </c>
      <c r="Y507" s="1" t="s">
        <v>322</v>
      </c>
      <c r="Z507" s="1">
        <v>1</v>
      </c>
      <c r="AA507" s="1">
        <f>ROUND(H507*I507*Z507, 3)</f>
        <v>190.315</v>
      </c>
      <c r="AB507" s="1">
        <f>ROUND(VLOOKUP(X507,'Base de dados'!A:B, 2, 0)*AA507, 2)</f>
        <v>19.03</v>
      </c>
      <c r="AC507" s="1">
        <f>ROUND((AA507*(Destino!AG507/100))*(W507/100),2)</f>
        <v>13.32</v>
      </c>
      <c r="AD507" s="1">
        <f>ROUND(AA507*(Destino!AH507/100),2)</f>
        <v>17.600000000000001</v>
      </c>
      <c r="AF507" s="1">
        <f>ROUND((AA507+ AB507)*(J507/100),2)</f>
        <v>4.1900000000000004</v>
      </c>
      <c r="AG507" s="1">
        <f>ROUND(AA507*T507,2)</f>
        <v>0</v>
      </c>
      <c r="AH507" s="1">
        <f>ROUND(AA507-(AC507+AD507)+AF507+AG507, 3)</f>
        <v>163.58500000000001</v>
      </c>
      <c r="AI507" s="1">
        <f>AH507*M507*K507</f>
        <v>163.58500000000001</v>
      </c>
      <c r="BA507" s="1" t="s">
        <v>11758</v>
      </c>
      <c r="BB507" s="1">
        <f>AI507</f>
        <v>163.58500000000001</v>
      </c>
      <c r="BD507" s="1">
        <f>N507</f>
        <v>1</v>
      </c>
    </row>
    <row r="508" spans="1:56" x14ac:dyDescent="0.25">
      <c r="A508" s="1">
        <v>600002862</v>
      </c>
      <c r="B508" s="1">
        <v>1110</v>
      </c>
      <c r="C508" s="1">
        <v>2200001473</v>
      </c>
      <c r="D508" s="1" t="s">
        <v>303</v>
      </c>
      <c r="E508" s="1" t="str">
        <f>IF(AND(B508&lt;&gt;1110,B508&lt;&gt;1210,B508&lt;&gt;1510,B508&lt;&gt;1710),B508,IF(B508=1110,"1100",IF(B508=1210,"1200",IF(B508=1510,"1500",IF(B508=1710,"1700","X")))))</f>
        <v>1100</v>
      </c>
      <c r="F508" s="1" t="s">
        <v>447</v>
      </c>
      <c r="G508" s="1" t="s">
        <v>302</v>
      </c>
      <c r="H508" s="1">
        <f>ROUND(P508/(1-((R508+S508))/100)*Q508, 3)</f>
        <v>422.923</v>
      </c>
      <c r="I508" s="1">
        <v>0.45</v>
      </c>
      <c r="J508" s="1">
        <v>4</v>
      </c>
      <c r="K508" s="1">
        <v>1</v>
      </c>
      <c r="L508" s="1" t="s">
        <v>292</v>
      </c>
      <c r="M508" s="1">
        <v>1</v>
      </c>
      <c r="N508" s="1">
        <v>0.752664</v>
      </c>
      <c r="O508" s="1" t="s">
        <v>296</v>
      </c>
      <c r="P508" s="1">
        <v>354.19799999999998</v>
      </c>
      <c r="Q508" s="1">
        <v>1</v>
      </c>
      <c r="R508" s="1">
        <v>7</v>
      </c>
      <c r="S508" s="1">
        <v>9.25</v>
      </c>
      <c r="T508" s="1">
        <v>0</v>
      </c>
      <c r="V508" s="1" t="s">
        <v>11223</v>
      </c>
      <c r="W508" s="1">
        <v>100</v>
      </c>
      <c r="X508" s="1" t="s">
        <v>298</v>
      </c>
      <c r="Y508" s="1" t="s">
        <v>322</v>
      </c>
      <c r="Z508" s="1">
        <v>1</v>
      </c>
      <c r="AA508" s="1">
        <f>ROUND(H508*I508*Z508, 3)</f>
        <v>190.315</v>
      </c>
      <c r="AB508" s="1">
        <f>ROUND(VLOOKUP(X508,'Base de dados'!A:B, 2, 0)*AA508, 2)</f>
        <v>19.03</v>
      </c>
      <c r="AC508" s="1">
        <f>ROUND((AA508*(Destino!AG508/100))*(W508/100),2)</f>
        <v>13.32</v>
      </c>
      <c r="AD508" s="1">
        <f>ROUND(AA508*(Destino!AH508/100),2)</f>
        <v>17.600000000000001</v>
      </c>
      <c r="AE508" s="1">
        <f>ROUND((((AA508+AB508)*1.5039)*(Destino!AI508/100))-AC508,2)</f>
        <v>40.200000000000003</v>
      </c>
      <c r="AF508" s="1">
        <f>ROUND((AA508+AB508+AE508)*(J508/100),2)</f>
        <v>9.98</v>
      </c>
      <c r="AG508" s="1">
        <f>ROUND(AA508*T508,2)</f>
        <v>0</v>
      </c>
      <c r="AH508" s="1">
        <f>ROUND(AA508-AD508+AE508+AF508+AG508, 3)</f>
        <v>222.89500000000001</v>
      </c>
      <c r="AI508" s="1">
        <f>AH508*M508*K508</f>
        <v>222.89500000000001</v>
      </c>
      <c r="BA508" s="1" t="s">
        <v>11759</v>
      </c>
      <c r="BB508" s="1">
        <f>AI508</f>
        <v>222.89500000000001</v>
      </c>
      <c r="BD508" s="1">
        <f>N508</f>
        <v>0.752664</v>
      </c>
    </row>
    <row r="509" spans="1:56" x14ac:dyDescent="0.25">
      <c r="A509" s="1">
        <v>600002862</v>
      </c>
      <c r="B509" s="1">
        <v>1400</v>
      </c>
      <c r="C509" s="1">
        <v>2200001473</v>
      </c>
      <c r="D509" s="1" t="s">
        <v>303</v>
      </c>
      <c r="E509" s="1">
        <f>IF(AND(B509&lt;&gt;1110,B509&lt;&gt;1210,B509&lt;&gt;1510,B509&lt;&gt;1710),B509,IF(B509=1110,"1100",IF(B509=1210,"1200",IF(B509=1510,"1500",IF(B509=1710,"1700","X")))))</f>
        <v>1400</v>
      </c>
      <c r="F509" s="1" t="s">
        <v>11198</v>
      </c>
      <c r="G509" s="1" t="s">
        <v>302</v>
      </c>
      <c r="H509" s="1">
        <f>ROUND(P509/(1-((R509+S509))/100)*Q509, 3)</f>
        <v>486.87</v>
      </c>
      <c r="I509" s="1">
        <v>0.45</v>
      </c>
      <c r="J509" s="1">
        <v>1.5</v>
      </c>
      <c r="K509" s="1">
        <v>1</v>
      </c>
      <c r="L509" s="1" t="s">
        <v>292</v>
      </c>
      <c r="M509" s="1">
        <v>1</v>
      </c>
      <c r="N509" s="1">
        <v>1</v>
      </c>
      <c r="O509" s="1" t="s">
        <v>296</v>
      </c>
      <c r="P509" s="1">
        <v>354.19799999999998</v>
      </c>
      <c r="Q509" s="1">
        <v>1</v>
      </c>
      <c r="R509" s="1">
        <v>18</v>
      </c>
      <c r="S509" s="1">
        <v>9.25</v>
      </c>
      <c r="T509" s="1">
        <v>0</v>
      </c>
      <c r="V509" s="1" t="s">
        <v>11223</v>
      </c>
      <c r="W509" s="1">
        <v>100</v>
      </c>
      <c r="X509" s="1" t="s">
        <v>298</v>
      </c>
      <c r="Y509" s="1" t="s">
        <v>322</v>
      </c>
      <c r="Z509" s="1">
        <v>1</v>
      </c>
      <c r="AA509" s="1">
        <f>ROUND(H509*I509*Z509, 3)</f>
        <v>219.09200000000001</v>
      </c>
      <c r="AB509" s="1">
        <f>ROUND(VLOOKUP(X509,'Base de dados'!A:B, 2, 0)*AA509, 2)</f>
        <v>21.91</v>
      </c>
      <c r="AC509" s="1">
        <f>ROUND((AA509*(Destino!AG509/100))*(W509/100),2)</f>
        <v>39.44</v>
      </c>
      <c r="AD509" s="1">
        <f>ROUND(AA509*(Destino!AH509/100),2)</f>
        <v>20.27</v>
      </c>
      <c r="AF509" s="1">
        <f>ROUND((AA509+ AB509)*(J509/100),2)</f>
        <v>3.62</v>
      </c>
      <c r="AG509" s="1">
        <f>ROUND(AA509*T509,2)</f>
        <v>0</v>
      </c>
      <c r="AH509" s="1">
        <f>ROUND(AA509-(AC509+AD509)+AF509+AG509, 3)</f>
        <v>163.00200000000001</v>
      </c>
      <c r="AI509" s="1">
        <f>AH509*M509*K509</f>
        <v>163.00200000000001</v>
      </c>
      <c r="BA509" s="1" t="s">
        <v>11455</v>
      </c>
      <c r="BB509" s="1">
        <f>AI509</f>
        <v>163.00200000000001</v>
      </c>
      <c r="BD509" s="1">
        <f>N509</f>
        <v>1</v>
      </c>
    </row>
    <row r="510" spans="1:56" x14ac:dyDescent="0.25">
      <c r="A510" s="1">
        <v>600002862</v>
      </c>
      <c r="B510" s="1">
        <v>1700</v>
      </c>
      <c r="C510" s="1">
        <v>2200001421</v>
      </c>
      <c r="D510" s="1" t="s">
        <v>303</v>
      </c>
      <c r="E510" s="1">
        <f>IF(AND(B510&lt;&gt;1110,B510&lt;&gt;1210,B510&lt;&gt;1510,B510&lt;&gt;1710),B510,IF(B510=1110,"1100",IF(B510=1210,"1200",IF(B510=1510,"1500",IF(B510=1710,"1700","X")))))</f>
        <v>1700</v>
      </c>
      <c r="F510" s="1" t="s">
        <v>11238</v>
      </c>
      <c r="G510" s="1" t="s">
        <v>302</v>
      </c>
      <c r="H510" s="1">
        <f>ROUND(P510/(1-((R510+S510))/100)*Q510, 3)</f>
        <v>194.62899999999999</v>
      </c>
      <c r="I510" s="1">
        <v>0.25</v>
      </c>
      <c r="J510" s="1">
        <v>3</v>
      </c>
      <c r="K510" s="1">
        <v>1</v>
      </c>
      <c r="L510" s="1" t="s">
        <v>292</v>
      </c>
      <c r="M510" s="1">
        <v>4</v>
      </c>
      <c r="N510" s="1">
        <v>1</v>
      </c>
      <c r="O510" s="1" t="s">
        <v>296</v>
      </c>
      <c r="P510" s="1">
        <f>IFERROR(VLOOKUP(BC510, BA:BA:BB:BB, 2, 0),)</f>
        <v>163.00200000000001</v>
      </c>
      <c r="Q510" s="1">
        <f>IFERROR(VLOOKUP(BC510, BA:BA:BD:BD, 4, 0),1)</f>
        <v>1</v>
      </c>
      <c r="R510" s="1">
        <v>7</v>
      </c>
      <c r="S510" s="1">
        <v>9.25</v>
      </c>
      <c r="T510" s="1">
        <v>0</v>
      </c>
      <c r="V510" s="1" t="s">
        <v>11223</v>
      </c>
      <c r="W510" s="1">
        <v>100</v>
      </c>
      <c r="X510" s="1" t="s">
        <v>298</v>
      </c>
      <c r="Y510" s="1" t="s">
        <v>322</v>
      </c>
      <c r="Z510" s="1">
        <v>1</v>
      </c>
      <c r="AA510" s="1">
        <f>ROUND(H510*I510*Z510, 3)</f>
        <v>48.656999999999996</v>
      </c>
      <c r="AB510" s="1">
        <f>ROUND(VLOOKUP(X510,'Base de dados'!A:B, 2, 0)*AA510, 2)</f>
        <v>4.87</v>
      </c>
      <c r="AC510" s="1">
        <f>ROUND((AA510*(Destino!AG510/100))*(W510/100),2)</f>
        <v>3.41</v>
      </c>
      <c r="AD510" s="1">
        <f>ROUND(AA510*(Destino!AH510/100),2)</f>
        <v>0</v>
      </c>
      <c r="AE510" s="1">
        <f>ROUND((((AA510+AB510)*1.48)*(Destino!AI510/100))-AC510,2)</f>
        <v>10.06</v>
      </c>
      <c r="AF510" s="1">
        <f>ROUND((AA510+AB510+AE510)*(J510/100),2)</f>
        <v>1.91</v>
      </c>
      <c r="AG510" s="1">
        <f>ROUND(AA510*T510,2)</f>
        <v>0</v>
      </c>
      <c r="AH510" s="1">
        <f>ROUND(AA510+AB510-AD510+AE510+AF510+AG510, 3)</f>
        <v>65.497</v>
      </c>
      <c r="AI510" s="1">
        <f>AH510*M510*K510</f>
        <v>261.988</v>
      </c>
      <c r="BA510" s="1" t="s">
        <v>11343</v>
      </c>
      <c r="BB510" s="1">
        <f>AI510</f>
        <v>261.988</v>
      </c>
      <c r="BC510" s="1" t="s">
        <v>11455</v>
      </c>
      <c r="BD510" s="1">
        <f>N510</f>
        <v>1</v>
      </c>
    </row>
    <row r="511" spans="1:56" x14ac:dyDescent="0.25">
      <c r="A511" s="1">
        <v>600002863</v>
      </c>
      <c r="B511" s="1">
        <v>1000</v>
      </c>
      <c r="C511" s="1">
        <v>2200001473</v>
      </c>
      <c r="D511" s="1" t="s">
        <v>303</v>
      </c>
      <c r="E511" s="1">
        <f>IF(AND(B511&lt;&gt;1110,B511&lt;&gt;1210,B511&lt;&gt;1510,B511&lt;&gt;1710),B511,IF(B511=1110,"1100",IF(B511=1210,"1200",IF(B511=1510,"1500",IF(B511=1710,"1700","X")))))</f>
        <v>1000</v>
      </c>
      <c r="F511" s="1" t="s">
        <v>11198</v>
      </c>
      <c r="G511" s="1" t="s">
        <v>302</v>
      </c>
      <c r="H511" s="1">
        <f>ROUND(P511/(1-((R511+S511))/100)*Q511, 3)</f>
        <v>826.35299999999995</v>
      </c>
      <c r="I511" s="1">
        <v>0.45</v>
      </c>
      <c r="J511" s="1">
        <v>1.5</v>
      </c>
      <c r="K511" s="1">
        <v>1</v>
      </c>
      <c r="L511" s="1" t="s">
        <v>292</v>
      </c>
      <c r="M511" s="1">
        <v>1</v>
      </c>
      <c r="N511" s="1">
        <v>1</v>
      </c>
      <c r="O511" s="1" t="s">
        <v>296</v>
      </c>
      <c r="P511" s="1">
        <v>650.75300000000004</v>
      </c>
      <c r="Q511" s="1">
        <v>1</v>
      </c>
      <c r="R511" s="1">
        <v>12</v>
      </c>
      <c r="S511" s="1">
        <v>9.25</v>
      </c>
      <c r="T511" s="1">
        <v>0</v>
      </c>
      <c r="V511" s="1" t="s">
        <v>11223</v>
      </c>
      <c r="W511" s="1">
        <v>100</v>
      </c>
      <c r="X511" s="1" t="s">
        <v>298</v>
      </c>
      <c r="Y511" s="1" t="s">
        <v>322</v>
      </c>
      <c r="Z511" s="1">
        <v>1</v>
      </c>
      <c r="AA511" s="1">
        <f>ROUND(H511*I511*Z511, 3)</f>
        <v>371.85899999999998</v>
      </c>
      <c r="AB511" s="1">
        <f>ROUND(VLOOKUP(X511,'Base de dados'!A:B, 2, 0)*AA511, 2)</f>
        <v>37.19</v>
      </c>
      <c r="AC511" s="1">
        <f>ROUND((AA511*(Destino!AG511/100))*(W511/100),2)</f>
        <v>44.62</v>
      </c>
      <c r="AD511" s="1">
        <f>ROUND(AA511*(Destino!AH511/100),2)</f>
        <v>34.4</v>
      </c>
      <c r="AF511" s="1">
        <f>ROUND((AA511+ AB511)*(J511/100),2)</f>
        <v>6.14</v>
      </c>
      <c r="AG511" s="1">
        <f>ROUND(AA511*T511,2)</f>
        <v>0</v>
      </c>
      <c r="AH511" s="1">
        <f>ROUND(AA511-(AC511+AD511)+AF511+AG511, 3)</f>
        <v>298.97899999999998</v>
      </c>
      <c r="AI511" s="1">
        <f>AH511*M511*K511</f>
        <v>298.97899999999998</v>
      </c>
      <c r="BA511" s="1" t="s">
        <v>11760</v>
      </c>
      <c r="BB511" s="1">
        <f>AI511</f>
        <v>298.97899999999998</v>
      </c>
      <c r="BD511" s="1">
        <f>N511</f>
        <v>1</v>
      </c>
    </row>
    <row r="512" spans="1:56" x14ac:dyDescent="0.25">
      <c r="A512" s="1">
        <v>600002863</v>
      </c>
      <c r="B512" s="1">
        <v>1100</v>
      </c>
      <c r="C512" s="1">
        <v>2200001473</v>
      </c>
      <c r="D512" s="1" t="s">
        <v>303</v>
      </c>
      <c r="E512" s="1">
        <f>IF(AND(B512&lt;&gt;1110,B512&lt;&gt;1210,B512&lt;&gt;1510,B512&lt;&gt;1710),B512,IF(B512=1110,"1100",IF(B512=1210,"1200",IF(B512=1510,"1500",IF(B512=1710,"1700","X")))))</f>
        <v>1100</v>
      </c>
      <c r="F512" s="1" t="s">
        <v>11198</v>
      </c>
      <c r="G512" s="1" t="s">
        <v>302</v>
      </c>
      <c r="H512" s="1">
        <f>ROUND(P512/(1-((R512+S512))/100)*Q512, 3)</f>
        <v>777.02200000000005</v>
      </c>
      <c r="I512" s="1">
        <v>0.45</v>
      </c>
      <c r="J512" s="1">
        <v>2</v>
      </c>
      <c r="K512" s="1">
        <v>1</v>
      </c>
      <c r="L512" s="1" t="s">
        <v>292</v>
      </c>
      <c r="M512" s="1">
        <v>1</v>
      </c>
      <c r="N512" s="1">
        <v>1</v>
      </c>
      <c r="O512" s="1" t="s">
        <v>296</v>
      </c>
      <c r="P512" s="1">
        <v>650.75599999999997</v>
      </c>
      <c r="Q512" s="1">
        <v>1</v>
      </c>
      <c r="R512" s="1">
        <v>7</v>
      </c>
      <c r="S512" s="1">
        <v>9.25</v>
      </c>
      <c r="T512" s="1">
        <v>0</v>
      </c>
      <c r="V512" s="1" t="s">
        <v>11223</v>
      </c>
      <c r="W512" s="1">
        <v>100</v>
      </c>
      <c r="X512" s="1" t="s">
        <v>298</v>
      </c>
      <c r="Y512" s="1" t="s">
        <v>322</v>
      </c>
      <c r="Z512" s="1">
        <v>1</v>
      </c>
      <c r="AA512" s="1">
        <f>ROUND(H512*I512*Z512, 3)</f>
        <v>349.66</v>
      </c>
      <c r="AB512" s="1">
        <f>ROUND(VLOOKUP(X512,'Base de dados'!A:B, 2, 0)*AA512, 2)</f>
        <v>34.97</v>
      </c>
      <c r="AC512" s="1">
        <f>ROUND((AA512*(Destino!AG512/100))*(W512/100),2)</f>
        <v>24.48</v>
      </c>
      <c r="AD512" s="1">
        <f>ROUND(AA512*(Destino!AH512/100),2)</f>
        <v>32.340000000000003</v>
      </c>
      <c r="AF512" s="1">
        <f>ROUND((AA512+ AB512)*(J512/100),2)</f>
        <v>7.69</v>
      </c>
      <c r="AG512" s="1">
        <f>ROUND(AA512*T512,2)</f>
        <v>0</v>
      </c>
      <c r="AH512" s="1">
        <f>ROUND(AA512-(AC512+AD512)+AF512+AG512, 3)</f>
        <v>300.52999999999997</v>
      </c>
      <c r="AI512" s="1">
        <f>AH512*M512*K512</f>
        <v>300.52999999999997</v>
      </c>
      <c r="BA512" s="1" t="s">
        <v>11761</v>
      </c>
      <c r="BB512" s="1">
        <f>AI512</f>
        <v>300.52999999999997</v>
      </c>
      <c r="BD512" s="1">
        <f>N512</f>
        <v>1</v>
      </c>
    </row>
    <row r="513" spans="1:56" x14ac:dyDescent="0.25">
      <c r="A513" s="1">
        <v>600002863</v>
      </c>
      <c r="B513" s="1">
        <v>1110</v>
      </c>
      <c r="C513" s="1">
        <v>2200001473</v>
      </c>
      <c r="D513" s="1" t="s">
        <v>303</v>
      </c>
      <c r="E513" s="1" t="str">
        <f>IF(AND(B513&lt;&gt;1110,B513&lt;&gt;1210,B513&lt;&gt;1510,B513&lt;&gt;1710),B513,IF(B513=1110,"1100",IF(B513=1210,"1200",IF(B513=1510,"1500",IF(B513=1710,"1700","X")))))</f>
        <v>1100</v>
      </c>
      <c r="F513" s="1" t="s">
        <v>447</v>
      </c>
      <c r="G513" s="1" t="s">
        <v>302</v>
      </c>
      <c r="H513" s="1">
        <f>ROUND(P513/(1-((R513+S513))/100)*Q513, 3)</f>
        <v>777.02200000000005</v>
      </c>
      <c r="I513" s="1">
        <v>0.45</v>
      </c>
      <c r="J513" s="1">
        <v>4</v>
      </c>
      <c r="K513" s="1">
        <v>1</v>
      </c>
      <c r="L513" s="1" t="s">
        <v>292</v>
      </c>
      <c r="M513" s="1">
        <v>1</v>
      </c>
      <c r="N513" s="1">
        <v>0.75266200000000005</v>
      </c>
      <c r="O513" s="1" t="s">
        <v>296</v>
      </c>
      <c r="P513" s="1">
        <v>650.75599999999997</v>
      </c>
      <c r="Q513" s="1">
        <v>1</v>
      </c>
      <c r="R513" s="1">
        <v>7</v>
      </c>
      <c r="S513" s="1">
        <v>9.25</v>
      </c>
      <c r="T513" s="1">
        <v>0</v>
      </c>
      <c r="V513" s="1" t="s">
        <v>11223</v>
      </c>
      <c r="W513" s="1">
        <v>100</v>
      </c>
      <c r="X513" s="1" t="s">
        <v>298</v>
      </c>
      <c r="Y513" s="1" t="s">
        <v>322</v>
      </c>
      <c r="Z513" s="1">
        <v>1</v>
      </c>
      <c r="AA513" s="1">
        <f>ROUND(H513*I513*Z513, 3)</f>
        <v>349.66</v>
      </c>
      <c r="AB513" s="1">
        <f>ROUND(VLOOKUP(X513,'Base de dados'!A:B, 2, 0)*AA513, 2)</f>
        <v>34.97</v>
      </c>
      <c r="AC513" s="1">
        <f>ROUND((AA513*(Destino!AG513/100))*(W513/100),2)</f>
        <v>24.48</v>
      </c>
      <c r="AD513" s="1">
        <f>ROUND(AA513*(Destino!AH513/100),2)</f>
        <v>32.340000000000003</v>
      </c>
      <c r="AE513" s="1">
        <f>ROUND((((AA513+AB513)*1.5039)*(Destino!AI513/100))-AC513,2)</f>
        <v>73.86</v>
      </c>
      <c r="AF513" s="1">
        <f>ROUND((AA513+AB513+AE513)*(J513/100),2)</f>
        <v>18.34</v>
      </c>
      <c r="AG513" s="1">
        <f>ROUND(AA513*T513,2)</f>
        <v>0</v>
      </c>
      <c r="AH513" s="1">
        <f>ROUND(AA513-AD513+AE513+AF513+AG513, 3)</f>
        <v>409.52</v>
      </c>
      <c r="AI513" s="1">
        <f>AH513*M513*K513</f>
        <v>409.52</v>
      </c>
      <c r="BA513" s="1" t="s">
        <v>11762</v>
      </c>
      <c r="BB513" s="1">
        <f>AI513</f>
        <v>409.52</v>
      </c>
      <c r="BD513" s="1">
        <f>N513</f>
        <v>0.75266200000000005</v>
      </c>
    </row>
    <row r="514" spans="1:56" x14ac:dyDescent="0.25">
      <c r="A514" s="1">
        <v>600002863</v>
      </c>
      <c r="B514" s="1">
        <v>1400</v>
      </c>
      <c r="C514" s="1">
        <v>2200001473</v>
      </c>
      <c r="D514" s="1" t="s">
        <v>303</v>
      </c>
      <c r="E514" s="1">
        <f>IF(AND(B514&lt;&gt;1110,B514&lt;&gt;1210,B514&lt;&gt;1510,B514&lt;&gt;1710),B514,IF(B514=1110,"1100",IF(B514=1210,"1200",IF(B514=1510,"1500",IF(B514=1710,"1700","X")))))</f>
        <v>1400</v>
      </c>
      <c r="F514" s="1" t="s">
        <v>11198</v>
      </c>
      <c r="G514" s="1" t="s">
        <v>302</v>
      </c>
      <c r="H514" s="1">
        <f>ROUND(P514/(1-((R514+S514))/100)*Q514, 3)</f>
        <v>894.51</v>
      </c>
      <c r="I514" s="1">
        <v>0.45</v>
      </c>
      <c r="J514" s="1">
        <v>1.5</v>
      </c>
      <c r="K514" s="1">
        <v>1</v>
      </c>
      <c r="L514" s="1" t="s">
        <v>292</v>
      </c>
      <c r="M514" s="1">
        <v>1</v>
      </c>
      <c r="N514" s="1">
        <v>1</v>
      </c>
      <c r="O514" s="1" t="s">
        <v>296</v>
      </c>
      <c r="P514" s="1">
        <v>650.75599999999997</v>
      </c>
      <c r="Q514" s="1">
        <v>1</v>
      </c>
      <c r="R514" s="1">
        <v>18</v>
      </c>
      <c r="S514" s="1">
        <v>9.25</v>
      </c>
      <c r="T514" s="1">
        <v>0</v>
      </c>
      <c r="V514" s="1" t="s">
        <v>11223</v>
      </c>
      <c r="W514" s="1">
        <v>100</v>
      </c>
      <c r="X514" s="1" t="s">
        <v>298</v>
      </c>
      <c r="Y514" s="1" t="s">
        <v>322</v>
      </c>
      <c r="Z514" s="1">
        <v>1</v>
      </c>
      <c r="AA514" s="1">
        <f>ROUND(H514*I514*Z514, 3)</f>
        <v>402.53</v>
      </c>
      <c r="AB514" s="1">
        <f>ROUND(VLOOKUP(X514,'Base de dados'!A:B, 2, 0)*AA514, 2)</f>
        <v>40.25</v>
      </c>
      <c r="AC514" s="1">
        <f>ROUND((AA514*(Destino!AG514/100))*(W514/100),2)</f>
        <v>72.459999999999994</v>
      </c>
      <c r="AD514" s="1">
        <f>ROUND(AA514*(Destino!AH514/100),2)</f>
        <v>37.229999999999997</v>
      </c>
      <c r="AF514" s="1">
        <f>ROUND((AA514+ AB514)*(J514/100),2)</f>
        <v>6.64</v>
      </c>
      <c r="AG514" s="1">
        <f>ROUND(AA514*T514,2)</f>
        <v>0</v>
      </c>
      <c r="AH514" s="1">
        <f>ROUND(AA514-(AC514+AD514)+AF514+AG514, 3)</f>
        <v>299.48</v>
      </c>
      <c r="AI514" s="1">
        <f>AH514*M514*K514</f>
        <v>299.48</v>
      </c>
      <c r="BA514" s="1" t="s">
        <v>11456</v>
      </c>
      <c r="BB514" s="1">
        <f>AI514</f>
        <v>299.48</v>
      </c>
      <c r="BD514" s="1">
        <f>N514</f>
        <v>1</v>
      </c>
    </row>
    <row r="515" spans="1:56" x14ac:dyDescent="0.25">
      <c r="A515" s="1">
        <v>600002863</v>
      </c>
      <c r="B515" s="1">
        <v>1700</v>
      </c>
      <c r="C515" s="1">
        <v>2200001421</v>
      </c>
      <c r="D515" s="1" t="s">
        <v>303</v>
      </c>
      <c r="E515" s="1">
        <f>IF(AND(B515&lt;&gt;1110,B515&lt;&gt;1210,B515&lt;&gt;1510,B515&lt;&gt;1710),B515,IF(B515=1110,"1100",IF(B515=1210,"1200",IF(B515=1510,"1500",IF(B515=1710,"1700","X")))))</f>
        <v>1700</v>
      </c>
      <c r="F515" s="1" t="s">
        <v>11238</v>
      </c>
      <c r="G515" s="1" t="s">
        <v>302</v>
      </c>
      <c r="H515" s="1">
        <f>ROUND(P515/(1-((R515+S515))/100)*Q515, 3)</f>
        <v>357.58800000000002</v>
      </c>
      <c r="I515" s="1">
        <v>0.25</v>
      </c>
      <c r="J515" s="1">
        <v>3</v>
      </c>
      <c r="K515" s="1">
        <v>1</v>
      </c>
      <c r="L515" s="1" t="s">
        <v>292</v>
      </c>
      <c r="M515" s="1">
        <v>4</v>
      </c>
      <c r="N515" s="1">
        <v>1</v>
      </c>
      <c r="O515" s="1" t="s">
        <v>296</v>
      </c>
      <c r="P515" s="1">
        <f>IFERROR(VLOOKUP(BC515, BA:BA:BB:BB, 2, 0),)</f>
        <v>299.48</v>
      </c>
      <c r="Q515" s="1">
        <f>IFERROR(VLOOKUP(BC515, BA:BA:BD:BD, 4, 0),1)</f>
        <v>1</v>
      </c>
      <c r="R515" s="1">
        <v>7</v>
      </c>
      <c r="S515" s="1">
        <v>9.25</v>
      </c>
      <c r="T515" s="1">
        <v>0</v>
      </c>
      <c r="V515" s="1" t="s">
        <v>11223</v>
      </c>
      <c r="W515" s="1">
        <v>100</v>
      </c>
      <c r="X515" s="1" t="s">
        <v>298</v>
      </c>
      <c r="Y515" s="1" t="s">
        <v>322</v>
      </c>
      <c r="Z515" s="1">
        <v>1</v>
      </c>
      <c r="AA515" s="1">
        <f>ROUND(H515*I515*Z515, 3)</f>
        <v>89.397000000000006</v>
      </c>
      <c r="AB515" s="1">
        <f>ROUND(VLOOKUP(X515,'Base de dados'!A:B, 2, 0)*AA515, 2)</f>
        <v>8.94</v>
      </c>
      <c r="AC515" s="1">
        <f>ROUND((AA515*(Destino!AG515/100))*(W515/100),2)</f>
        <v>6.26</v>
      </c>
      <c r="AD515" s="1">
        <f>ROUND(AA515*(Destino!AH515/100),2)</f>
        <v>0</v>
      </c>
      <c r="AE515" s="1">
        <f>ROUND((((AA515+AB515)*1.48)*(Destino!AI515/100))-AC515,2)</f>
        <v>18.48</v>
      </c>
      <c r="AF515" s="1">
        <f>ROUND((AA515+AB515+AE515)*(J515/100),2)</f>
        <v>3.5</v>
      </c>
      <c r="AG515" s="1">
        <f>ROUND(AA515*T515,2)</f>
        <v>0</v>
      </c>
      <c r="AH515" s="1">
        <f>ROUND(AA515+AB515-AD515+AE515+AF515+AG515, 3)</f>
        <v>120.31699999999999</v>
      </c>
      <c r="AI515" s="1">
        <f>AH515*M515*K515</f>
        <v>481.26799999999997</v>
      </c>
      <c r="BA515" s="1" t="s">
        <v>11344</v>
      </c>
      <c r="BB515" s="1">
        <f>AI515</f>
        <v>481.26799999999997</v>
      </c>
      <c r="BC515" s="1" t="s">
        <v>11456</v>
      </c>
      <c r="BD515" s="1">
        <f>N515</f>
        <v>1</v>
      </c>
    </row>
    <row r="516" spans="1:56" x14ac:dyDescent="0.25">
      <c r="A516" s="1">
        <v>600002868</v>
      </c>
      <c r="B516" s="1">
        <v>1000</v>
      </c>
      <c r="C516" s="1">
        <v>2200001473</v>
      </c>
      <c r="D516" s="1" t="s">
        <v>303</v>
      </c>
      <c r="E516" s="1">
        <f>IF(AND(B516&lt;&gt;1110,B516&lt;&gt;1210,B516&lt;&gt;1510,B516&lt;&gt;1710),B516,IF(B516=1110,"1100",IF(B516=1210,"1200",IF(B516=1510,"1500",IF(B516=1710,"1700","X")))))</f>
        <v>1000</v>
      </c>
      <c r="F516" s="1" t="s">
        <v>11198</v>
      </c>
      <c r="G516" s="1" t="s">
        <v>302</v>
      </c>
      <c r="H516" s="1">
        <f>ROUND(P516/(1-((R516+S516))/100)*Q516, 3)</f>
        <v>179.57599999999999</v>
      </c>
      <c r="I516" s="1">
        <v>0.45</v>
      </c>
      <c r="J516" s="1">
        <v>1.5</v>
      </c>
      <c r="K516" s="1">
        <v>1</v>
      </c>
      <c r="L516" s="1" t="s">
        <v>292</v>
      </c>
      <c r="M516" s="1">
        <v>1</v>
      </c>
      <c r="N516" s="1">
        <v>1</v>
      </c>
      <c r="O516" s="1" t="s">
        <v>296</v>
      </c>
      <c r="P516" s="1">
        <v>141.416</v>
      </c>
      <c r="Q516" s="1">
        <v>1</v>
      </c>
      <c r="R516" s="1">
        <v>12</v>
      </c>
      <c r="S516" s="1">
        <v>9.25</v>
      </c>
      <c r="T516" s="1">
        <v>0</v>
      </c>
      <c r="V516" s="1" t="s">
        <v>11223</v>
      </c>
      <c r="W516" s="1">
        <v>100</v>
      </c>
      <c r="X516" s="1" t="s">
        <v>298</v>
      </c>
      <c r="Y516" s="1" t="s">
        <v>299</v>
      </c>
      <c r="Z516" s="1">
        <v>1</v>
      </c>
      <c r="AA516" s="1">
        <f>ROUND(H516*I516*Z516, 3)</f>
        <v>80.808999999999997</v>
      </c>
      <c r="AB516" s="1">
        <f>ROUND(VLOOKUP(X516,'Base de dados'!A:B, 2, 0)*AA516, 2)</f>
        <v>8.08</v>
      </c>
      <c r="AC516" s="1">
        <f>ROUND((AA516*(Destino!AG516/100))*(W516/100),2)</f>
        <v>9.6999999999999993</v>
      </c>
      <c r="AD516" s="1">
        <f>ROUND(AA516*(Destino!AH516/100),2)</f>
        <v>7.47</v>
      </c>
      <c r="AF516" s="1">
        <f>ROUND((AA516+ AB516)*(J516/100),2)</f>
        <v>1.33</v>
      </c>
      <c r="AG516" s="1">
        <f>ROUND(AA516*T516,2)</f>
        <v>0</v>
      </c>
      <c r="AH516" s="1">
        <f>ROUND(AA516-(AC516+AD516)+AF516+AG516, 3)</f>
        <v>64.968999999999994</v>
      </c>
      <c r="AI516" s="1">
        <f>AH516*M516*K516</f>
        <v>64.968999999999994</v>
      </c>
      <c r="BA516" s="1" t="s">
        <v>11763</v>
      </c>
      <c r="BB516" s="1">
        <f>AI516</f>
        <v>64.968999999999994</v>
      </c>
      <c r="BD516" s="1">
        <f>N516</f>
        <v>1</v>
      </c>
    </row>
    <row r="517" spans="1:56" x14ac:dyDescent="0.25">
      <c r="A517" s="1">
        <v>600002868</v>
      </c>
      <c r="B517" s="1">
        <v>1100</v>
      </c>
      <c r="C517" s="1">
        <v>2200001473</v>
      </c>
      <c r="D517" s="1" t="s">
        <v>303</v>
      </c>
      <c r="E517" s="1">
        <f>IF(AND(B517&lt;&gt;1110,B517&lt;&gt;1210,B517&lt;&gt;1510,B517&lt;&gt;1710),B517,IF(B517=1110,"1100",IF(B517=1210,"1200",IF(B517=1510,"1500",IF(B517=1710,"1700","X")))))</f>
        <v>1100</v>
      </c>
      <c r="F517" s="1" t="s">
        <v>11198</v>
      </c>
      <c r="G517" s="1" t="s">
        <v>302</v>
      </c>
      <c r="H517" s="1">
        <f>ROUND(P517/(1-((R517+S517))/100)*Q517, 3)</f>
        <v>168.85900000000001</v>
      </c>
      <c r="I517" s="1">
        <v>0.45</v>
      </c>
      <c r="J517" s="1">
        <v>2</v>
      </c>
      <c r="K517" s="1">
        <v>1</v>
      </c>
      <c r="L517" s="1" t="s">
        <v>292</v>
      </c>
      <c r="M517" s="1">
        <v>1</v>
      </c>
      <c r="N517" s="1">
        <v>1</v>
      </c>
      <c r="O517" s="1" t="s">
        <v>296</v>
      </c>
      <c r="P517" s="1">
        <v>141.41900000000001</v>
      </c>
      <c r="Q517" s="1">
        <v>1</v>
      </c>
      <c r="R517" s="1">
        <v>7</v>
      </c>
      <c r="S517" s="1">
        <v>9.25</v>
      </c>
      <c r="T517" s="1">
        <v>0</v>
      </c>
      <c r="V517" s="1" t="s">
        <v>11223</v>
      </c>
      <c r="W517" s="1">
        <v>100</v>
      </c>
      <c r="X517" s="1" t="s">
        <v>298</v>
      </c>
      <c r="Y517" s="1" t="s">
        <v>299</v>
      </c>
      <c r="Z517" s="1">
        <v>1</v>
      </c>
      <c r="AA517" s="1">
        <f>ROUND(H517*I517*Z517, 3)</f>
        <v>75.986999999999995</v>
      </c>
      <c r="AB517" s="1">
        <f>ROUND(VLOOKUP(X517,'Base de dados'!A:B, 2, 0)*AA517, 2)</f>
        <v>7.6</v>
      </c>
      <c r="AC517" s="1">
        <f>ROUND((AA517*(Destino!AG517/100))*(W517/100),2)</f>
        <v>5.32</v>
      </c>
      <c r="AD517" s="1">
        <f>ROUND(AA517*(Destino!AH517/100),2)</f>
        <v>7.03</v>
      </c>
      <c r="AF517" s="1">
        <f>ROUND((AA517+ AB517)*(J517/100),2)</f>
        <v>1.67</v>
      </c>
      <c r="AG517" s="1">
        <f>ROUND(AA517*T517,2)</f>
        <v>0</v>
      </c>
      <c r="AH517" s="1">
        <f>ROUND(AA517-(AC517+AD517)+AF517+AG517, 3)</f>
        <v>65.307000000000002</v>
      </c>
      <c r="AI517" s="1">
        <f>AH517*M517*K517</f>
        <v>65.307000000000002</v>
      </c>
      <c r="BA517" s="1" t="s">
        <v>11764</v>
      </c>
      <c r="BB517" s="1">
        <f>AI517</f>
        <v>65.307000000000002</v>
      </c>
      <c r="BD517" s="1">
        <f>N517</f>
        <v>1</v>
      </c>
    </row>
    <row r="518" spans="1:56" x14ac:dyDescent="0.25">
      <c r="A518" s="1">
        <v>600002868</v>
      </c>
      <c r="B518" s="1">
        <v>1110</v>
      </c>
      <c r="C518" s="1">
        <v>2200001473</v>
      </c>
      <c r="D518" s="1" t="s">
        <v>303</v>
      </c>
      <c r="E518" s="1" t="str">
        <f>IF(AND(B518&lt;&gt;1110,B518&lt;&gt;1210,B518&lt;&gt;1510,B518&lt;&gt;1710),B518,IF(B518=1110,"1100",IF(B518=1210,"1200",IF(B518=1510,"1500",IF(B518=1710,"1700","X")))))</f>
        <v>1100</v>
      </c>
      <c r="F518" s="1" t="s">
        <v>447</v>
      </c>
      <c r="G518" s="1" t="s">
        <v>302</v>
      </c>
      <c r="H518" s="1">
        <f>ROUND(P518/(1-((R518+S518))/100)*Q518, 3)</f>
        <v>168.85900000000001</v>
      </c>
      <c r="I518" s="1">
        <v>0.45</v>
      </c>
      <c r="J518" s="1">
        <v>4</v>
      </c>
      <c r="K518" s="1">
        <v>1</v>
      </c>
      <c r="L518" s="1" t="s">
        <v>292</v>
      </c>
      <c r="M518" s="1">
        <v>1</v>
      </c>
      <c r="N518" s="1">
        <v>0.75257600000000002</v>
      </c>
      <c r="O518" s="1" t="s">
        <v>296</v>
      </c>
      <c r="P518" s="1">
        <v>141.41900000000001</v>
      </c>
      <c r="Q518" s="1">
        <v>1</v>
      </c>
      <c r="R518" s="1">
        <v>7</v>
      </c>
      <c r="S518" s="1">
        <v>9.25</v>
      </c>
      <c r="T518" s="1">
        <v>0</v>
      </c>
      <c r="V518" s="1" t="s">
        <v>11223</v>
      </c>
      <c r="W518" s="1">
        <v>100</v>
      </c>
      <c r="X518" s="1" t="s">
        <v>298</v>
      </c>
      <c r="Y518" s="1" t="s">
        <v>299</v>
      </c>
      <c r="Z518" s="1">
        <v>1</v>
      </c>
      <c r="AA518" s="1">
        <f>ROUND(H518*I518*Z518, 3)</f>
        <v>75.986999999999995</v>
      </c>
      <c r="AB518" s="1">
        <f>ROUND(VLOOKUP(X518,'Base de dados'!A:B, 2, 0)*AA518, 2)</f>
        <v>7.6</v>
      </c>
      <c r="AC518" s="1">
        <f>ROUND((AA518*(Destino!AG518/100))*(W518/100),2)</f>
        <v>5.32</v>
      </c>
      <c r="AD518" s="1">
        <f>ROUND(AA518*(Destino!AH518/100),2)</f>
        <v>7.03</v>
      </c>
      <c r="AE518" s="1">
        <f>ROUND((((AA518+AB518)*1.5039)*(Destino!AI518/100))-AC518,2)</f>
        <v>16.05</v>
      </c>
      <c r="AF518" s="1">
        <f>ROUND((AA518+AB518+AE518)*(J518/100),2)</f>
        <v>3.99</v>
      </c>
      <c r="AG518" s="1">
        <f>ROUND(AA518*T518,2)</f>
        <v>0</v>
      </c>
      <c r="AH518" s="1">
        <f>ROUND(AA518-AD518+AE518+AF518+AG518, 3)</f>
        <v>88.997</v>
      </c>
      <c r="AI518" s="1">
        <f>AH518*M518*K518</f>
        <v>88.997</v>
      </c>
      <c r="BA518" s="1" t="s">
        <v>11765</v>
      </c>
      <c r="BB518" s="1">
        <f>AI518</f>
        <v>88.997</v>
      </c>
      <c r="BD518" s="1">
        <f>N518</f>
        <v>0.75257600000000002</v>
      </c>
    </row>
    <row r="519" spans="1:56" x14ac:dyDescent="0.25">
      <c r="A519" s="1">
        <v>600002868</v>
      </c>
      <c r="B519" s="1">
        <v>1400</v>
      </c>
      <c r="C519" s="1">
        <v>2200001473</v>
      </c>
      <c r="D519" s="1" t="s">
        <v>303</v>
      </c>
      <c r="E519" s="1">
        <f>IF(AND(B519&lt;&gt;1110,B519&lt;&gt;1210,B519&lt;&gt;1510,B519&lt;&gt;1710),B519,IF(B519=1110,"1100",IF(B519=1210,"1200",IF(B519=1510,"1500",IF(B519=1710,"1700","X")))))</f>
        <v>1400</v>
      </c>
      <c r="F519" s="1" t="s">
        <v>11198</v>
      </c>
      <c r="G519" s="1" t="s">
        <v>302</v>
      </c>
      <c r="H519" s="1">
        <f>ROUND(P519/(1-((R519+S519))/100)*Q519, 3)</f>
        <v>194.39</v>
      </c>
      <c r="I519" s="1">
        <v>0.45</v>
      </c>
      <c r="J519" s="1">
        <v>1.5</v>
      </c>
      <c r="K519" s="1">
        <v>1</v>
      </c>
      <c r="L519" s="1" t="s">
        <v>292</v>
      </c>
      <c r="M519" s="1">
        <v>1</v>
      </c>
      <c r="N519" s="1">
        <v>1</v>
      </c>
      <c r="O519" s="1" t="s">
        <v>296</v>
      </c>
      <c r="P519" s="1">
        <v>141.41900000000001</v>
      </c>
      <c r="Q519" s="1">
        <v>1</v>
      </c>
      <c r="R519" s="1">
        <v>18</v>
      </c>
      <c r="S519" s="1">
        <v>9.25</v>
      </c>
      <c r="T519" s="1">
        <v>0</v>
      </c>
      <c r="V519" s="1" t="s">
        <v>11223</v>
      </c>
      <c r="W519" s="1">
        <v>100</v>
      </c>
      <c r="X519" s="1" t="s">
        <v>298</v>
      </c>
      <c r="Y519" s="1" t="s">
        <v>299</v>
      </c>
      <c r="Z519" s="1">
        <v>1</v>
      </c>
      <c r="AA519" s="1">
        <f>ROUND(H519*I519*Z519, 3)</f>
        <v>87.475999999999999</v>
      </c>
      <c r="AB519" s="1">
        <f>ROUND(VLOOKUP(X519,'Base de dados'!A:B, 2, 0)*AA519, 2)</f>
        <v>8.75</v>
      </c>
      <c r="AC519" s="1">
        <f>ROUND((AA519*(Destino!AG519/100))*(W519/100),2)</f>
        <v>15.75</v>
      </c>
      <c r="AD519" s="1">
        <f>ROUND(AA519*(Destino!AH519/100),2)</f>
        <v>8.09</v>
      </c>
      <c r="AF519" s="1">
        <f>ROUND((AA519+ AB519)*(J519/100),2)</f>
        <v>1.44</v>
      </c>
      <c r="AG519" s="1">
        <f>ROUND(AA519*T519,2)</f>
        <v>0</v>
      </c>
      <c r="AH519" s="1">
        <f>ROUND(AA519-(AC519+AD519)+AF519+AG519, 3)</f>
        <v>65.075999999999993</v>
      </c>
      <c r="AI519" s="1">
        <f>AH519*M519*K519</f>
        <v>65.075999999999993</v>
      </c>
      <c r="BA519" s="1" t="s">
        <v>11457</v>
      </c>
      <c r="BB519" s="1">
        <f>AI519</f>
        <v>65.075999999999993</v>
      </c>
      <c r="BD519" s="1">
        <f>N519</f>
        <v>1</v>
      </c>
    </row>
    <row r="520" spans="1:56" x14ac:dyDescent="0.25">
      <c r="A520" s="1">
        <v>600002868</v>
      </c>
      <c r="B520" s="1">
        <v>1700</v>
      </c>
      <c r="C520" s="1">
        <v>2200001421</v>
      </c>
      <c r="D520" s="1" t="s">
        <v>303</v>
      </c>
      <c r="E520" s="1">
        <f>IF(AND(B520&lt;&gt;1110,B520&lt;&gt;1210,B520&lt;&gt;1510,B520&lt;&gt;1710),B520,IF(B520=1110,"1100",IF(B520=1210,"1200",IF(B520=1510,"1500",IF(B520=1710,"1700","X")))))</f>
        <v>1700</v>
      </c>
      <c r="F520" s="1" t="s">
        <v>11238</v>
      </c>
      <c r="G520" s="1" t="s">
        <v>302</v>
      </c>
      <c r="H520" s="1">
        <f>ROUND(P520/(1-((R520+S520))/100)*Q520, 3)</f>
        <v>77.703000000000003</v>
      </c>
      <c r="I520" s="1">
        <v>0.25</v>
      </c>
      <c r="J520" s="1">
        <v>3</v>
      </c>
      <c r="K520" s="1">
        <v>1</v>
      </c>
      <c r="L520" s="1" t="s">
        <v>292</v>
      </c>
      <c r="M520" s="1">
        <v>4</v>
      </c>
      <c r="N520" s="1">
        <v>1</v>
      </c>
      <c r="O520" s="1" t="s">
        <v>296</v>
      </c>
      <c r="P520" s="1">
        <f>IFERROR(VLOOKUP(BC520, BA:BA:BB:BB, 2, 0),)</f>
        <v>65.075999999999993</v>
      </c>
      <c r="Q520" s="1">
        <f>IFERROR(VLOOKUP(BC520, BA:BA:BD:BD, 4, 0),1)</f>
        <v>1</v>
      </c>
      <c r="R520" s="1">
        <v>7</v>
      </c>
      <c r="S520" s="1">
        <v>9.25</v>
      </c>
      <c r="T520" s="1">
        <v>0</v>
      </c>
      <c r="V520" s="1" t="s">
        <v>11223</v>
      </c>
      <c r="W520" s="1">
        <v>100</v>
      </c>
      <c r="X520" s="1" t="s">
        <v>298</v>
      </c>
      <c r="Y520" s="1" t="s">
        <v>299</v>
      </c>
      <c r="Z520" s="1">
        <v>1</v>
      </c>
      <c r="AA520" s="1">
        <f>ROUND(H520*I520*Z520, 3)</f>
        <v>19.425999999999998</v>
      </c>
      <c r="AB520" s="1">
        <f>ROUND(VLOOKUP(X520,'Base de dados'!A:B, 2, 0)*AA520, 2)</f>
        <v>1.94</v>
      </c>
      <c r="AC520" s="1">
        <f>ROUND((AA520*(Destino!AG520/100))*(W520/100),2)</f>
        <v>1.36</v>
      </c>
      <c r="AD520" s="1">
        <f>ROUND(AA520*(Destino!AH520/100),2)</f>
        <v>0</v>
      </c>
      <c r="AE520" s="1">
        <f>ROUND((((AA520+AB520)*1.48)*(Destino!AI520/100))-AC520,2)</f>
        <v>4.0199999999999996</v>
      </c>
      <c r="AF520" s="1">
        <f>ROUND((AA520+AB520+AE520)*(J520/100),2)</f>
        <v>0.76</v>
      </c>
      <c r="AG520" s="1">
        <f>ROUND(AA520*T520,2)</f>
        <v>0</v>
      </c>
      <c r="AH520" s="1">
        <f>ROUND(AA520+AB520-AD520+AE520+AF520+AG520, 3)</f>
        <v>26.146000000000001</v>
      </c>
      <c r="AI520" s="1">
        <f>AH520*M520*K520</f>
        <v>104.584</v>
      </c>
      <c r="BA520" s="1" t="s">
        <v>11345</v>
      </c>
      <c r="BB520" s="1">
        <f>AI520</f>
        <v>104.584</v>
      </c>
      <c r="BC520" s="1" t="s">
        <v>11457</v>
      </c>
      <c r="BD520" s="1">
        <f>N520</f>
        <v>1</v>
      </c>
    </row>
    <row r="521" spans="1:56" x14ac:dyDescent="0.25">
      <c r="A521" s="1">
        <v>600002869</v>
      </c>
      <c r="B521" s="1">
        <v>1000</v>
      </c>
      <c r="C521" s="1">
        <v>2200001473</v>
      </c>
      <c r="D521" s="1" t="s">
        <v>303</v>
      </c>
      <c r="E521" s="1">
        <f>IF(AND(B521&lt;&gt;1110,B521&lt;&gt;1210,B521&lt;&gt;1510,B521&lt;&gt;1710),B521,IF(B521=1110,"1100",IF(B521=1210,"1200",IF(B521=1510,"1500",IF(B521=1710,"1700","X")))))</f>
        <v>1000</v>
      </c>
      <c r="F521" s="1" t="s">
        <v>11198</v>
      </c>
      <c r="G521" s="1" t="s">
        <v>302</v>
      </c>
      <c r="H521" s="1">
        <f>ROUND(P521/(1-((R521+S521))/100)*Q521, 3)</f>
        <v>184.387</v>
      </c>
      <c r="I521" s="1">
        <v>0.45</v>
      </c>
      <c r="J521" s="1">
        <v>1.5</v>
      </c>
      <c r="K521" s="1">
        <v>1</v>
      </c>
      <c r="L521" s="1" t="s">
        <v>292</v>
      </c>
      <c r="M521" s="1">
        <v>1</v>
      </c>
      <c r="N521" s="1">
        <v>1</v>
      </c>
      <c r="O521" s="1" t="s">
        <v>296</v>
      </c>
      <c r="P521" s="1">
        <v>145.20500000000001</v>
      </c>
      <c r="Q521" s="1">
        <v>1</v>
      </c>
      <c r="R521" s="1">
        <v>12</v>
      </c>
      <c r="S521" s="1">
        <v>9.25</v>
      </c>
      <c r="T521" s="1">
        <v>0</v>
      </c>
      <c r="V521" s="1" t="s">
        <v>11223</v>
      </c>
      <c r="W521" s="1">
        <v>100</v>
      </c>
      <c r="X521" s="1" t="s">
        <v>298</v>
      </c>
      <c r="Y521" s="1" t="s">
        <v>299</v>
      </c>
      <c r="Z521" s="1">
        <v>1</v>
      </c>
      <c r="AA521" s="1">
        <f>ROUND(H521*I521*Z521, 3)</f>
        <v>82.974000000000004</v>
      </c>
      <c r="AB521" s="1">
        <f>ROUND(VLOOKUP(X521,'Base de dados'!A:B, 2, 0)*AA521, 2)</f>
        <v>8.3000000000000007</v>
      </c>
      <c r="AC521" s="1">
        <f>ROUND((AA521*(Destino!AG521/100))*(W521/100),2)</f>
        <v>9.9600000000000009</v>
      </c>
      <c r="AD521" s="1">
        <f>ROUND(AA521*(Destino!AH521/100),2)</f>
        <v>7.68</v>
      </c>
      <c r="AF521" s="1">
        <f>ROUND((AA521+ AB521)*(J521/100),2)</f>
        <v>1.37</v>
      </c>
      <c r="AG521" s="1">
        <f>ROUND(AA521*T521,2)</f>
        <v>0</v>
      </c>
      <c r="AH521" s="1">
        <f>ROUND(AA521-(AC521+AD521)+AF521+AG521, 3)</f>
        <v>66.703999999999994</v>
      </c>
      <c r="AI521" s="1">
        <f>AH521*M521*K521</f>
        <v>66.703999999999994</v>
      </c>
      <c r="BA521" s="1" t="s">
        <v>11766</v>
      </c>
      <c r="BB521" s="1">
        <f>AI521</f>
        <v>66.703999999999994</v>
      </c>
      <c r="BD521" s="1">
        <f>N521</f>
        <v>1</v>
      </c>
    </row>
    <row r="522" spans="1:56" x14ac:dyDescent="0.25">
      <c r="A522" s="1">
        <v>600002869</v>
      </c>
      <c r="B522" s="1">
        <v>1100</v>
      </c>
      <c r="C522" s="1">
        <v>2200001473</v>
      </c>
      <c r="D522" s="1" t="s">
        <v>303</v>
      </c>
      <c r="E522" s="1">
        <f>IF(AND(B522&lt;&gt;1110,B522&lt;&gt;1210,B522&lt;&gt;1510,B522&lt;&gt;1710),B522,IF(B522=1110,"1100",IF(B522=1210,"1200",IF(B522=1510,"1500",IF(B522=1710,"1700","X")))))</f>
        <v>1100</v>
      </c>
      <c r="F522" s="1" t="s">
        <v>11198</v>
      </c>
      <c r="G522" s="1" t="s">
        <v>302</v>
      </c>
      <c r="H522" s="1">
        <f>ROUND(P522/(1-((R522+S522))/100)*Q522, 3)</f>
        <v>173.376</v>
      </c>
      <c r="I522" s="1">
        <v>0.45</v>
      </c>
      <c r="J522" s="1">
        <v>2</v>
      </c>
      <c r="K522" s="1">
        <v>1</v>
      </c>
      <c r="L522" s="1" t="s">
        <v>292</v>
      </c>
      <c r="M522" s="1">
        <v>1</v>
      </c>
      <c r="N522" s="1">
        <v>1</v>
      </c>
      <c r="O522" s="1" t="s">
        <v>296</v>
      </c>
      <c r="P522" s="1">
        <v>145.202</v>
      </c>
      <c r="Q522" s="1">
        <v>1</v>
      </c>
      <c r="R522" s="1">
        <v>7</v>
      </c>
      <c r="S522" s="1">
        <v>9.25</v>
      </c>
      <c r="T522" s="1">
        <v>0</v>
      </c>
      <c r="V522" s="1" t="s">
        <v>11223</v>
      </c>
      <c r="W522" s="1">
        <v>100</v>
      </c>
      <c r="X522" s="1" t="s">
        <v>298</v>
      </c>
      <c r="Y522" s="1" t="s">
        <v>299</v>
      </c>
      <c r="Z522" s="1">
        <v>1</v>
      </c>
      <c r="AA522" s="1">
        <f>ROUND(H522*I522*Z522, 3)</f>
        <v>78.019000000000005</v>
      </c>
      <c r="AB522" s="1">
        <f>ROUND(VLOOKUP(X522,'Base de dados'!A:B, 2, 0)*AA522, 2)</f>
        <v>7.8</v>
      </c>
      <c r="AC522" s="1">
        <f>ROUND((AA522*(Destino!AG522/100))*(W522/100),2)</f>
        <v>5.46</v>
      </c>
      <c r="AD522" s="1">
        <f>ROUND(AA522*(Destino!AH522/100),2)</f>
        <v>7.22</v>
      </c>
      <c r="AF522" s="1">
        <f>ROUND((AA522+ AB522)*(J522/100),2)</f>
        <v>1.72</v>
      </c>
      <c r="AG522" s="1">
        <f>ROUND(AA522*T522,2)</f>
        <v>0</v>
      </c>
      <c r="AH522" s="1">
        <f>ROUND(AA522-(AC522+AD522)+AF522+AG522, 3)</f>
        <v>67.058999999999997</v>
      </c>
      <c r="AI522" s="1">
        <f>AH522*M522*K522</f>
        <v>67.058999999999997</v>
      </c>
      <c r="BA522" s="1" t="s">
        <v>11767</v>
      </c>
      <c r="BB522" s="1">
        <f>AI522</f>
        <v>67.058999999999997</v>
      </c>
      <c r="BD522" s="1">
        <f>N522</f>
        <v>1</v>
      </c>
    </row>
    <row r="523" spans="1:56" x14ac:dyDescent="0.25">
      <c r="A523" s="1">
        <v>600002869</v>
      </c>
      <c r="B523" s="1">
        <v>1110</v>
      </c>
      <c r="C523" s="1">
        <v>2200001473</v>
      </c>
      <c r="D523" s="1" t="s">
        <v>303</v>
      </c>
      <c r="E523" s="1" t="str">
        <f>IF(AND(B523&lt;&gt;1110,B523&lt;&gt;1210,B523&lt;&gt;1510,B523&lt;&gt;1710),B523,IF(B523=1110,"1100",IF(B523=1210,"1200",IF(B523=1510,"1500",IF(B523=1710,"1700","X")))))</f>
        <v>1100</v>
      </c>
      <c r="F523" s="1" t="s">
        <v>447</v>
      </c>
      <c r="G523" s="1" t="s">
        <v>302</v>
      </c>
      <c r="H523" s="1">
        <f>ROUND(P523/(1-((R523+S523))/100)*Q523, 3)</f>
        <v>173.376</v>
      </c>
      <c r="I523" s="1">
        <v>0.45</v>
      </c>
      <c r="J523" s="1">
        <v>4</v>
      </c>
      <c r="K523" s="1">
        <v>1</v>
      </c>
      <c r="L523" s="1" t="s">
        <v>292</v>
      </c>
      <c r="M523" s="1">
        <v>1</v>
      </c>
      <c r="N523" s="1">
        <v>0.75265099999999996</v>
      </c>
      <c r="O523" s="1" t="s">
        <v>296</v>
      </c>
      <c r="P523" s="1">
        <v>145.202</v>
      </c>
      <c r="Q523" s="1">
        <v>1</v>
      </c>
      <c r="R523" s="1">
        <v>7</v>
      </c>
      <c r="S523" s="1">
        <v>9.25</v>
      </c>
      <c r="T523" s="1">
        <v>0</v>
      </c>
      <c r="V523" s="1" t="s">
        <v>11223</v>
      </c>
      <c r="W523" s="1">
        <v>100</v>
      </c>
      <c r="X523" s="1" t="s">
        <v>298</v>
      </c>
      <c r="Y523" s="1" t="s">
        <v>299</v>
      </c>
      <c r="Z523" s="1">
        <v>1</v>
      </c>
      <c r="AA523" s="1">
        <f>ROUND(H523*I523*Z523, 3)</f>
        <v>78.019000000000005</v>
      </c>
      <c r="AB523" s="1">
        <f>ROUND(VLOOKUP(X523,'Base de dados'!A:B, 2, 0)*AA523, 2)</f>
        <v>7.8</v>
      </c>
      <c r="AC523" s="1">
        <f>ROUND((AA523*(Destino!AG523/100))*(W523/100),2)</f>
        <v>5.46</v>
      </c>
      <c r="AD523" s="1">
        <f>ROUND(AA523*(Destino!AH523/100),2)</f>
        <v>7.22</v>
      </c>
      <c r="AE523" s="1">
        <f>ROUND((((AA523+AB523)*1.5039)*(Destino!AI523/100))-AC523,2)</f>
        <v>16.48</v>
      </c>
      <c r="AF523" s="1">
        <f>ROUND((AA523+AB523+AE523)*(J523/100),2)</f>
        <v>4.09</v>
      </c>
      <c r="AG523" s="1">
        <f>ROUND(AA523*T523,2)</f>
        <v>0</v>
      </c>
      <c r="AH523" s="1">
        <f>ROUND(AA523-AD523+AE523+AF523+AG523, 3)</f>
        <v>91.369</v>
      </c>
      <c r="AI523" s="1">
        <f>AH523*M523*K523</f>
        <v>91.369</v>
      </c>
      <c r="BA523" s="1" t="s">
        <v>11768</v>
      </c>
      <c r="BB523" s="1">
        <f>AI523</f>
        <v>91.369</v>
      </c>
      <c r="BD523" s="1">
        <f>N523</f>
        <v>0.75265099999999996</v>
      </c>
    </row>
    <row r="524" spans="1:56" x14ac:dyDescent="0.25">
      <c r="A524" s="1">
        <v>600002869</v>
      </c>
      <c r="B524" s="1">
        <v>1400</v>
      </c>
      <c r="C524" s="1">
        <v>2200001473</v>
      </c>
      <c r="D524" s="1" t="s">
        <v>303</v>
      </c>
      <c r="E524" s="1">
        <f>IF(AND(B524&lt;&gt;1110,B524&lt;&gt;1210,B524&lt;&gt;1510,B524&lt;&gt;1710),B524,IF(B524=1110,"1100",IF(B524=1210,"1200",IF(B524=1510,"1500",IF(B524=1710,"1700","X")))))</f>
        <v>1400</v>
      </c>
      <c r="F524" s="1" t="s">
        <v>11198</v>
      </c>
      <c r="G524" s="1" t="s">
        <v>302</v>
      </c>
      <c r="H524" s="1">
        <f>ROUND(P524/(1-((R524+S524))/100)*Q524, 3)</f>
        <v>199.59</v>
      </c>
      <c r="I524" s="1">
        <v>0.45</v>
      </c>
      <c r="J524" s="1">
        <v>1.5</v>
      </c>
      <c r="K524" s="1">
        <v>1</v>
      </c>
      <c r="L524" s="1" t="s">
        <v>292</v>
      </c>
      <c r="M524" s="1">
        <v>1</v>
      </c>
      <c r="N524" s="1">
        <v>1</v>
      </c>
      <c r="O524" s="1" t="s">
        <v>296</v>
      </c>
      <c r="P524" s="1">
        <v>145.202</v>
      </c>
      <c r="Q524" s="1">
        <v>1</v>
      </c>
      <c r="R524" s="1">
        <v>18</v>
      </c>
      <c r="S524" s="1">
        <v>9.25</v>
      </c>
      <c r="T524" s="1">
        <v>0</v>
      </c>
      <c r="V524" s="1" t="s">
        <v>11223</v>
      </c>
      <c r="W524" s="1">
        <v>100</v>
      </c>
      <c r="X524" s="1" t="s">
        <v>298</v>
      </c>
      <c r="Y524" s="1" t="s">
        <v>299</v>
      </c>
      <c r="Z524" s="1">
        <v>1</v>
      </c>
      <c r="AA524" s="1">
        <f>ROUND(H524*I524*Z524, 3)</f>
        <v>89.816000000000003</v>
      </c>
      <c r="AB524" s="1">
        <f>ROUND(VLOOKUP(X524,'Base de dados'!A:B, 2, 0)*AA524, 2)</f>
        <v>8.98</v>
      </c>
      <c r="AC524" s="1">
        <f>ROUND((AA524*(Destino!AG524/100))*(W524/100),2)</f>
        <v>16.170000000000002</v>
      </c>
      <c r="AD524" s="1">
        <f>ROUND(AA524*(Destino!AH524/100),2)</f>
        <v>8.31</v>
      </c>
      <c r="AF524" s="1">
        <f>ROUND((AA524+ AB524)*(J524/100),2)</f>
        <v>1.48</v>
      </c>
      <c r="AG524" s="1">
        <f>ROUND(AA524*T524,2)</f>
        <v>0</v>
      </c>
      <c r="AH524" s="1">
        <f>ROUND(AA524-(AC524+AD524)+AF524+AG524, 3)</f>
        <v>66.816000000000003</v>
      </c>
      <c r="AI524" s="1">
        <f>AH524*M524*K524</f>
        <v>66.816000000000003</v>
      </c>
      <c r="BA524" s="1" t="s">
        <v>11458</v>
      </c>
      <c r="BB524" s="1">
        <f>AI524</f>
        <v>66.816000000000003</v>
      </c>
      <c r="BD524" s="1">
        <f>N524</f>
        <v>1</v>
      </c>
    </row>
    <row r="525" spans="1:56" x14ac:dyDescent="0.25">
      <c r="A525" s="1">
        <v>600002869</v>
      </c>
      <c r="B525" s="1">
        <v>1700</v>
      </c>
      <c r="C525" s="1">
        <v>2200001421</v>
      </c>
      <c r="D525" s="1" t="s">
        <v>303</v>
      </c>
      <c r="E525" s="1">
        <f>IF(AND(B525&lt;&gt;1110,B525&lt;&gt;1210,B525&lt;&gt;1510,B525&lt;&gt;1710),B525,IF(B525=1110,"1100",IF(B525=1210,"1200",IF(B525=1510,"1500",IF(B525=1710,"1700","X")))))</f>
        <v>1700</v>
      </c>
      <c r="F525" s="1" t="s">
        <v>11238</v>
      </c>
      <c r="G525" s="1" t="s">
        <v>302</v>
      </c>
      <c r="H525" s="1">
        <f>ROUND(P525/(1-((R525+S525))/100)*Q525, 3)</f>
        <v>79.78</v>
      </c>
      <c r="I525" s="1">
        <v>0.25</v>
      </c>
      <c r="J525" s="1">
        <v>3</v>
      </c>
      <c r="K525" s="1">
        <v>1</v>
      </c>
      <c r="L525" s="1" t="s">
        <v>292</v>
      </c>
      <c r="M525" s="1">
        <v>4</v>
      </c>
      <c r="N525" s="1">
        <v>1</v>
      </c>
      <c r="O525" s="1" t="s">
        <v>296</v>
      </c>
      <c r="P525" s="1">
        <f>IFERROR(VLOOKUP(BC525, BA:BA:BB:BB, 2, 0),)</f>
        <v>66.816000000000003</v>
      </c>
      <c r="Q525" s="1">
        <f>IFERROR(VLOOKUP(BC525, BA:BA:BD:BD, 4, 0),1)</f>
        <v>1</v>
      </c>
      <c r="R525" s="1">
        <v>7</v>
      </c>
      <c r="S525" s="1">
        <v>9.25</v>
      </c>
      <c r="T525" s="1">
        <v>0</v>
      </c>
      <c r="V525" s="1" t="s">
        <v>11223</v>
      </c>
      <c r="W525" s="1">
        <v>100</v>
      </c>
      <c r="X525" s="1" t="s">
        <v>298</v>
      </c>
      <c r="Y525" s="1" t="s">
        <v>299</v>
      </c>
      <c r="Z525" s="1">
        <v>1</v>
      </c>
      <c r="AA525" s="1">
        <f>ROUND(H525*I525*Z525, 3)</f>
        <v>19.945</v>
      </c>
      <c r="AB525" s="1">
        <f>ROUND(VLOOKUP(X525,'Base de dados'!A:B, 2, 0)*AA525, 2)</f>
        <v>1.99</v>
      </c>
      <c r="AC525" s="1">
        <f>ROUND((AA525*(Destino!AG525/100))*(W525/100),2)</f>
        <v>1.4</v>
      </c>
      <c r="AD525" s="1">
        <f>ROUND(AA525*(Destino!AH525/100),2)</f>
        <v>0</v>
      </c>
      <c r="AE525" s="1">
        <f>ROUND((((AA525+AB525)*1.48)*(Destino!AI525/100))-AC525,2)</f>
        <v>4.12</v>
      </c>
      <c r="AF525" s="1">
        <f>ROUND((AA525+AB525+AE525)*(J525/100),2)</f>
        <v>0.78</v>
      </c>
      <c r="AG525" s="1">
        <f>ROUND(AA525*T525,2)</f>
        <v>0</v>
      </c>
      <c r="AH525" s="1">
        <f>ROUND(AA525+AB525-AD525+AE525+AF525+AG525, 3)</f>
        <v>26.835000000000001</v>
      </c>
      <c r="AI525" s="1">
        <f>AH525*M525*K525</f>
        <v>107.34</v>
      </c>
      <c r="BA525" s="1" t="s">
        <v>11346</v>
      </c>
      <c r="BB525" s="1">
        <f>AI525</f>
        <v>107.34</v>
      </c>
      <c r="BC525" s="1" t="s">
        <v>11458</v>
      </c>
      <c r="BD525" s="1">
        <f>N525</f>
        <v>1</v>
      </c>
    </row>
    <row r="526" spans="1:56" x14ac:dyDescent="0.25">
      <c r="A526" s="1">
        <v>600002871</v>
      </c>
      <c r="B526" s="1">
        <v>1000</v>
      </c>
      <c r="C526" s="1">
        <v>2200001473</v>
      </c>
      <c r="D526" s="1" t="s">
        <v>303</v>
      </c>
      <c r="E526" s="1">
        <f>IF(AND(B526&lt;&gt;1110,B526&lt;&gt;1210,B526&lt;&gt;1510,B526&lt;&gt;1710),B526,IF(B526=1110,"1100",IF(B526=1210,"1200",IF(B526=1510,"1500",IF(B526=1710,"1700","X")))))</f>
        <v>1000</v>
      </c>
      <c r="F526" s="1" t="s">
        <v>11198</v>
      </c>
      <c r="G526" s="1" t="s">
        <v>302</v>
      </c>
      <c r="H526" s="1">
        <f>ROUND(P526/(1-((R526+S526))/100)*Q526, 3)</f>
        <v>259.11599999999999</v>
      </c>
      <c r="I526" s="1">
        <v>0.45</v>
      </c>
      <c r="J526" s="1">
        <v>1.5</v>
      </c>
      <c r="K526" s="1">
        <v>1</v>
      </c>
      <c r="L526" s="1" t="s">
        <v>292</v>
      </c>
      <c r="M526" s="1">
        <v>1</v>
      </c>
      <c r="N526" s="1">
        <v>1</v>
      </c>
      <c r="O526" s="1" t="s">
        <v>296</v>
      </c>
      <c r="P526" s="1">
        <v>204.054</v>
      </c>
      <c r="Q526" s="1">
        <v>1</v>
      </c>
      <c r="R526" s="1">
        <v>12</v>
      </c>
      <c r="S526" s="1">
        <v>9.25</v>
      </c>
      <c r="T526" s="1">
        <v>0</v>
      </c>
      <c r="V526" s="1" t="s">
        <v>11223</v>
      </c>
      <c r="W526" s="1">
        <v>100</v>
      </c>
      <c r="X526" s="1" t="s">
        <v>298</v>
      </c>
      <c r="Y526" s="1" t="s">
        <v>322</v>
      </c>
      <c r="Z526" s="1">
        <v>1</v>
      </c>
      <c r="AA526" s="1">
        <f>ROUND(H526*I526*Z526, 3)</f>
        <v>116.602</v>
      </c>
      <c r="AB526" s="1">
        <f>ROUND(VLOOKUP(X526,'Base de dados'!A:B, 2, 0)*AA526, 2)</f>
        <v>11.66</v>
      </c>
      <c r="AC526" s="1">
        <f>ROUND((AA526*(Destino!AG526/100))*(W526/100),2)</f>
        <v>13.99</v>
      </c>
      <c r="AD526" s="1">
        <f>ROUND(AA526*(Destino!AH526/100),2)</f>
        <v>10.79</v>
      </c>
      <c r="AF526" s="1">
        <f>ROUND((AA526+ AB526)*(J526/100),2)</f>
        <v>1.92</v>
      </c>
      <c r="AG526" s="1">
        <f>ROUND(AA526*T526,2)</f>
        <v>0</v>
      </c>
      <c r="AH526" s="1">
        <f>ROUND(AA526-(AC526+AD526)+AF526+AG526, 3)</f>
        <v>93.742000000000004</v>
      </c>
      <c r="AI526" s="1">
        <f>AH526*M526*K526</f>
        <v>93.742000000000004</v>
      </c>
      <c r="BA526" s="1" t="s">
        <v>11769</v>
      </c>
      <c r="BB526" s="1">
        <f>AI526</f>
        <v>93.742000000000004</v>
      </c>
      <c r="BD526" s="1">
        <f>N526</f>
        <v>1</v>
      </c>
    </row>
    <row r="527" spans="1:56" x14ac:dyDescent="0.25">
      <c r="A527" s="1">
        <v>600002871</v>
      </c>
      <c r="B527" s="1">
        <v>1100</v>
      </c>
      <c r="C527" s="1">
        <v>2200001473</v>
      </c>
      <c r="D527" s="1" t="s">
        <v>303</v>
      </c>
      <c r="E527" s="1">
        <f>IF(AND(B527&lt;&gt;1110,B527&lt;&gt;1210,B527&lt;&gt;1510,B527&lt;&gt;1710),B527,IF(B527=1110,"1100",IF(B527=1210,"1200",IF(B527=1510,"1500",IF(B527=1710,"1700","X")))))</f>
        <v>1100</v>
      </c>
      <c r="F527" s="1" t="s">
        <v>11198</v>
      </c>
      <c r="G527" s="1" t="s">
        <v>302</v>
      </c>
      <c r="H527" s="1">
        <f>ROUND(P527/(1-((R527+S527))/100)*Q527, 3)</f>
        <v>243.649</v>
      </c>
      <c r="I527" s="1">
        <v>0.45</v>
      </c>
      <c r="J527" s="1">
        <v>2</v>
      </c>
      <c r="K527" s="1">
        <v>1</v>
      </c>
      <c r="L527" s="1" t="s">
        <v>292</v>
      </c>
      <c r="M527" s="1">
        <v>1</v>
      </c>
      <c r="N527" s="1">
        <v>1</v>
      </c>
      <c r="O527" s="1" t="s">
        <v>296</v>
      </c>
      <c r="P527" s="1">
        <v>204.05600000000001</v>
      </c>
      <c r="Q527" s="1">
        <v>1</v>
      </c>
      <c r="R527" s="1">
        <v>7</v>
      </c>
      <c r="S527" s="1">
        <v>9.25</v>
      </c>
      <c r="T527" s="1">
        <v>0</v>
      </c>
      <c r="V527" s="1" t="s">
        <v>11223</v>
      </c>
      <c r="W527" s="1">
        <v>100</v>
      </c>
      <c r="X527" s="1" t="s">
        <v>298</v>
      </c>
      <c r="Y527" s="1" t="s">
        <v>322</v>
      </c>
      <c r="Z527" s="1">
        <v>1</v>
      </c>
      <c r="AA527" s="1">
        <f>ROUND(H527*I527*Z527, 3)</f>
        <v>109.642</v>
      </c>
      <c r="AB527" s="1">
        <f>ROUND(VLOOKUP(X527,'Base de dados'!A:B, 2, 0)*AA527, 2)</f>
        <v>10.96</v>
      </c>
      <c r="AC527" s="1">
        <f>ROUND((AA527*(Destino!AG527/100))*(W527/100),2)</f>
        <v>7.67</v>
      </c>
      <c r="AD527" s="1">
        <f>ROUND(AA527*(Destino!AH527/100),2)</f>
        <v>10.14</v>
      </c>
      <c r="AF527" s="1">
        <f>ROUND((AA527+ AB527)*(J527/100),2)</f>
        <v>2.41</v>
      </c>
      <c r="AG527" s="1">
        <f>ROUND(AA527*T527,2)</f>
        <v>0</v>
      </c>
      <c r="AH527" s="1">
        <f>ROUND(AA527-(AC527+AD527)+AF527+AG527, 3)</f>
        <v>94.242000000000004</v>
      </c>
      <c r="AI527" s="1">
        <f>AH527*M527*K527</f>
        <v>94.242000000000004</v>
      </c>
      <c r="BA527" s="1" t="s">
        <v>11770</v>
      </c>
      <c r="BB527" s="1">
        <f>AI527</f>
        <v>94.242000000000004</v>
      </c>
      <c r="BD527" s="1">
        <f>N527</f>
        <v>1</v>
      </c>
    </row>
    <row r="528" spans="1:56" x14ac:dyDescent="0.25">
      <c r="A528" s="1">
        <v>600002871</v>
      </c>
      <c r="B528" s="1">
        <v>1110</v>
      </c>
      <c r="C528" s="1">
        <v>2200001473</v>
      </c>
      <c r="D528" s="1" t="s">
        <v>303</v>
      </c>
      <c r="E528" s="1" t="str">
        <f>IF(AND(B528&lt;&gt;1110,B528&lt;&gt;1210,B528&lt;&gt;1510,B528&lt;&gt;1710),B528,IF(B528=1110,"1100",IF(B528=1210,"1200",IF(B528=1510,"1500",IF(B528=1710,"1700","X")))))</f>
        <v>1100</v>
      </c>
      <c r="F528" s="1" t="s">
        <v>447</v>
      </c>
      <c r="G528" s="1" t="s">
        <v>302</v>
      </c>
      <c r="H528" s="1">
        <f>ROUND(P528/(1-((R528+S528))/100)*Q528, 3)</f>
        <v>243.649</v>
      </c>
      <c r="I528" s="1">
        <v>0.45</v>
      </c>
      <c r="J528" s="1">
        <v>4</v>
      </c>
      <c r="K528" s="1">
        <v>1</v>
      </c>
      <c r="L528" s="1" t="s">
        <v>292</v>
      </c>
      <c r="M528" s="1">
        <v>1</v>
      </c>
      <c r="N528" s="1">
        <v>0.75259299999999996</v>
      </c>
      <c r="O528" s="1" t="s">
        <v>296</v>
      </c>
      <c r="P528" s="1">
        <v>204.05600000000001</v>
      </c>
      <c r="Q528" s="1">
        <v>1</v>
      </c>
      <c r="R528" s="1">
        <v>7</v>
      </c>
      <c r="S528" s="1">
        <v>9.25</v>
      </c>
      <c r="T528" s="1">
        <v>0</v>
      </c>
      <c r="V528" s="1" t="s">
        <v>11223</v>
      </c>
      <c r="W528" s="1">
        <v>100</v>
      </c>
      <c r="X528" s="1" t="s">
        <v>298</v>
      </c>
      <c r="Y528" s="1" t="s">
        <v>322</v>
      </c>
      <c r="Z528" s="1">
        <v>1</v>
      </c>
      <c r="AA528" s="1">
        <f>ROUND(H528*I528*Z528, 3)</f>
        <v>109.642</v>
      </c>
      <c r="AB528" s="1">
        <f>ROUND(VLOOKUP(X528,'Base de dados'!A:B, 2, 0)*AA528, 2)</f>
        <v>10.96</v>
      </c>
      <c r="AC528" s="1">
        <f>ROUND((AA528*(Destino!AG528/100))*(W528/100),2)</f>
        <v>7.67</v>
      </c>
      <c r="AD528" s="1">
        <f>ROUND(AA528*(Destino!AH528/100),2)</f>
        <v>10.14</v>
      </c>
      <c r="AE528" s="1">
        <f>ROUND((((AA528+AB528)*1.5039)*(Destino!AI528/100))-AC528,2)</f>
        <v>23.16</v>
      </c>
      <c r="AF528" s="1">
        <f>ROUND((AA528+AB528+AE528)*(J528/100),2)</f>
        <v>5.75</v>
      </c>
      <c r="AG528" s="1">
        <f>ROUND(AA528*T528,2)</f>
        <v>0</v>
      </c>
      <c r="AH528" s="1">
        <f>ROUND(AA528-AD528+AE528+AF528+AG528, 3)</f>
        <v>128.41200000000001</v>
      </c>
      <c r="AI528" s="1">
        <f>AH528*M528*K528</f>
        <v>128.41200000000001</v>
      </c>
      <c r="BA528" s="1" t="s">
        <v>11771</v>
      </c>
      <c r="BB528" s="1">
        <f>AI528</f>
        <v>128.41200000000001</v>
      </c>
      <c r="BD528" s="1">
        <f>N528</f>
        <v>0.75259299999999996</v>
      </c>
    </row>
    <row r="529" spans="1:56" x14ac:dyDescent="0.25">
      <c r="A529" s="1">
        <v>600002871</v>
      </c>
      <c r="B529" s="1">
        <v>1400</v>
      </c>
      <c r="C529" s="1">
        <v>2200001473</v>
      </c>
      <c r="D529" s="1" t="s">
        <v>303</v>
      </c>
      <c r="E529" s="1">
        <f>IF(AND(B529&lt;&gt;1110,B529&lt;&gt;1210,B529&lt;&gt;1510,B529&lt;&gt;1710),B529,IF(B529=1110,"1100",IF(B529=1210,"1200",IF(B529=1510,"1500",IF(B529=1710,"1700","X")))))</f>
        <v>1400</v>
      </c>
      <c r="F529" s="1" t="s">
        <v>11198</v>
      </c>
      <c r="G529" s="1" t="s">
        <v>302</v>
      </c>
      <c r="H529" s="1">
        <f>ROUND(P529/(1-((R529+S529))/100)*Q529, 3)</f>
        <v>280.48899999999998</v>
      </c>
      <c r="I529" s="1">
        <v>0.45</v>
      </c>
      <c r="J529" s="1">
        <v>1.5</v>
      </c>
      <c r="K529" s="1">
        <v>1</v>
      </c>
      <c r="L529" s="1" t="s">
        <v>292</v>
      </c>
      <c r="M529" s="1">
        <v>1</v>
      </c>
      <c r="N529" s="1">
        <v>1</v>
      </c>
      <c r="O529" s="1" t="s">
        <v>296</v>
      </c>
      <c r="P529" s="1">
        <v>204.05600000000001</v>
      </c>
      <c r="Q529" s="1">
        <v>1</v>
      </c>
      <c r="R529" s="1">
        <v>18</v>
      </c>
      <c r="S529" s="1">
        <v>9.25</v>
      </c>
      <c r="T529" s="1">
        <v>0</v>
      </c>
      <c r="V529" s="1" t="s">
        <v>11223</v>
      </c>
      <c r="W529" s="1">
        <v>100</v>
      </c>
      <c r="X529" s="1" t="s">
        <v>298</v>
      </c>
      <c r="Y529" s="1" t="s">
        <v>322</v>
      </c>
      <c r="Z529" s="1">
        <v>1</v>
      </c>
      <c r="AA529" s="1">
        <f>ROUND(H529*I529*Z529, 3)</f>
        <v>126.22</v>
      </c>
      <c r="AB529" s="1">
        <f>ROUND(VLOOKUP(X529,'Base de dados'!A:B, 2, 0)*AA529, 2)</f>
        <v>12.62</v>
      </c>
      <c r="AC529" s="1">
        <f>ROUND((AA529*(Destino!AG529/100))*(W529/100),2)</f>
        <v>22.72</v>
      </c>
      <c r="AD529" s="1">
        <f>ROUND(AA529*(Destino!AH529/100),2)</f>
        <v>11.68</v>
      </c>
      <c r="AF529" s="1">
        <f>ROUND((AA529+ AB529)*(J529/100),2)</f>
        <v>2.08</v>
      </c>
      <c r="AG529" s="1">
        <f>ROUND(AA529*T529,2)</f>
        <v>0</v>
      </c>
      <c r="AH529" s="1">
        <f>ROUND(AA529-(AC529+AD529)+AF529+AG529, 3)</f>
        <v>93.9</v>
      </c>
      <c r="AI529" s="1">
        <f>AH529*M529*K529</f>
        <v>93.9</v>
      </c>
      <c r="BA529" s="1" t="s">
        <v>11459</v>
      </c>
      <c r="BB529" s="1">
        <f>AI529</f>
        <v>93.9</v>
      </c>
      <c r="BD529" s="1">
        <f>N529</f>
        <v>1</v>
      </c>
    </row>
    <row r="530" spans="1:56" x14ac:dyDescent="0.25">
      <c r="A530" s="1">
        <v>600002871</v>
      </c>
      <c r="B530" s="1">
        <v>1700</v>
      </c>
      <c r="C530" s="1">
        <v>2200001421</v>
      </c>
      <c r="D530" s="1" t="s">
        <v>303</v>
      </c>
      <c r="E530" s="1">
        <f>IF(AND(B530&lt;&gt;1110,B530&lt;&gt;1210,B530&lt;&gt;1510,B530&lt;&gt;1710),B530,IF(B530=1110,"1100",IF(B530=1210,"1200",IF(B530=1510,"1500",IF(B530=1710,"1700","X")))))</f>
        <v>1700</v>
      </c>
      <c r="F530" s="1" t="s">
        <v>11238</v>
      </c>
      <c r="G530" s="1" t="s">
        <v>302</v>
      </c>
      <c r="H530" s="1">
        <f>ROUND(P530/(1-((R530+S530))/100)*Q530, 3)</f>
        <v>112.119</v>
      </c>
      <c r="I530" s="1">
        <v>0.25</v>
      </c>
      <c r="J530" s="1">
        <v>3</v>
      </c>
      <c r="K530" s="1">
        <v>1</v>
      </c>
      <c r="L530" s="1" t="s">
        <v>292</v>
      </c>
      <c r="M530" s="1">
        <v>4</v>
      </c>
      <c r="N530" s="1">
        <v>1</v>
      </c>
      <c r="O530" s="1" t="s">
        <v>296</v>
      </c>
      <c r="P530" s="1">
        <f>IFERROR(VLOOKUP(BC530, BA:BA:BB:BB, 2, 0),)</f>
        <v>93.9</v>
      </c>
      <c r="Q530" s="1">
        <f>IFERROR(VLOOKUP(BC530, BA:BA:BD:BD, 4, 0),1)</f>
        <v>1</v>
      </c>
      <c r="R530" s="1">
        <v>7</v>
      </c>
      <c r="S530" s="1">
        <v>9.25</v>
      </c>
      <c r="T530" s="1">
        <v>0</v>
      </c>
      <c r="V530" s="1" t="s">
        <v>11223</v>
      </c>
      <c r="W530" s="1">
        <v>100</v>
      </c>
      <c r="X530" s="1" t="s">
        <v>298</v>
      </c>
      <c r="Y530" s="1" t="s">
        <v>322</v>
      </c>
      <c r="Z530" s="1">
        <v>1</v>
      </c>
      <c r="AA530" s="1">
        <f>ROUND(H530*I530*Z530, 3)</f>
        <v>28.03</v>
      </c>
      <c r="AB530" s="1">
        <f>ROUND(VLOOKUP(X530,'Base de dados'!A:B, 2, 0)*AA530, 2)</f>
        <v>2.8</v>
      </c>
      <c r="AC530" s="1">
        <f>ROUND((AA530*(Destino!AG530/100))*(W530/100),2)</f>
        <v>1.96</v>
      </c>
      <c r="AD530" s="1">
        <f>ROUND(AA530*(Destino!AH530/100),2)</f>
        <v>0</v>
      </c>
      <c r="AE530" s="1">
        <f>ROUND((((AA530+AB530)*1.48)*(Destino!AI530/100))-AC530,2)</f>
        <v>5.8</v>
      </c>
      <c r="AF530" s="1">
        <f>ROUND((AA530+AB530+AE530)*(J530/100),2)</f>
        <v>1.1000000000000001</v>
      </c>
      <c r="AG530" s="1">
        <f>ROUND(AA530*T530,2)</f>
        <v>0</v>
      </c>
      <c r="AH530" s="1">
        <f>ROUND(AA530+AB530-AD530+AE530+AF530+AG530, 3)</f>
        <v>37.729999999999997</v>
      </c>
      <c r="AI530" s="1">
        <f>AH530*M530*K530</f>
        <v>150.91999999999999</v>
      </c>
      <c r="BA530" s="1" t="s">
        <v>11347</v>
      </c>
      <c r="BB530" s="1">
        <f>AI530</f>
        <v>150.91999999999999</v>
      </c>
      <c r="BC530" s="1" t="s">
        <v>11459</v>
      </c>
      <c r="BD530" s="1">
        <f>N530</f>
        <v>1</v>
      </c>
    </row>
    <row r="531" spans="1:56" x14ac:dyDescent="0.25">
      <c r="A531" s="1">
        <v>600002877</v>
      </c>
      <c r="B531" s="1">
        <v>1000</v>
      </c>
      <c r="C531" s="1">
        <v>2200001473</v>
      </c>
      <c r="D531" s="1" t="s">
        <v>303</v>
      </c>
      <c r="E531" s="1">
        <f>IF(AND(B531&lt;&gt;1110,B531&lt;&gt;1210,B531&lt;&gt;1510,B531&lt;&gt;1710),B531,IF(B531=1110,"1100",IF(B531=1210,"1200",IF(B531=1510,"1500",IF(B531=1710,"1700","X")))))</f>
        <v>1000</v>
      </c>
      <c r="F531" s="1" t="s">
        <v>11198</v>
      </c>
      <c r="G531" s="1" t="s">
        <v>302</v>
      </c>
      <c r="H531" s="1">
        <f>ROUND(P531/(1-((R531+S531))/100)*Q531, 3)</f>
        <v>25.675999999999998</v>
      </c>
      <c r="I531" s="1">
        <v>0.45</v>
      </c>
      <c r="J531" s="1">
        <v>1.5</v>
      </c>
      <c r="K531" s="1">
        <v>1</v>
      </c>
      <c r="L531" s="1" t="s">
        <v>292</v>
      </c>
      <c r="M531" s="1">
        <v>1</v>
      </c>
      <c r="N531" s="1">
        <v>1</v>
      </c>
      <c r="O531" s="1" t="s">
        <v>296</v>
      </c>
      <c r="P531" s="1">
        <v>20.22</v>
      </c>
      <c r="Q531" s="1">
        <v>1</v>
      </c>
      <c r="R531" s="1">
        <v>12</v>
      </c>
      <c r="S531" s="1">
        <v>9.25</v>
      </c>
      <c r="T531" s="1">
        <v>0</v>
      </c>
      <c r="V531" s="1" t="s">
        <v>11223</v>
      </c>
      <c r="W531" s="1">
        <v>100</v>
      </c>
      <c r="X531" s="1" t="s">
        <v>319</v>
      </c>
      <c r="Y531" s="1" t="s">
        <v>299</v>
      </c>
      <c r="Z531" s="1">
        <v>1</v>
      </c>
      <c r="AA531" s="1">
        <f>ROUND(H531*I531*Z531, 3)</f>
        <v>11.554</v>
      </c>
      <c r="AB531" s="1">
        <f>ROUND(VLOOKUP(X531,'Base de dados'!A:B, 2, 0)*AA531, 2)</f>
        <v>1.1599999999999999</v>
      </c>
      <c r="AC531" s="1">
        <f>ROUND((AA531*(Destino!AG531/100))*(W531/100),2)</f>
        <v>1.39</v>
      </c>
      <c r="AD531" s="1">
        <f>ROUND(AA531*(Destino!AH531/100),2)</f>
        <v>1.07</v>
      </c>
      <c r="AF531" s="1">
        <f>ROUND((AA531+ AB531)*(J531/100),2)</f>
        <v>0.19</v>
      </c>
      <c r="AG531" s="1">
        <f>ROUND(AA531*T531,2)</f>
        <v>0</v>
      </c>
      <c r="AH531" s="1">
        <f>ROUND(AA531-(AC531+AD531)+AF531+AG531, 3)</f>
        <v>9.2840000000000007</v>
      </c>
      <c r="AI531" s="1">
        <f>AH531*M531*K531</f>
        <v>9.2840000000000007</v>
      </c>
      <c r="BA531" s="1" t="s">
        <v>11772</v>
      </c>
      <c r="BB531" s="1">
        <f>AI531</f>
        <v>9.2840000000000007</v>
      </c>
      <c r="BD531" s="1">
        <f>N531</f>
        <v>1</v>
      </c>
    </row>
    <row r="532" spans="1:56" x14ac:dyDescent="0.25">
      <c r="A532" s="1">
        <v>600002877</v>
      </c>
      <c r="B532" s="1">
        <v>1100</v>
      </c>
      <c r="C532" s="1">
        <v>2200001473</v>
      </c>
      <c r="D532" s="1" t="s">
        <v>303</v>
      </c>
      <c r="E532" s="1">
        <f>IF(AND(B532&lt;&gt;1110,B532&lt;&gt;1210,B532&lt;&gt;1510,B532&lt;&gt;1710),B532,IF(B532=1110,"1100",IF(B532=1210,"1200",IF(B532=1510,"1500",IF(B532=1710,"1700","X")))))</f>
        <v>1100</v>
      </c>
      <c r="F532" s="1" t="s">
        <v>11198</v>
      </c>
      <c r="G532" s="1" t="s">
        <v>302</v>
      </c>
      <c r="H532" s="1">
        <f>ROUND(P532/(1-((R532+S532))/100)*Q532, 3)</f>
        <v>24.14</v>
      </c>
      <c r="I532" s="1">
        <v>0.45</v>
      </c>
      <c r="J532" s="1">
        <v>2</v>
      </c>
      <c r="K532" s="1">
        <v>1</v>
      </c>
      <c r="L532" s="1" t="s">
        <v>292</v>
      </c>
      <c r="M532" s="1">
        <v>1</v>
      </c>
      <c r="N532" s="1">
        <v>1</v>
      </c>
      <c r="O532" s="1" t="s">
        <v>296</v>
      </c>
      <c r="P532" s="1">
        <v>20.216999999999999</v>
      </c>
      <c r="Q532" s="1">
        <v>1</v>
      </c>
      <c r="R532" s="1">
        <v>7</v>
      </c>
      <c r="S532" s="1">
        <v>9.25</v>
      </c>
      <c r="T532" s="1">
        <v>0</v>
      </c>
      <c r="V532" s="1" t="s">
        <v>11223</v>
      </c>
      <c r="W532" s="1">
        <v>100</v>
      </c>
      <c r="X532" s="1" t="s">
        <v>319</v>
      </c>
      <c r="Y532" s="1" t="s">
        <v>299</v>
      </c>
      <c r="Z532" s="1">
        <v>1</v>
      </c>
      <c r="AA532" s="1">
        <f>ROUND(H532*I532*Z532, 3)</f>
        <v>10.863</v>
      </c>
      <c r="AB532" s="1">
        <f>ROUND(VLOOKUP(X532,'Base de dados'!A:B, 2, 0)*AA532, 2)</f>
        <v>1.0900000000000001</v>
      </c>
      <c r="AC532" s="1">
        <f>ROUND((AA532*(Destino!AG532/100))*(W532/100),2)</f>
        <v>0.76</v>
      </c>
      <c r="AD532" s="1">
        <f>ROUND(AA532*(Destino!AH532/100),2)</f>
        <v>1</v>
      </c>
      <c r="AF532" s="1">
        <f>ROUND((AA532+ AB532)*(J532/100),2)</f>
        <v>0.24</v>
      </c>
      <c r="AG532" s="1">
        <f>ROUND(AA532*T532,2)</f>
        <v>0</v>
      </c>
      <c r="AH532" s="1">
        <f>ROUND(AA532-(AC532+AD532)+AF532+AG532, 3)</f>
        <v>9.343</v>
      </c>
      <c r="AI532" s="1">
        <f>AH532*M532*K532</f>
        <v>9.343</v>
      </c>
      <c r="BA532" s="1" t="s">
        <v>11773</v>
      </c>
      <c r="BB532" s="1">
        <f>AI532</f>
        <v>9.343</v>
      </c>
      <c r="BD532" s="1">
        <f>N532</f>
        <v>1</v>
      </c>
    </row>
    <row r="533" spans="1:56" x14ac:dyDescent="0.25">
      <c r="A533" s="1">
        <v>600002877</v>
      </c>
      <c r="B533" s="1">
        <v>1110</v>
      </c>
      <c r="C533" s="1">
        <v>2200001473</v>
      </c>
      <c r="D533" s="1" t="s">
        <v>303</v>
      </c>
      <c r="E533" s="1" t="str">
        <f>IF(AND(B533&lt;&gt;1110,B533&lt;&gt;1210,B533&lt;&gt;1510,B533&lt;&gt;1710),B533,IF(B533=1110,"1100",IF(B533=1210,"1200",IF(B533=1510,"1500",IF(B533=1710,"1700","X")))))</f>
        <v>1100</v>
      </c>
      <c r="F533" s="1" t="s">
        <v>447</v>
      </c>
      <c r="G533" s="1" t="s">
        <v>302</v>
      </c>
      <c r="H533" s="1">
        <f>ROUND(P533/(1-((R533+S533))/100)*Q533, 3)</f>
        <v>24.14</v>
      </c>
      <c r="I533" s="1">
        <v>0.45</v>
      </c>
      <c r="J533" s="1">
        <v>4</v>
      </c>
      <c r="K533" s="1">
        <v>1</v>
      </c>
      <c r="L533" s="1" t="s">
        <v>292</v>
      </c>
      <c r="M533" s="1">
        <v>1</v>
      </c>
      <c r="N533" s="1">
        <v>0.75300900000000004</v>
      </c>
      <c r="O533" s="1" t="s">
        <v>296</v>
      </c>
      <c r="P533" s="1">
        <v>20.216999999999999</v>
      </c>
      <c r="Q533" s="1">
        <v>1</v>
      </c>
      <c r="R533" s="1">
        <v>7</v>
      </c>
      <c r="S533" s="1">
        <v>9.25</v>
      </c>
      <c r="T533" s="1">
        <v>0</v>
      </c>
      <c r="V533" s="1" t="s">
        <v>11223</v>
      </c>
      <c r="W533" s="1">
        <v>100</v>
      </c>
      <c r="X533" s="1" t="s">
        <v>319</v>
      </c>
      <c r="Y533" s="1" t="s">
        <v>299</v>
      </c>
      <c r="Z533" s="1">
        <v>1</v>
      </c>
      <c r="AA533" s="1">
        <f>ROUND(H533*I533*Z533, 3)</f>
        <v>10.863</v>
      </c>
      <c r="AB533" s="1">
        <f>ROUND(VLOOKUP(X533,'Base de dados'!A:B, 2, 0)*AA533, 2)</f>
        <v>1.0900000000000001</v>
      </c>
      <c r="AC533" s="1">
        <f>ROUND((AA533*(Destino!AG533/100))*(W533/100),2)</f>
        <v>0.76</v>
      </c>
      <c r="AD533" s="1">
        <f>ROUND(AA533*(Destino!AH533/100),2)</f>
        <v>1</v>
      </c>
      <c r="AE533" s="1">
        <f>ROUND((((AA533+AB533)*1.5039)*(Destino!AI533/100))-AC533,2)</f>
        <v>2.2999999999999998</v>
      </c>
      <c r="AF533" s="1">
        <f>ROUND((AA533+AB533+AE533)*(J533/100),2)</f>
        <v>0.56999999999999995</v>
      </c>
      <c r="AG533" s="1">
        <f>ROUND(AA533*T533,2)</f>
        <v>0</v>
      </c>
      <c r="AH533" s="1">
        <f>ROUND(AA533-AD533+AE533+AF533+AG533, 3)</f>
        <v>12.733000000000001</v>
      </c>
      <c r="AI533" s="1">
        <f>AH533*M533*K533</f>
        <v>12.733000000000001</v>
      </c>
      <c r="BA533" s="1" t="s">
        <v>11774</v>
      </c>
      <c r="BB533" s="1">
        <f>AI533</f>
        <v>12.733000000000001</v>
      </c>
      <c r="BD533" s="1">
        <f>N533</f>
        <v>0.75300900000000004</v>
      </c>
    </row>
    <row r="534" spans="1:56" x14ac:dyDescent="0.25">
      <c r="A534" s="1">
        <v>600002877</v>
      </c>
      <c r="B534" s="1">
        <v>1400</v>
      </c>
      <c r="C534" s="1">
        <v>2200001473</v>
      </c>
      <c r="D534" s="1" t="s">
        <v>303</v>
      </c>
      <c r="E534" s="1">
        <f>IF(AND(B534&lt;&gt;1110,B534&lt;&gt;1210,B534&lt;&gt;1510,B534&lt;&gt;1710),B534,IF(B534=1110,"1100",IF(B534=1210,"1200",IF(B534=1510,"1500",IF(B534=1710,"1700","X")))))</f>
        <v>1400</v>
      </c>
      <c r="F534" s="1" t="s">
        <v>11198</v>
      </c>
      <c r="G534" s="1" t="s">
        <v>302</v>
      </c>
      <c r="H534" s="1">
        <f>ROUND(P534/(1-((R534+S534))/100)*Q534, 3)</f>
        <v>27.79</v>
      </c>
      <c r="I534" s="1">
        <v>0.45</v>
      </c>
      <c r="J534" s="1">
        <v>1.5</v>
      </c>
      <c r="K534" s="1">
        <v>1</v>
      </c>
      <c r="L534" s="1" t="s">
        <v>292</v>
      </c>
      <c r="M534" s="1">
        <v>1</v>
      </c>
      <c r="N534" s="1">
        <v>1</v>
      </c>
      <c r="O534" s="1" t="s">
        <v>296</v>
      </c>
      <c r="P534" s="1">
        <v>20.216999999999999</v>
      </c>
      <c r="Q534" s="1">
        <v>1</v>
      </c>
      <c r="R534" s="1">
        <v>18</v>
      </c>
      <c r="S534" s="1">
        <v>9.25</v>
      </c>
      <c r="T534" s="1">
        <v>0</v>
      </c>
      <c r="V534" s="1" t="s">
        <v>11223</v>
      </c>
      <c r="W534" s="1">
        <v>100</v>
      </c>
      <c r="X534" s="1" t="s">
        <v>319</v>
      </c>
      <c r="Y534" s="1" t="s">
        <v>299</v>
      </c>
      <c r="Z534" s="1">
        <v>1</v>
      </c>
      <c r="AA534" s="1">
        <f>ROUND(H534*I534*Z534, 3)</f>
        <v>12.506</v>
      </c>
      <c r="AB534" s="1">
        <f>ROUND(VLOOKUP(X534,'Base de dados'!A:B, 2, 0)*AA534, 2)</f>
        <v>1.25</v>
      </c>
      <c r="AC534" s="1">
        <f>ROUND((AA534*(Destino!AG534/100))*(W534/100),2)</f>
        <v>2.25</v>
      </c>
      <c r="AD534" s="1">
        <f>ROUND(AA534*(Destino!AH534/100),2)</f>
        <v>1.1599999999999999</v>
      </c>
      <c r="AF534" s="1">
        <f>ROUND((AA534+ AB534)*(J534/100),2)</f>
        <v>0.21</v>
      </c>
      <c r="AG534" s="1">
        <f>ROUND(AA534*T534,2)</f>
        <v>0</v>
      </c>
      <c r="AH534" s="1">
        <f>ROUND(AA534-(AC534+AD534)+AF534+AG534, 3)</f>
        <v>9.3059999999999992</v>
      </c>
      <c r="AI534" s="1">
        <f>AH534*M534*K534</f>
        <v>9.3059999999999992</v>
      </c>
      <c r="BA534" s="1" t="s">
        <v>11460</v>
      </c>
      <c r="BB534" s="1">
        <f>AI534</f>
        <v>9.3059999999999992</v>
      </c>
      <c r="BD534" s="1">
        <f>N534</f>
        <v>1</v>
      </c>
    </row>
    <row r="535" spans="1:56" x14ac:dyDescent="0.25">
      <c r="A535" s="1">
        <v>600002877</v>
      </c>
      <c r="B535" s="1">
        <v>1700</v>
      </c>
      <c r="C535" s="1">
        <v>2200001421</v>
      </c>
      <c r="D535" s="1" t="s">
        <v>303</v>
      </c>
      <c r="E535" s="1">
        <f>IF(AND(B535&lt;&gt;1110,B535&lt;&gt;1210,B535&lt;&gt;1510,B535&lt;&gt;1710),B535,IF(B535=1110,"1100",IF(B535=1210,"1200",IF(B535=1510,"1500",IF(B535=1710,"1700","X")))))</f>
        <v>1700</v>
      </c>
      <c r="F535" s="1" t="s">
        <v>11238</v>
      </c>
      <c r="G535" s="1" t="s">
        <v>302</v>
      </c>
      <c r="H535" s="1">
        <f>ROUND(P535/(1-((R535+S535))/100)*Q535, 3)</f>
        <v>11.112</v>
      </c>
      <c r="I535" s="1">
        <v>0.25</v>
      </c>
      <c r="J535" s="1">
        <v>3</v>
      </c>
      <c r="K535" s="1">
        <v>1</v>
      </c>
      <c r="L535" s="1" t="s">
        <v>292</v>
      </c>
      <c r="M535" s="1">
        <v>4</v>
      </c>
      <c r="N535" s="1">
        <v>1</v>
      </c>
      <c r="O535" s="1" t="s">
        <v>296</v>
      </c>
      <c r="P535" s="1">
        <f>IFERROR(VLOOKUP(BC535, BA:BA:BB:BB, 2, 0),)</f>
        <v>9.3059999999999992</v>
      </c>
      <c r="Q535" s="1">
        <f>IFERROR(VLOOKUP(BC535, BA:BA:BD:BD, 4, 0),1)</f>
        <v>1</v>
      </c>
      <c r="R535" s="1">
        <v>7</v>
      </c>
      <c r="S535" s="1">
        <v>9.25</v>
      </c>
      <c r="T535" s="1">
        <v>0</v>
      </c>
      <c r="V535" s="1" t="s">
        <v>11223</v>
      </c>
      <c r="W535" s="1">
        <v>100</v>
      </c>
      <c r="X535" s="1" t="s">
        <v>319</v>
      </c>
      <c r="Y535" s="1" t="s">
        <v>299</v>
      </c>
      <c r="Z535" s="1">
        <v>1</v>
      </c>
      <c r="AA535" s="1">
        <f>ROUND(H535*I535*Z535, 3)</f>
        <v>2.778</v>
      </c>
      <c r="AB535" s="1">
        <f>ROUND(VLOOKUP(X535,'Base de dados'!A:B, 2, 0)*AA535, 2)</f>
        <v>0.28000000000000003</v>
      </c>
      <c r="AC535" s="1">
        <f>ROUND((AA535*(Destino!AG535/100))*(W535/100),2)</f>
        <v>0.19</v>
      </c>
      <c r="AD535" s="1">
        <f>ROUND(AA535*(Destino!AH535/100),2)</f>
        <v>0</v>
      </c>
      <c r="AE535" s="1">
        <f>ROUND((((AA535+AB535)*1.48)*(Destino!AI535/100))-AC535,2)</f>
        <v>0.57999999999999996</v>
      </c>
      <c r="AF535" s="1">
        <f>ROUND((AA535+AB535+AE535)*(J535/100),2)</f>
        <v>0.11</v>
      </c>
      <c r="AG535" s="1">
        <f>ROUND(AA535*T535,2)</f>
        <v>0</v>
      </c>
      <c r="AH535" s="1">
        <f>ROUND(AA535+AB535-AD535+AE535+AF535+AG535, 3)</f>
        <v>3.7480000000000002</v>
      </c>
      <c r="AI535" s="1">
        <f>AH535*M535*K535</f>
        <v>14.992000000000001</v>
      </c>
      <c r="BA535" s="1" t="s">
        <v>11348</v>
      </c>
      <c r="BB535" s="1">
        <f>AI535</f>
        <v>14.992000000000001</v>
      </c>
      <c r="BC535" s="1" t="s">
        <v>11460</v>
      </c>
      <c r="BD535" s="1">
        <f>N535</f>
        <v>1</v>
      </c>
    </row>
    <row r="536" spans="1:56" x14ac:dyDescent="0.25">
      <c r="A536" s="1">
        <v>600002894</v>
      </c>
      <c r="B536" s="1">
        <v>1000</v>
      </c>
      <c r="C536" s="1">
        <v>2200001473</v>
      </c>
      <c r="D536" s="1" t="s">
        <v>303</v>
      </c>
      <c r="E536" s="1">
        <f>IF(AND(B536&lt;&gt;1110,B536&lt;&gt;1210,B536&lt;&gt;1510,B536&lt;&gt;1710),B536,IF(B536=1110,"1100",IF(B536=1210,"1200",IF(B536=1510,"1500",IF(B536=1710,"1700","X")))))</f>
        <v>1000</v>
      </c>
      <c r="F536" s="1" t="s">
        <v>11198</v>
      </c>
      <c r="G536" s="1" t="s">
        <v>302</v>
      </c>
      <c r="H536" s="1">
        <f>ROUND(P536/(1-((R536+S536))/100)*Q536, 3)</f>
        <v>30.4</v>
      </c>
      <c r="I536" s="1">
        <v>0.45</v>
      </c>
      <c r="J536" s="1">
        <v>1.5</v>
      </c>
      <c r="K536" s="1">
        <v>1</v>
      </c>
      <c r="L536" s="1" t="s">
        <v>292</v>
      </c>
      <c r="M536" s="1">
        <v>1</v>
      </c>
      <c r="N536" s="1">
        <v>1</v>
      </c>
      <c r="O536" s="1" t="s">
        <v>296</v>
      </c>
      <c r="P536" s="1">
        <v>23.94</v>
      </c>
      <c r="Q536" s="1">
        <v>1</v>
      </c>
      <c r="R536" s="1">
        <v>12</v>
      </c>
      <c r="S536" s="1">
        <v>9.25</v>
      </c>
      <c r="T536" s="1">
        <v>0</v>
      </c>
      <c r="V536" s="1" t="s">
        <v>11223</v>
      </c>
      <c r="W536" s="1">
        <v>100</v>
      </c>
      <c r="X536" s="1" t="s">
        <v>319</v>
      </c>
      <c r="Y536" s="1" t="s">
        <v>299</v>
      </c>
      <c r="Z536" s="1">
        <v>1</v>
      </c>
      <c r="AA536" s="1">
        <f>ROUND(H536*I536*Z536, 3)</f>
        <v>13.68</v>
      </c>
      <c r="AB536" s="1">
        <f>ROUND(VLOOKUP(X536,'Base de dados'!A:B, 2, 0)*AA536, 2)</f>
        <v>1.37</v>
      </c>
      <c r="AC536" s="1">
        <f>ROUND((AA536*(Destino!AG536/100))*(W536/100),2)</f>
        <v>1.64</v>
      </c>
      <c r="AD536" s="1">
        <f>ROUND(AA536*(Destino!AH536/100),2)</f>
        <v>1.27</v>
      </c>
      <c r="AF536" s="1">
        <f>ROUND((AA536+ AB536)*(J536/100),2)</f>
        <v>0.23</v>
      </c>
      <c r="AG536" s="1">
        <f>ROUND(AA536*T536,2)</f>
        <v>0</v>
      </c>
      <c r="AH536" s="1">
        <f>ROUND(AA536-(AC536+AD536)+AF536+AG536, 3)</f>
        <v>11</v>
      </c>
      <c r="AI536" s="1">
        <f>AH536*M536*K536</f>
        <v>11</v>
      </c>
      <c r="BA536" s="1" t="s">
        <v>11775</v>
      </c>
      <c r="BB536" s="1">
        <f>AI536</f>
        <v>11</v>
      </c>
      <c r="BD536" s="1">
        <f>N536</f>
        <v>1</v>
      </c>
    </row>
    <row r="537" spans="1:56" x14ac:dyDescent="0.25">
      <c r="A537" s="1">
        <v>600002894</v>
      </c>
      <c r="B537" s="1">
        <v>1100</v>
      </c>
      <c r="C537" s="1">
        <v>2200001473</v>
      </c>
      <c r="D537" s="1" t="s">
        <v>303</v>
      </c>
      <c r="E537" s="1">
        <f>IF(AND(B537&lt;&gt;1110,B537&lt;&gt;1210,B537&lt;&gt;1510,B537&lt;&gt;1710),B537,IF(B537=1110,"1100",IF(B537=1210,"1200",IF(B537=1510,"1500",IF(B537=1710,"1700","X")))))</f>
        <v>1100</v>
      </c>
      <c r="F537" s="1" t="s">
        <v>11198</v>
      </c>
      <c r="G537" s="1" t="s">
        <v>302</v>
      </c>
      <c r="H537" s="1">
        <f>ROUND(P537/(1-((R537+S537))/100)*Q537, 3)</f>
        <v>28.587</v>
      </c>
      <c r="I537" s="1">
        <v>0.45</v>
      </c>
      <c r="J537" s="1">
        <v>2</v>
      </c>
      <c r="K537" s="1">
        <v>1</v>
      </c>
      <c r="L537" s="1" t="s">
        <v>292</v>
      </c>
      <c r="M537" s="1">
        <v>1</v>
      </c>
      <c r="N537" s="1">
        <v>1</v>
      </c>
      <c r="O537" s="1" t="s">
        <v>296</v>
      </c>
      <c r="P537" s="1">
        <v>23.942</v>
      </c>
      <c r="Q537" s="1">
        <v>1</v>
      </c>
      <c r="R537" s="1">
        <v>7</v>
      </c>
      <c r="S537" s="1">
        <v>9.25</v>
      </c>
      <c r="T537" s="1">
        <v>0</v>
      </c>
      <c r="V537" s="1" t="s">
        <v>11223</v>
      </c>
      <c r="W537" s="1">
        <v>100</v>
      </c>
      <c r="X537" s="1" t="s">
        <v>319</v>
      </c>
      <c r="Y537" s="1" t="s">
        <v>299</v>
      </c>
      <c r="Z537" s="1">
        <v>1</v>
      </c>
      <c r="AA537" s="1">
        <f>ROUND(H537*I537*Z537, 3)</f>
        <v>12.864000000000001</v>
      </c>
      <c r="AB537" s="1">
        <f>ROUND(VLOOKUP(X537,'Base de dados'!A:B, 2, 0)*AA537, 2)</f>
        <v>1.29</v>
      </c>
      <c r="AC537" s="1">
        <f>ROUND((AA537*(Destino!AG537/100))*(W537/100),2)</f>
        <v>0.9</v>
      </c>
      <c r="AD537" s="1">
        <f>ROUND(AA537*(Destino!AH537/100),2)</f>
        <v>1.19</v>
      </c>
      <c r="AF537" s="1">
        <f>ROUND((AA537+ AB537)*(J537/100),2)</f>
        <v>0.28000000000000003</v>
      </c>
      <c r="AG537" s="1">
        <f>ROUND(AA537*T537,2)</f>
        <v>0</v>
      </c>
      <c r="AH537" s="1">
        <f>ROUND(AA537-(AC537+AD537)+AF537+AG537, 3)</f>
        <v>11.054</v>
      </c>
      <c r="AI537" s="1">
        <f>AH537*M537*K537</f>
        <v>11.054</v>
      </c>
      <c r="BA537" s="1" t="s">
        <v>11776</v>
      </c>
      <c r="BB537" s="1">
        <f>AI537</f>
        <v>11.054</v>
      </c>
      <c r="BD537" s="1">
        <f>N537</f>
        <v>1</v>
      </c>
    </row>
    <row r="538" spans="1:56" x14ac:dyDescent="0.25">
      <c r="A538" s="1">
        <v>600002894</v>
      </c>
      <c r="B538" s="1">
        <v>1110</v>
      </c>
      <c r="C538" s="1">
        <v>2200001473</v>
      </c>
      <c r="D538" s="1" t="s">
        <v>303</v>
      </c>
      <c r="E538" s="1" t="str">
        <f>IF(AND(B538&lt;&gt;1110,B538&lt;&gt;1210,B538&lt;&gt;1510,B538&lt;&gt;1710),B538,IF(B538=1110,"1100",IF(B538=1210,"1200",IF(B538=1510,"1500",IF(B538=1710,"1700","X")))))</f>
        <v>1100</v>
      </c>
      <c r="F538" s="1" t="s">
        <v>447</v>
      </c>
      <c r="G538" s="1" t="s">
        <v>302</v>
      </c>
      <c r="H538" s="1">
        <f>ROUND(P538/(1-((R538+S538))/100)*Q538, 3)</f>
        <v>28.587</v>
      </c>
      <c r="I538" s="1">
        <v>0.45</v>
      </c>
      <c r="J538" s="1">
        <v>4</v>
      </c>
      <c r="K538" s="1">
        <v>1</v>
      </c>
      <c r="L538" s="1" t="s">
        <v>292</v>
      </c>
      <c r="M538" s="1">
        <v>1</v>
      </c>
      <c r="N538" s="1">
        <v>0.753054</v>
      </c>
      <c r="O538" s="1" t="s">
        <v>296</v>
      </c>
      <c r="P538" s="1">
        <v>23.942</v>
      </c>
      <c r="Q538" s="1">
        <v>1</v>
      </c>
      <c r="R538" s="1">
        <v>7</v>
      </c>
      <c r="S538" s="1">
        <v>9.25</v>
      </c>
      <c r="T538" s="1">
        <v>0</v>
      </c>
      <c r="V538" s="1" t="s">
        <v>11223</v>
      </c>
      <c r="W538" s="1">
        <v>100</v>
      </c>
      <c r="X538" s="1" t="s">
        <v>319</v>
      </c>
      <c r="Y538" s="1" t="s">
        <v>299</v>
      </c>
      <c r="Z538" s="1">
        <v>1</v>
      </c>
      <c r="AA538" s="1">
        <f>ROUND(H538*I538*Z538, 3)</f>
        <v>12.864000000000001</v>
      </c>
      <c r="AB538" s="1">
        <f>ROUND(VLOOKUP(X538,'Base de dados'!A:B, 2, 0)*AA538, 2)</f>
        <v>1.29</v>
      </c>
      <c r="AC538" s="1">
        <f>ROUND((AA538*(Destino!AG538/100))*(W538/100),2)</f>
        <v>0.9</v>
      </c>
      <c r="AD538" s="1">
        <f>ROUND(AA538*(Destino!AH538/100),2)</f>
        <v>1.19</v>
      </c>
      <c r="AE538" s="1">
        <f>ROUND((((AA538+AB538)*1.5039)*(Destino!AI538/100))-AC538,2)</f>
        <v>2.72</v>
      </c>
      <c r="AF538" s="1">
        <f>ROUND((AA538+AB538+AE538)*(J538/100),2)</f>
        <v>0.67</v>
      </c>
      <c r="AG538" s="1">
        <f>ROUND(AA538*T538,2)</f>
        <v>0</v>
      </c>
      <c r="AH538" s="1">
        <f>ROUND(AA538-AD538+AE538+AF538+AG538, 3)</f>
        <v>15.064</v>
      </c>
      <c r="AI538" s="1">
        <f>AH538*M538*K538</f>
        <v>15.064</v>
      </c>
      <c r="BA538" s="1" t="s">
        <v>11777</v>
      </c>
      <c r="BB538" s="1">
        <f>AI538</f>
        <v>15.064</v>
      </c>
      <c r="BD538" s="1">
        <f>N538</f>
        <v>0.753054</v>
      </c>
    </row>
    <row r="539" spans="1:56" x14ac:dyDescent="0.25">
      <c r="A539" s="1">
        <v>600002894</v>
      </c>
      <c r="B539" s="1">
        <v>1400</v>
      </c>
      <c r="C539" s="1">
        <v>2200001473</v>
      </c>
      <c r="D539" s="1" t="s">
        <v>303</v>
      </c>
      <c r="E539" s="1">
        <f>IF(AND(B539&lt;&gt;1110,B539&lt;&gt;1210,B539&lt;&gt;1510,B539&lt;&gt;1710),B539,IF(B539=1110,"1100",IF(B539=1210,"1200",IF(B539=1510,"1500",IF(B539=1710,"1700","X")))))</f>
        <v>1400</v>
      </c>
      <c r="F539" s="1" t="s">
        <v>11198</v>
      </c>
      <c r="G539" s="1" t="s">
        <v>302</v>
      </c>
      <c r="H539" s="1">
        <f>ROUND(P539/(1-((R539+S539))/100)*Q539, 3)</f>
        <v>32.909999999999997</v>
      </c>
      <c r="I539" s="1">
        <v>0.45</v>
      </c>
      <c r="J539" s="1">
        <v>1.5</v>
      </c>
      <c r="K539" s="1">
        <v>1</v>
      </c>
      <c r="L539" s="1" t="s">
        <v>292</v>
      </c>
      <c r="M539" s="1">
        <v>1</v>
      </c>
      <c r="N539" s="1">
        <v>1</v>
      </c>
      <c r="O539" s="1" t="s">
        <v>296</v>
      </c>
      <c r="P539" s="1">
        <v>23.942</v>
      </c>
      <c r="Q539" s="1">
        <v>1</v>
      </c>
      <c r="R539" s="1">
        <v>18</v>
      </c>
      <c r="S539" s="1">
        <v>9.25</v>
      </c>
      <c r="T539" s="1">
        <v>0</v>
      </c>
      <c r="V539" s="1" t="s">
        <v>11223</v>
      </c>
      <c r="W539" s="1">
        <v>100</v>
      </c>
      <c r="X539" s="1" t="s">
        <v>319</v>
      </c>
      <c r="Y539" s="1" t="s">
        <v>299</v>
      </c>
      <c r="Z539" s="1">
        <v>1</v>
      </c>
      <c r="AA539" s="1">
        <f>ROUND(H539*I539*Z539, 3)</f>
        <v>14.81</v>
      </c>
      <c r="AB539" s="1">
        <f>ROUND(VLOOKUP(X539,'Base de dados'!A:B, 2, 0)*AA539, 2)</f>
        <v>1.48</v>
      </c>
      <c r="AC539" s="1">
        <f>ROUND((AA539*(Destino!AG539/100))*(W539/100),2)</f>
        <v>2.67</v>
      </c>
      <c r="AD539" s="1">
        <f>ROUND(AA539*(Destino!AH539/100),2)</f>
        <v>1.37</v>
      </c>
      <c r="AF539" s="1">
        <f>ROUND((AA539+ AB539)*(J539/100),2)</f>
        <v>0.24</v>
      </c>
      <c r="AG539" s="1">
        <f>ROUND(AA539*T539,2)</f>
        <v>0</v>
      </c>
      <c r="AH539" s="1">
        <f>ROUND(AA539-(AC539+AD539)+AF539+AG539, 3)</f>
        <v>11.01</v>
      </c>
      <c r="AI539" s="1">
        <f>AH539*M539*K539</f>
        <v>11.01</v>
      </c>
      <c r="BA539" s="1" t="s">
        <v>11461</v>
      </c>
      <c r="BB539" s="1">
        <f>AI539</f>
        <v>11.01</v>
      </c>
      <c r="BD539" s="1">
        <f>N539</f>
        <v>1</v>
      </c>
    </row>
    <row r="540" spans="1:56" x14ac:dyDescent="0.25">
      <c r="A540" s="1">
        <v>600002894</v>
      </c>
      <c r="B540" s="1">
        <v>1700</v>
      </c>
      <c r="C540" s="1">
        <v>2200001421</v>
      </c>
      <c r="D540" s="1" t="s">
        <v>303</v>
      </c>
      <c r="E540" s="1">
        <f>IF(AND(B540&lt;&gt;1110,B540&lt;&gt;1210,B540&lt;&gt;1510,B540&lt;&gt;1710),B540,IF(B540=1110,"1100",IF(B540=1210,"1200",IF(B540=1510,"1500",IF(B540=1710,"1700","X")))))</f>
        <v>1700</v>
      </c>
      <c r="F540" s="1" t="s">
        <v>11238</v>
      </c>
      <c r="G540" s="1" t="s">
        <v>302</v>
      </c>
      <c r="H540" s="1">
        <f>ROUND(P540/(1-((R540+S540))/100)*Q540, 3)</f>
        <v>13.146000000000001</v>
      </c>
      <c r="I540" s="1">
        <v>0.25</v>
      </c>
      <c r="J540" s="1">
        <v>3</v>
      </c>
      <c r="K540" s="1">
        <v>1</v>
      </c>
      <c r="L540" s="1" t="s">
        <v>292</v>
      </c>
      <c r="M540" s="1">
        <v>4</v>
      </c>
      <c r="N540" s="1">
        <v>1</v>
      </c>
      <c r="O540" s="1" t="s">
        <v>296</v>
      </c>
      <c r="P540" s="1">
        <f>IFERROR(VLOOKUP(BC540, BA:BA:BB:BB, 2, 0),)</f>
        <v>11.01</v>
      </c>
      <c r="Q540" s="1">
        <f>IFERROR(VLOOKUP(BC540, BA:BA:BD:BD, 4, 0),1)</f>
        <v>1</v>
      </c>
      <c r="R540" s="1">
        <v>7</v>
      </c>
      <c r="S540" s="1">
        <v>9.25</v>
      </c>
      <c r="T540" s="1">
        <v>0</v>
      </c>
      <c r="V540" s="1" t="s">
        <v>11223</v>
      </c>
      <c r="W540" s="1">
        <v>100</v>
      </c>
      <c r="X540" s="1" t="s">
        <v>319</v>
      </c>
      <c r="Y540" s="1" t="s">
        <v>299</v>
      </c>
      <c r="Z540" s="1">
        <v>1</v>
      </c>
      <c r="AA540" s="1">
        <f>ROUND(H540*I540*Z540, 3)</f>
        <v>3.2869999999999999</v>
      </c>
      <c r="AB540" s="1">
        <f>ROUND(VLOOKUP(X540,'Base de dados'!A:B, 2, 0)*AA540, 2)</f>
        <v>0.33</v>
      </c>
      <c r="AC540" s="1">
        <f>ROUND((AA540*(Destino!AG540/100))*(W540/100),2)</f>
        <v>0.23</v>
      </c>
      <c r="AD540" s="1">
        <f>ROUND(AA540*(Destino!AH540/100),2)</f>
        <v>0</v>
      </c>
      <c r="AE540" s="1">
        <f>ROUND((((AA540+AB540)*1.48)*(Destino!AI540/100))-AC540,2)</f>
        <v>0.68</v>
      </c>
      <c r="AF540" s="1">
        <f>ROUND((AA540+AB540+AE540)*(J540/100),2)</f>
        <v>0.13</v>
      </c>
      <c r="AG540" s="1">
        <f>ROUND(AA540*T540,2)</f>
        <v>0</v>
      </c>
      <c r="AH540" s="1">
        <f>ROUND(AA540+AB540-AD540+AE540+AF540+AG540, 3)</f>
        <v>4.4269999999999996</v>
      </c>
      <c r="AI540" s="1">
        <f>AH540*M540*K540</f>
        <v>17.707999999999998</v>
      </c>
      <c r="BA540" s="1" t="s">
        <v>11349</v>
      </c>
      <c r="BB540" s="1">
        <f>AI540</f>
        <v>17.707999999999998</v>
      </c>
      <c r="BC540" s="1" t="s">
        <v>11461</v>
      </c>
      <c r="BD540" s="1">
        <f>N540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514C-C726-4277-9702-FFAADFB70488}">
  <sheetPr codeName="Planilha11"/>
  <dimension ref="A1:AW540"/>
  <sheetViews>
    <sheetView workbookViewId="0">
      <selection activeCell="K1" sqref="A1:XFD540"/>
    </sheetView>
  </sheetViews>
  <sheetFormatPr defaultRowHeight="15" x14ac:dyDescent="0.25"/>
  <sheetData>
    <row r="1" spans="1:49" s="4" customFormat="1" ht="75" x14ac:dyDescent="0.25">
      <c r="A1" s="2" t="s">
        <v>245</v>
      </c>
      <c r="B1" s="3" t="s">
        <v>247</v>
      </c>
      <c r="C1" s="2" t="s">
        <v>248</v>
      </c>
      <c r="D1" s="2" t="s">
        <v>249</v>
      </c>
      <c r="E1" s="2"/>
      <c r="F1" s="2" t="s">
        <v>250</v>
      </c>
      <c r="G1" s="2" t="s">
        <v>251</v>
      </c>
      <c r="H1" s="2"/>
      <c r="I1" s="3" t="s">
        <v>252</v>
      </c>
      <c r="J1" s="3" t="s">
        <v>253</v>
      </c>
      <c r="K1" s="2" t="s">
        <v>254</v>
      </c>
      <c r="L1" s="3" t="s">
        <v>255</v>
      </c>
      <c r="M1" s="3" t="s">
        <v>256</v>
      </c>
      <c r="N1" s="3" t="s">
        <v>257</v>
      </c>
      <c r="O1" s="3" t="s">
        <v>258</v>
      </c>
      <c r="P1" s="3" t="s">
        <v>259</v>
      </c>
      <c r="Q1" s="3" t="s">
        <v>260</v>
      </c>
      <c r="R1" s="3" t="s">
        <v>261</v>
      </c>
      <c r="S1" s="2" t="s">
        <v>262</v>
      </c>
      <c r="T1" s="2" t="s">
        <v>263</v>
      </c>
      <c r="U1" s="2" t="s">
        <v>264</v>
      </c>
      <c r="V1" s="2" t="s">
        <v>265</v>
      </c>
      <c r="W1" s="2" t="s">
        <v>266</v>
      </c>
      <c r="X1" s="2" t="s">
        <v>267</v>
      </c>
      <c r="Y1" s="2" t="s">
        <v>268</v>
      </c>
      <c r="Z1" s="3" t="s">
        <v>269</v>
      </c>
      <c r="AA1" s="3" t="s">
        <v>270</v>
      </c>
      <c r="AB1" s="2" t="s">
        <v>271</v>
      </c>
      <c r="AC1" s="3" t="s">
        <v>272</v>
      </c>
      <c r="AD1" s="3" t="s">
        <v>273</v>
      </c>
      <c r="AE1" s="2" t="s">
        <v>274</v>
      </c>
      <c r="AF1" s="2" t="s">
        <v>275</v>
      </c>
      <c r="AG1" s="2" t="s">
        <v>276</v>
      </c>
      <c r="AH1" s="2" t="s">
        <v>277</v>
      </c>
      <c r="AI1" s="2" t="s">
        <v>278</v>
      </c>
      <c r="AJ1" s="3" t="s">
        <v>279</v>
      </c>
      <c r="AK1" s="2" t="s">
        <v>280</v>
      </c>
      <c r="AL1" s="2" t="s">
        <v>281</v>
      </c>
      <c r="AM1" s="2" t="s">
        <v>282</v>
      </c>
      <c r="AN1" s="3" t="s">
        <v>283</v>
      </c>
      <c r="AO1" s="2" t="s">
        <v>284</v>
      </c>
      <c r="AP1" s="2" t="s">
        <v>285</v>
      </c>
      <c r="AQ1" s="2" t="s">
        <v>286</v>
      </c>
      <c r="AR1" s="2" t="s">
        <v>287</v>
      </c>
      <c r="AS1" s="3" t="s">
        <v>288</v>
      </c>
      <c r="AT1" s="2" t="s">
        <v>289</v>
      </c>
      <c r="AU1" s="2" t="s">
        <v>290</v>
      </c>
      <c r="AV1" s="2" t="s">
        <v>291</v>
      </c>
      <c r="AW1" s="2" t="s">
        <v>246</v>
      </c>
    </row>
    <row r="2" spans="1:49" s="4" customFormat="1" x14ac:dyDescent="0.25">
      <c r="A2" s="4">
        <v>1000</v>
      </c>
      <c r="B2" s="4" t="s">
        <v>293</v>
      </c>
      <c r="C2" s="4" t="s">
        <v>294</v>
      </c>
      <c r="D2" s="4" t="s">
        <v>295</v>
      </c>
      <c r="F2" s="4" t="s">
        <v>11462</v>
      </c>
      <c r="G2" s="4" t="s">
        <v>11463</v>
      </c>
      <c r="I2" s="4" t="s">
        <v>296</v>
      </c>
      <c r="J2" s="4" t="s">
        <v>297</v>
      </c>
      <c r="K2" s="4" t="s">
        <v>298</v>
      </c>
      <c r="L2" s="4" t="s">
        <v>299</v>
      </c>
      <c r="M2" s="4" t="s">
        <v>300</v>
      </c>
      <c r="N2" s="4" t="s">
        <v>11198</v>
      </c>
      <c r="O2" s="5">
        <v>120.911</v>
      </c>
      <c r="P2" s="6">
        <v>1</v>
      </c>
      <c r="Q2" s="7">
        <v>9.25</v>
      </c>
      <c r="R2" s="7">
        <v>12</v>
      </c>
      <c r="S2" s="4" t="s">
        <v>301</v>
      </c>
      <c r="T2" s="4" t="s">
        <v>11464</v>
      </c>
      <c r="U2" s="5">
        <v>153.53800000000001</v>
      </c>
      <c r="V2" s="6">
        <v>0.45</v>
      </c>
      <c r="W2" s="7">
        <v>1.5</v>
      </c>
      <c r="X2" s="5">
        <v>55.552</v>
      </c>
      <c r="Y2" s="4" t="s">
        <v>292</v>
      </c>
      <c r="Z2" s="6">
        <v>1</v>
      </c>
      <c r="AA2" s="6">
        <v>1</v>
      </c>
      <c r="AB2" s="5">
        <v>55.552</v>
      </c>
      <c r="AC2" s="6">
        <v>1</v>
      </c>
      <c r="AD2" s="6">
        <v>1</v>
      </c>
      <c r="AE2" s="5">
        <v>55.552</v>
      </c>
      <c r="AF2" s="7">
        <v>10</v>
      </c>
      <c r="AG2" s="7">
        <v>12</v>
      </c>
      <c r="AH2" s="7">
        <v>9.25</v>
      </c>
      <c r="AI2" s="7">
        <v>0</v>
      </c>
      <c r="AJ2" s="7">
        <v>0</v>
      </c>
      <c r="AK2" s="8">
        <v>44115.504224537035</v>
      </c>
      <c r="AL2" s="7">
        <v>6.91</v>
      </c>
      <c r="AM2" s="7">
        <v>100</v>
      </c>
      <c r="AN2" s="7">
        <v>0</v>
      </c>
      <c r="AO2" s="7">
        <v>8.2899999999999991</v>
      </c>
      <c r="AP2" s="7">
        <v>6.39</v>
      </c>
      <c r="AQ2" s="7">
        <v>0</v>
      </c>
      <c r="AR2" s="7">
        <v>1.1399999999999999</v>
      </c>
      <c r="AS2" s="4" t="s">
        <v>303</v>
      </c>
      <c r="AT2" s="7">
        <v>0</v>
      </c>
      <c r="AU2" s="4" t="s">
        <v>304</v>
      </c>
      <c r="AV2" s="4" t="s">
        <v>305</v>
      </c>
      <c r="AW2" s="4" t="s">
        <v>292</v>
      </c>
    </row>
    <row r="3" spans="1:49" s="4" customFormat="1" x14ac:dyDescent="0.25">
      <c r="A3" s="4" t="s">
        <v>11199</v>
      </c>
      <c r="B3" s="4" t="s">
        <v>293</v>
      </c>
      <c r="C3" s="4" t="s">
        <v>294</v>
      </c>
      <c r="D3" s="4" t="s">
        <v>295</v>
      </c>
      <c r="F3" s="4" t="s">
        <v>11462</v>
      </c>
      <c r="G3" s="4" t="s">
        <v>11463</v>
      </c>
      <c r="I3" s="4" t="s">
        <v>296</v>
      </c>
      <c r="J3" s="4" t="s">
        <v>297</v>
      </c>
      <c r="K3" s="4" t="s">
        <v>298</v>
      </c>
      <c r="L3" s="4" t="s">
        <v>299</v>
      </c>
      <c r="M3" s="4" t="s">
        <v>300</v>
      </c>
      <c r="N3" s="4" t="s">
        <v>11198</v>
      </c>
      <c r="O3" s="5">
        <v>120.911</v>
      </c>
      <c r="P3" s="6">
        <v>1</v>
      </c>
      <c r="Q3" s="7">
        <v>9.25</v>
      </c>
      <c r="R3" s="7">
        <v>7</v>
      </c>
      <c r="S3" s="4" t="s">
        <v>301</v>
      </c>
      <c r="T3" s="4" t="s">
        <v>11464</v>
      </c>
      <c r="U3" s="5">
        <v>144.37100000000001</v>
      </c>
      <c r="V3" s="6">
        <v>0.45</v>
      </c>
      <c r="W3" s="7">
        <v>2</v>
      </c>
      <c r="X3" s="5">
        <v>55.837000000000003</v>
      </c>
      <c r="Y3" s="4" t="s">
        <v>292</v>
      </c>
      <c r="Z3" s="6">
        <v>1</v>
      </c>
      <c r="AA3" s="6">
        <v>1</v>
      </c>
      <c r="AB3" s="5">
        <v>55.837000000000003</v>
      </c>
      <c r="AC3" s="6">
        <v>1</v>
      </c>
      <c r="AD3" s="6">
        <v>1</v>
      </c>
      <c r="AE3" s="5">
        <v>55.837000000000003</v>
      </c>
      <c r="AF3" s="7">
        <v>10</v>
      </c>
      <c r="AG3" s="7">
        <v>7</v>
      </c>
      <c r="AH3" s="7">
        <v>9.25</v>
      </c>
      <c r="AI3" s="7">
        <v>0</v>
      </c>
      <c r="AJ3" s="7">
        <v>0</v>
      </c>
      <c r="AK3" s="8">
        <v>44115.501655092594</v>
      </c>
      <c r="AL3" s="7">
        <v>6.5</v>
      </c>
      <c r="AM3" s="7">
        <v>100</v>
      </c>
      <c r="AN3" s="7">
        <v>0</v>
      </c>
      <c r="AO3" s="7">
        <v>4.55</v>
      </c>
      <c r="AP3" s="7">
        <v>6.01</v>
      </c>
      <c r="AQ3" s="7">
        <v>0</v>
      </c>
      <c r="AR3" s="7">
        <v>1.43</v>
      </c>
      <c r="AS3" s="4" t="s">
        <v>303</v>
      </c>
      <c r="AT3" s="7">
        <v>0</v>
      </c>
      <c r="AU3" s="4" t="s">
        <v>304</v>
      </c>
      <c r="AV3" s="4" t="s">
        <v>305</v>
      </c>
      <c r="AW3" s="4" t="s">
        <v>292</v>
      </c>
    </row>
    <row r="4" spans="1:49" s="4" customFormat="1" x14ac:dyDescent="0.25">
      <c r="A4" s="4" t="s">
        <v>395</v>
      </c>
      <c r="B4" s="4" t="s">
        <v>293</v>
      </c>
      <c r="C4" s="4" t="s">
        <v>294</v>
      </c>
      <c r="D4" s="4" t="s">
        <v>295</v>
      </c>
      <c r="F4" s="4" t="s">
        <v>11462</v>
      </c>
      <c r="G4" s="4" t="s">
        <v>11463</v>
      </c>
      <c r="I4" s="4" t="s">
        <v>296</v>
      </c>
      <c r="J4" s="4" t="s">
        <v>297</v>
      </c>
      <c r="K4" s="4" t="s">
        <v>298</v>
      </c>
      <c r="L4" s="4" t="s">
        <v>299</v>
      </c>
      <c r="M4" s="4" t="s">
        <v>300</v>
      </c>
      <c r="N4" s="4" t="s">
        <v>447</v>
      </c>
      <c r="O4" s="5">
        <v>120.911</v>
      </c>
      <c r="P4" s="6">
        <v>1</v>
      </c>
      <c r="Q4" s="7">
        <v>9.25</v>
      </c>
      <c r="R4" s="7">
        <v>7</v>
      </c>
      <c r="S4" s="4" t="s">
        <v>301</v>
      </c>
      <c r="T4" s="4" t="s">
        <v>11464</v>
      </c>
      <c r="U4" s="5">
        <v>144.37100000000001</v>
      </c>
      <c r="V4" s="6">
        <v>0.45</v>
      </c>
      <c r="W4" s="7">
        <v>4</v>
      </c>
      <c r="X4" s="5">
        <v>76.087000000000003</v>
      </c>
      <c r="Y4" s="4" t="s">
        <v>292</v>
      </c>
      <c r="Z4" s="6">
        <v>1</v>
      </c>
      <c r="AA4" s="6">
        <v>0.75265199999999999</v>
      </c>
      <c r="AB4" s="5">
        <v>76.087000000000003</v>
      </c>
      <c r="AC4" s="6">
        <v>1</v>
      </c>
      <c r="AD4" s="6">
        <v>0.75265199999999999</v>
      </c>
      <c r="AE4" s="5">
        <v>76.087000000000003</v>
      </c>
      <c r="AF4" s="7">
        <v>10</v>
      </c>
      <c r="AG4" s="7">
        <v>7</v>
      </c>
      <c r="AH4" s="7">
        <v>9.25</v>
      </c>
      <c r="AI4" s="7">
        <v>17</v>
      </c>
      <c r="AJ4" s="7">
        <v>0</v>
      </c>
      <c r="AK4" s="8">
        <v>44115.501655092594</v>
      </c>
      <c r="AL4" s="7">
        <v>6.5</v>
      </c>
      <c r="AM4" s="7">
        <v>100</v>
      </c>
      <c r="AN4" s="7">
        <v>0</v>
      </c>
      <c r="AO4" s="7">
        <v>4.55</v>
      </c>
      <c r="AP4" s="7">
        <v>6.01</v>
      </c>
      <c r="AQ4" s="7">
        <v>13.72</v>
      </c>
      <c r="AR4" s="7">
        <v>3.41</v>
      </c>
      <c r="AS4" s="4" t="s">
        <v>303</v>
      </c>
      <c r="AT4" s="7">
        <v>0</v>
      </c>
      <c r="AU4" s="4" t="s">
        <v>304</v>
      </c>
      <c r="AV4" s="4" t="s">
        <v>305</v>
      </c>
      <c r="AW4" s="4" t="s">
        <v>292</v>
      </c>
    </row>
    <row r="5" spans="1:49" s="4" customFormat="1" x14ac:dyDescent="0.25">
      <c r="A5" s="4" t="s">
        <v>11200</v>
      </c>
      <c r="B5" s="4" t="s">
        <v>293</v>
      </c>
      <c r="C5" s="4" t="s">
        <v>294</v>
      </c>
      <c r="D5" s="4" t="s">
        <v>295</v>
      </c>
      <c r="F5" s="4" t="s">
        <v>11462</v>
      </c>
      <c r="G5" s="4" t="s">
        <v>11463</v>
      </c>
      <c r="I5" s="4" t="s">
        <v>296</v>
      </c>
      <c r="J5" s="4" t="s">
        <v>297</v>
      </c>
      <c r="K5" t="s">
        <v>5</v>
      </c>
      <c r="L5" s="4" t="s">
        <v>299</v>
      </c>
      <c r="M5" s="4" t="s">
        <v>300</v>
      </c>
      <c r="N5" s="4" t="s">
        <v>11198</v>
      </c>
      <c r="O5" s="5">
        <v>120.911</v>
      </c>
      <c r="P5" s="6">
        <v>1</v>
      </c>
      <c r="Q5" s="7">
        <v>9.25</v>
      </c>
      <c r="R5" s="7">
        <v>18</v>
      </c>
      <c r="S5" s="4" t="s">
        <v>301</v>
      </c>
      <c r="T5" s="4" t="s">
        <v>11464</v>
      </c>
      <c r="U5" s="5">
        <v>166.20099999999999</v>
      </c>
      <c r="V5" s="6">
        <v>0.45</v>
      </c>
      <c r="W5" s="7">
        <v>1.5</v>
      </c>
      <c r="X5" s="5">
        <v>55.65</v>
      </c>
      <c r="Y5" s="4" t="s">
        <v>292</v>
      </c>
      <c r="Z5" s="6">
        <v>1</v>
      </c>
      <c r="AA5" s="6">
        <v>1</v>
      </c>
      <c r="AB5" s="5">
        <v>55.65</v>
      </c>
      <c r="AC5" s="6">
        <v>1</v>
      </c>
      <c r="AD5" s="6">
        <v>1</v>
      </c>
      <c r="AE5" s="5">
        <v>55.65</v>
      </c>
      <c r="AF5" s="7">
        <v>10</v>
      </c>
      <c r="AG5" s="7">
        <v>18</v>
      </c>
      <c r="AH5" s="7">
        <v>9.25</v>
      </c>
      <c r="AI5" s="7">
        <v>0</v>
      </c>
      <c r="AJ5" s="7">
        <v>0</v>
      </c>
      <c r="AK5" s="8">
        <v>44115.500543981485</v>
      </c>
      <c r="AL5" s="7">
        <v>7.48</v>
      </c>
      <c r="AM5" s="7">
        <v>100</v>
      </c>
      <c r="AN5" s="7">
        <v>0</v>
      </c>
      <c r="AO5" s="7">
        <v>13.46</v>
      </c>
      <c r="AP5" s="7">
        <v>6.91</v>
      </c>
      <c r="AQ5" s="7">
        <v>0</v>
      </c>
      <c r="AR5" s="7">
        <v>1.23</v>
      </c>
      <c r="AS5" s="4" t="s">
        <v>303</v>
      </c>
      <c r="AT5" s="7">
        <v>0</v>
      </c>
      <c r="AU5" s="4" t="s">
        <v>304</v>
      </c>
      <c r="AV5" s="4" t="s">
        <v>305</v>
      </c>
      <c r="AW5" s="4" t="s">
        <v>292</v>
      </c>
    </row>
    <row r="6" spans="1:49" s="4" customFormat="1" x14ac:dyDescent="0.25">
      <c r="A6" s="4" t="s">
        <v>11207</v>
      </c>
      <c r="B6" s="4" t="s">
        <v>293</v>
      </c>
      <c r="C6" s="4" t="s">
        <v>294</v>
      </c>
      <c r="D6" s="4" t="s">
        <v>295</v>
      </c>
      <c r="F6" s="4" t="s">
        <v>11236</v>
      </c>
      <c r="G6" s="4" t="s">
        <v>11237</v>
      </c>
      <c r="I6" s="4" t="s">
        <v>296</v>
      </c>
      <c r="J6" s="4" t="s">
        <v>297</v>
      </c>
      <c r="K6" s="4" t="s">
        <v>298</v>
      </c>
      <c r="L6" s="4" t="s">
        <v>299</v>
      </c>
      <c r="M6" s="4" t="s">
        <v>300</v>
      </c>
      <c r="N6" s="4" t="s">
        <v>11238</v>
      </c>
      <c r="O6" s="5">
        <v>55.65</v>
      </c>
      <c r="P6" s="6">
        <v>1</v>
      </c>
      <c r="Q6" s="7">
        <v>9.25</v>
      </c>
      <c r="R6" s="7">
        <v>7</v>
      </c>
      <c r="S6" s="4" t="s">
        <v>301</v>
      </c>
      <c r="T6" s="4" t="s">
        <v>302</v>
      </c>
      <c r="U6" s="5">
        <v>66.447999999999993</v>
      </c>
      <c r="V6" s="6">
        <v>0.25</v>
      </c>
      <c r="W6" s="7">
        <v>3</v>
      </c>
      <c r="X6" s="5">
        <v>22.352</v>
      </c>
      <c r="Y6" s="4" t="s">
        <v>292</v>
      </c>
      <c r="Z6" s="6">
        <v>4</v>
      </c>
      <c r="AA6" s="6">
        <v>1</v>
      </c>
      <c r="AB6" s="5">
        <v>89.408000000000001</v>
      </c>
      <c r="AC6" s="6">
        <v>1</v>
      </c>
      <c r="AD6" s="6">
        <v>1</v>
      </c>
      <c r="AE6" s="5">
        <v>89.408000000000001</v>
      </c>
      <c r="AF6" s="5">
        <v>89.408000000000001</v>
      </c>
      <c r="AG6" s="7">
        <v>7</v>
      </c>
      <c r="AH6" s="7">
        <v>0</v>
      </c>
      <c r="AI6" s="7">
        <v>17</v>
      </c>
      <c r="AJ6" s="7">
        <v>0</v>
      </c>
      <c r="AK6" s="8">
        <v>44115.521863425929</v>
      </c>
      <c r="AL6" s="7">
        <v>1.66</v>
      </c>
      <c r="AM6" s="7">
        <v>100</v>
      </c>
      <c r="AN6" s="7">
        <v>0</v>
      </c>
      <c r="AO6" s="7">
        <v>1.1599999999999999</v>
      </c>
      <c r="AP6" s="7">
        <v>0</v>
      </c>
      <c r="AQ6" s="7">
        <v>3.43</v>
      </c>
      <c r="AR6" s="7">
        <v>0.65</v>
      </c>
      <c r="AS6" s="4" t="s">
        <v>303</v>
      </c>
      <c r="AT6" s="7">
        <v>0</v>
      </c>
      <c r="AU6" s="4" t="s">
        <v>304</v>
      </c>
      <c r="AV6" s="4" t="s">
        <v>305</v>
      </c>
    </row>
    <row r="7" spans="1:49" s="4" customFormat="1" x14ac:dyDescent="0.25">
      <c r="A7" s="4" t="s">
        <v>11201</v>
      </c>
      <c r="B7" s="4" t="s">
        <v>293</v>
      </c>
      <c r="C7" s="4" t="s">
        <v>306</v>
      </c>
      <c r="D7" s="4" t="s">
        <v>307</v>
      </c>
      <c r="F7" s="4" t="s">
        <v>11236</v>
      </c>
      <c r="G7" s="4" t="s">
        <v>11237</v>
      </c>
      <c r="I7" s="4" t="s">
        <v>292</v>
      </c>
      <c r="J7" s="4" t="s">
        <v>297</v>
      </c>
      <c r="K7" s="4" t="s">
        <v>113</v>
      </c>
      <c r="L7" s="4" t="s">
        <v>299</v>
      </c>
      <c r="M7" s="4" t="s">
        <v>300</v>
      </c>
      <c r="N7" s="4" t="s">
        <v>11198</v>
      </c>
      <c r="O7" s="5">
        <v>41.640999999999998</v>
      </c>
      <c r="P7" s="6">
        <v>1</v>
      </c>
      <c r="Q7" s="7">
        <v>9.25</v>
      </c>
      <c r="R7" s="7">
        <v>12</v>
      </c>
      <c r="S7" s="4" t="s">
        <v>301</v>
      </c>
      <c r="T7" s="4" t="s">
        <v>302</v>
      </c>
      <c r="U7" s="5">
        <v>52.877000000000002</v>
      </c>
      <c r="V7" s="6">
        <v>1</v>
      </c>
      <c r="W7" s="7">
        <v>4</v>
      </c>
      <c r="X7" s="5">
        <v>43.966999999999999</v>
      </c>
      <c r="Y7" s="4" t="s">
        <v>292</v>
      </c>
      <c r="Z7" s="6">
        <v>1</v>
      </c>
      <c r="AA7" s="6">
        <v>1</v>
      </c>
      <c r="AB7" s="5">
        <v>43.966999999999999</v>
      </c>
      <c r="AC7" s="6">
        <v>1</v>
      </c>
      <c r="AD7" s="6">
        <v>1</v>
      </c>
      <c r="AE7" s="5">
        <v>43.966999999999999</v>
      </c>
      <c r="AF7" s="5">
        <v>43.966999999999999</v>
      </c>
      <c r="AG7" s="7">
        <v>12</v>
      </c>
      <c r="AH7" s="7">
        <v>9.25</v>
      </c>
      <c r="AI7" s="7">
        <v>0</v>
      </c>
      <c r="AJ7" s="7">
        <v>0</v>
      </c>
      <c r="AK7" s="8">
        <v>44115.001238425924</v>
      </c>
      <c r="AL7" s="7">
        <v>5.29</v>
      </c>
      <c r="AM7" s="7">
        <v>100</v>
      </c>
      <c r="AN7" s="7">
        <v>0</v>
      </c>
      <c r="AO7" s="7">
        <v>6.35</v>
      </c>
      <c r="AP7" s="7">
        <v>4.8899999999999997</v>
      </c>
      <c r="AQ7" s="7">
        <v>0</v>
      </c>
      <c r="AR7" s="7">
        <v>2.33</v>
      </c>
      <c r="AS7" s="4" t="s">
        <v>303</v>
      </c>
      <c r="AT7" s="7">
        <v>0</v>
      </c>
      <c r="AU7" s="4" t="s">
        <v>308</v>
      </c>
      <c r="AV7" s="4" t="s">
        <v>305</v>
      </c>
    </row>
    <row r="8" spans="1:49" s="4" customFormat="1" x14ac:dyDescent="0.25">
      <c r="A8" s="4" t="s">
        <v>11201</v>
      </c>
      <c r="B8" s="4" t="s">
        <v>293</v>
      </c>
      <c r="C8" s="4" t="s">
        <v>306</v>
      </c>
      <c r="D8" s="4" t="s">
        <v>307</v>
      </c>
      <c r="F8" s="4" t="s">
        <v>11462</v>
      </c>
      <c r="G8" s="4" t="s">
        <v>11463</v>
      </c>
      <c r="I8" s="4" t="s">
        <v>296</v>
      </c>
      <c r="J8" s="4" t="s">
        <v>297</v>
      </c>
      <c r="K8" t="s">
        <v>7</v>
      </c>
      <c r="L8" s="4" t="s">
        <v>299</v>
      </c>
      <c r="M8" s="4" t="s">
        <v>300</v>
      </c>
      <c r="N8" s="4" t="s">
        <v>11198</v>
      </c>
      <c r="O8" s="5">
        <v>90.486000000000004</v>
      </c>
      <c r="P8" s="6">
        <v>1</v>
      </c>
      <c r="Q8" s="7">
        <v>9.25</v>
      </c>
      <c r="R8" s="7">
        <v>12</v>
      </c>
      <c r="S8" s="4" t="s">
        <v>301</v>
      </c>
      <c r="T8" s="4" t="s">
        <v>302</v>
      </c>
      <c r="U8" s="5">
        <v>114.90300000000001</v>
      </c>
      <c r="V8" s="6">
        <v>0.45</v>
      </c>
      <c r="W8" s="7">
        <v>1.5</v>
      </c>
      <c r="X8" s="5">
        <v>41.566000000000003</v>
      </c>
      <c r="Y8" s="4" t="s">
        <v>292</v>
      </c>
      <c r="Z8" s="6">
        <v>1</v>
      </c>
      <c r="AA8" s="6">
        <v>1</v>
      </c>
      <c r="AB8" s="5">
        <v>41.566000000000003</v>
      </c>
      <c r="AC8" s="6">
        <v>1</v>
      </c>
      <c r="AD8" s="6">
        <v>1</v>
      </c>
      <c r="AE8" s="5">
        <v>41.566000000000003</v>
      </c>
      <c r="AF8" s="7">
        <v>10</v>
      </c>
      <c r="AG8" s="7">
        <v>12</v>
      </c>
      <c r="AH8" s="7">
        <v>9.25</v>
      </c>
      <c r="AI8" s="7">
        <v>0</v>
      </c>
      <c r="AJ8" s="7">
        <v>0</v>
      </c>
      <c r="AK8" s="8">
        <v>44115.504224537035</v>
      </c>
      <c r="AL8" s="7">
        <v>5.17</v>
      </c>
      <c r="AM8" s="7">
        <v>100</v>
      </c>
      <c r="AN8" s="7">
        <v>0</v>
      </c>
      <c r="AO8" s="7">
        <v>6.21</v>
      </c>
      <c r="AP8" s="7">
        <v>4.78</v>
      </c>
      <c r="AQ8" s="7">
        <v>0</v>
      </c>
      <c r="AR8" s="7">
        <v>0.85</v>
      </c>
      <c r="AS8" s="4" t="s">
        <v>303</v>
      </c>
      <c r="AT8" s="7">
        <v>0</v>
      </c>
      <c r="AU8" s="4" t="s">
        <v>308</v>
      </c>
      <c r="AV8" s="4" t="s">
        <v>305</v>
      </c>
      <c r="AW8" s="4" t="s">
        <v>292</v>
      </c>
    </row>
    <row r="9" spans="1:49" s="4" customFormat="1" x14ac:dyDescent="0.25">
      <c r="A9" s="4" t="s">
        <v>11199</v>
      </c>
      <c r="B9" s="4" t="s">
        <v>293</v>
      </c>
      <c r="C9" s="4" t="s">
        <v>306</v>
      </c>
      <c r="D9" s="4" t="s">
        <v>307</v>
      </c>
      <c r="F9" s="4" t="s">
        <v>11462</v>
      </c>
      <c r="G9" s="4" t="s">
        <v>11463</v>
      </c>
      <c r="I9" s="4" t="s">
        <v>296</v>
      </c>
      <c r="J9" s="4" t="s">
        <v>297</v>
      </c>
      <c r="K9" t="s">
        <v>8</v>
      </c>
      <c r="L9" s="4" t="s">
        <v>299</v>
      </c>
      <c r="M9" s="4" t="s">
        <v>300</v>
      </c>
      <c r="N9" s="4" t="s">
        <v>11198</v>
      </c>
      <c r="O9" s="5">
        <v>90.486000000000004</v>
      </c>
      <c r="P9" s="6">
        <v>1</v>
      </c>
      <c r="Q9" s="7">
        <v>9.25</v>
      </c>
      <c r="R9" s="7">
        <v>7</v>
      </c>
      <c r="S9" s="4" t="s">
        <v>301</v>
      </c>
      <c r="T9" s="4" t="s">
        <v>302</v>
      </c>
      <c r="U9" s="5">
        <v>108.04300000000001</v>
      </c>
      <c r="V9" s="6">
        <v>0.45</v>
      </c>
      <c r="W9" s="7">
        <v>2</v>
      </c>
      <c r="X9" s="5">
        <v>41.789000000000001</v>
      </c>
      <c r="Y9" s="4" t="s">
        <v>292</v>
      </c>
      <c r="Z9" s="6">
        <v>1</v>
      </c>
      <c r="AA9" s="6">
        <v>1</v>
      </c>
      <c r="AB9" s="5">
        <v>41.789000000000001</v>
      </c>
      <c r="AC9" s="6">
        <v>1</v>
      </c>
      <c r="AD9" s="6">
        <v>1</v>
      </c>
      <c r="AE9" s="5">
        <v>41.789000000000001</v>
      </c>
      <c r="AF9" s="7">
        <v>10</v>
      </c>
      <c r="AG9" s="7">
        <v>7</v>
      </c>
      <c r="AH9" s="7">
        <v>9.25</v>
      </c>
      <c r="AI9" s="7">
        <v>0</v>
      </c>
      <c r="AJ9" s="7">
        <v>0</v>
      </c>
      <c r="AK9" s="8">
        <v>44115.001550925925</v>
      </c>
      <c r="AL9" s="7">
        <v>4.8600000000000003</v>
      </c>
      <c r="AM9" s="7">
        <v>100</v>
      </c>
      <c r="AN9" s="7">
        <v>0</v>
      </c>
      <c r="AO9" s="7">
        <v>3.4</v>
      </c>
      <c r="AP9" s="7">
        <v>4.5</v>
      </c>
      <c r="AQ9" s="7">
        <v>0</v>
      </c>
      <c r="AR9" s="7">
        <v>1.07</v>
      </c>
      <c r="AS9" s="4" t="s">
        <v>303</v>
      </c>
      <c r="AT9" s="7">
        <v>0</v>
      </c>
      <c r="AU9" s="4" t="s">
        <v>308</v>
      </c>
      <c r="AV9" s="4" t="s">
        <v>305</v>
      </c>
      <c r="AW9" s="4" t="s">
        <v>296</v>
      </c>
    </row>
    <row r="10" spans="1:49" s="4" customFormat="1" x14ac:dyDescent="0.25">
      <c r="A10" s="4" t="s">
        <v>395</v>
      </c>
      <c r="B10" s="4" t="s">
        <v>293</v>
      </c>
      <c r="C10" s="4" t="s">
        <v>306</v>
      </c>
      <c r="D10" s="4" t="s">
        <v>307</v>
      </c>
      <c r="F10" s="4" t="s">
        <v>11462</v>
      </c>
      <c r="G10" s="4" t="s">
        <v>11463</v>
      </c>
      <c r="I10" s="4" t="s">
        <v>296</v>
      </c>
      <c r="J10" s="4" t="s">
        <v>297</v>
      </c>
      <c r="K10" t="s">
        <v>9</v>
      </c>
      <c r="L10" s="4" t="s">
        <v>299</v>
      </c>
      <c r="M10" s="4" t="s">
        <v>300</v>
      </c>
      <c r="N10" s="4" t="s">
        <v>447</v>
      </c>
      <c r="O10" s="5">
        <v>90.486000000000004</v>
      </c>
      <c r="P10" s="6">
        <v>1</v>
      </c>
      <c r="Q10" s="7">
        <v>9.25</v>
      </c>
      <c r="R10" s="7">
        <v>7</v>
      </c>
      <c r="S10" s="4" t="s">
        <v>301</v>
      </c>
      <c r="T10" s="4" t="s">
        <v>302</v>
      </c>
      <c r="U10" s="5">
        <v>108.04300000000001</v>
      </c>
      <c r="V10" s="6">
        <v>0.45</v>
      </c>
      <c r="W10" s="7">
        <v>7</v>
      </c>
      <c r="X10" s="5">
        <v>58.848999999999997</v>
      </c>
      <c r="Y10" s="4" t="s">
        <v>292</v>
      </c>
      <c r="Z10" s="6">
        <v>1</v>
      </c>
      <c r="AA10" s="6">
        <v>1</v>
      </c>
      <c r="AB10" s="5">
        <v>58.848999999999997</v>
      </c>
      <c r="AC10" s="6">
        <v>1</v>
      </c>
      <c r="AD10" s="6">
        <v>1</v>
      </c>
      <c r="AE10" s="5">
        <v>58.848999999999997</v>
      </c>
      <c r="AF10" s="7">
        <v>10</v>
      </c>
      <c r="AG10" s="7">
        <v>7</v>
      </c>
      <c r="AH10" s="7">
        <v>9.25</v>
      </c>
      <c r="AI10" s="7">
        <v>17</v>
      </c>
      <c r="AJ10" s="7">
        <v>0</v>
      </c>
      <c r="AK10" s="8">
        <v>44115.001550925925</v>
      </c>
      <c r="AL10" s="7">
        <v>4.8600000000000003</v>
      </c>
      <c r="AM10" s="7">
        <v>100</v>
      </c>
      <c r="AN10" s="7">
        <v>0</v>
      </c>
      <c r="AO10" s="7">
        <v>3.4</v>
      </c>
      <c r="AP10" s="7">
        <v>4.5</v>
      </c>
      <c r="AQ10" s="7">
        <v>10.27</v>
      </c>
      <c r="AR10" s="7">
        <v>4.46</v>
      </c>
      <c r="AS10" s="4" t="s">
        <v>303</v>
      </c>
      <c r="AT10" s="7">
        <v>0</v>
      </c>
      <c r="AU10" s="4" t="s">
        <v>308</v>
      </c>
      <c r="AV10" s="4" t="s">
        <v>305</v>
      </c>
      <c r="AW10" s="4" t="s">
        <v>296</v>
      </c>
    </row>
    <row r="11" spans="1:49" s="4" customFormat="1" x14ac:dyDescent="0.25">
      <c r="A11" s="4" t="s">
        <v>11200</v>
      </c>
      <c r="B11" s="4" t="s">
        <v>293</v>
      </c>
      <c r="C11" s="4" t="s">
        <v>306</v>
      </c>
      <c r="D11" s="4" t="s">
        <v>307</v>
      </c>
      <c r="F11" s="4" t="s">
        <v>11462</v>
      </c>
      <c r="G11" s="4" t="s">
        <v>11463</v>
      </c>
      <c r="I11" s="4" t="s">
        <v>296</v>
      </c>
      <c r="J11" s="4" t="s">
        <v>297</v>
      </c>
      <c r="K11" t="s">
        <v>11</v>
      </c>
      <c r="L11" s="4" t="s">
        <v>299</v>
      </c>
      <c r="M11" s="4" t="s">
        <v>300</v>
      </c>
      <c r="N11" s="4" t="s">
        <v>11198</v>
      </c>
      <c r="O11" s="5">
        <v>90.486000000000004</v>
      </c>
      <c r="P11" s="6">
        <v>1</v>
      </c>
      <c r="Q11" s="7">
        <v>9.25</v>
      </c>
      <c r="R11" s="7">
        <v>18</v>
      </c>
      <c r="S11" s="4" t="s">
        <v>301</v>
      </c>
      <c r="T11" s="4" t="s">
        <v>302</v>
      </c>
      <c r="U11" s="5">
        <v>124.379</v>
      </c>
      <c r="V11" s="6">
        <v>0.45</v>
      </c>
      <c r="W11" s="7">
        <v>1.5</v>
      </c>
      <c r="X11" s="5">
        <v>41.640999999999998</v>
      </c>
      <c r="Y11" s="4" t="s">
        <v>292</v>
      </c>
      <c r="Z11" s="6">
        <v>1</v>
      </c>
      <c r="AA11" s="6">
        <v>1</v>
      </c>
      <c r="AB11" s="5">
        <v>41.640999999999998</v>
      </c>
      <c r="AC11" s="6">
        <v>1</v>
      </c>
      <c r="AD11" s="6">
        <v>1</v>
      </c>
      <c r="AE11" s="5">
        <v>41.640999999999998</v>
      </c>
      <c r="AF11" s="7">
        <v>10</v>
      </c>
      <c r="AG11" s="7">
        <v>18</v>
      </c>
      <c r="AH11" s="7">
        <v>9.25</v>
      </c>
      <c r="AI11" s="7">
        <v>0</v>
      </c>
      <c r="AJ11" s="7">
        <v>0</v>
      </c>
      <c r="AK11" s="8">
        <v>44115.500543981485</v>
      </c>
      <c r="AL11" s="7">
        <v>5.6</v>
      </c>
      <c r="AM11" s="7">
        <v>100</v>
      </c>
      <c r="AN11" s="7">
        <v>0</v>
      </c>
      <c r="AO11" s="7">
        <v>10.08</v>
      </c>
      <c r="AP11" s="7">
        <v>5.17</v>
      </c>
      <c r="AQ11" s="7">
        <v>0</v>
      </c>
      <c r="AR11" s="7">
        <v>0.92</v>
      </c>
      <c r="AS11" s="4" t="s">
        <v>303</v>
      </c>
      <c r="AT11" s="7">
        <v>0</v>
      </c>
      <c r="AU11" s="4" t="s">
        <v>308</v>
      </c>
      <c r="AV11" s="4" t="s">
        <v>305</v>
      </c>
      <c r="AW11" s="4" t="s">
        <v>292</v>
      </c>
    </row>
    <row r="12" spans="1:49" s="4" customFormat="1" x14ac:dyDescent="0.25">
      <c r="A12" s="4" t="s">
        <v>11201</v>
      </c>
      <c r="B12" s="4" t="s">
        <v>293</v>
      </c>
      <c r="C12" s="4" t="s">
        <v>309</v>
      </c>
      <c r="D12" s="4" t="s">
        <v>310</v>
      </c>
      <c r="F12" s="4" t="s">
        <v>11462</v>
      </c>
      <c r="G12" s="4" t="s">
        <v>11463</v>
      </c>
      <c r="I12" s="4" t="s">
        <v>296</v>
      </c>
      <c r="J12" s="4" t="s">
        <v>297</v>
      </c>
      <c r="K12" t="s">
        <v>18</v>
      </c>
      <c r="L12" s="4" t="s">
        <v>299</v>
      </c>
      <c r="M12" s="4" t="s">
        <v>300</v>
      </c>
      <c r="N12" s="4" t="s">
        <v>11198</v>
      </c>
      <c r="O12" s="5">
        <v>11.742000000000001</v>
      </c>
      <c r="P12" s="6">
        <v>1</v>
      </c>
      <c r="Q12" s="7">
        <v>9.25</v>
      </c>
      <c r="R12" s="7">
        <v>12</v>
      </c>
      <c r="S12" s="4" t="s">
        <v>301</v>
      </c>
      <c r="T12" s="4" t="s">
        <v>302</v>
      </c>
      <c r="U12" s="5">
        <v>14.91</v>
      </c>
      <c r="V12" s="6">
        <v>0.45</v>
      </c>
      <c r="W12" s="7">
        <v>1.5</v>
      </c>
      <c r="X12" s="5">
        <v>5.4</v>
      </c>
      <c r="Y12" s="4" t="s">
        <v>292</v>
      </c>
      <c r="Z12" s="6">
        <v>1</v>
      </c>
      <c r="AA12" s="6">
        <v>1</v>
      </c>
      <c r="AB12" s="5">
        <v>5.4</v>
      </c>
      <c r="AC12" s="6">
        <v>1</v>
      </c>
      <c r="AD12" s="6">
        <v>1</v>
      </c>
      <c r="AE12" s="5">
        <v>5.4</v>
      </c>
      <c r="AF12" s="7">
        <v>10</v>
      </c>
      <c r="AG12" s="7">
        <v>12</v>
      </c>
      <c r="AH12" s="7">
        <v>9.25</v>
      </c>
      <c r="AI12" s="7">
        <v>0</v>
      </c>
      <c r="AJ12" s="7">
        <v>0</v>
      </c>
      <c r="AK12" s="8">
        <v>44115.001956018517</v>
      </c>
      <c r="AL12" s="7">
        <v>0.67</v>
      </c>
      <c r="AM12" s="7">
        <v>100</v>
      </c>
      <c r="AN12" s="7">
        <v>0</v>
      </c>
      <c r="AO12" s="7">
        <v>0.8</v>
      </c>
      <c r="AP12" s="7">
        <v>0.62</v>
      </c>
      <c r="AQ12" s="7">
        <v>0</v>
      </c>
      <c r="AR12" s="7">
        <v>0.11</v>
      </c>
      <c r="AS12" s="4" t="s">
        <v>303</v>
      </c>
      <c r="AT12" s="7">
        <v>0</v>
      </c>
      <c r="AU12" s="4" t="s">
        <v>312</v>
      </c>
      <c r="AV12" s="4" t="s">
        <v>305</v>
      </c>
      <c r="AW12" s="4" t="s">
        <v>296</v>
      </c>
    </row>
    <row r="13" spans="1:49" s="4" customFormat="1" x14ac:dyDescent="0.25">
      <c r="A13" s="4" t="s">
        <v>11199</v>
      </c>
      <c r="B13" s="4" t="s">
        <v>293</v>
      </c>
      <c r="C13" s="4" t="s">
        <v>309</v>
      </c>
      <c r="D13" s="4" t="s">
        <v>310</v>
      </c>
      <c r="F13" s="4" t="s">
        <v>11236</v>
      </c>
      <c r="G13" s="4" t="s">
        <v>11237</v>
      </c>
      <c r="I13" s="4" t="s">
        <v>292</v>
      </c>
      <c r="J13" s="4" t="s">
        <v>297</v>
      </c>
      <c r="K13" s="4" t="s">
        <v>311</v>
      </c>
      <c r="L13" s="4" t="s">
        <v>299</v>
      </c>
      <c r="M13" s="4" t="s">
        <v>300</v>
      </c>
      <c r="N13" s="4" t="s">
        <v>11198</v>
      </c>
      <c r="O13" s="5">
        <v>5.6779999999999999</v>
      </c>
      <c r="P13" s="6">
        <v>1</v>
      </c>
      <c r="Q13" s="7">
        <v>9.25</v>
      </c>
      <c r="R13" s="7">
        <v>7</v>
      </c>
      <c r="S13" s="4" t="s">
        <v>301</v>
      </c>
      <c r="T13" s="4" t="s">
        <v>302</v>
      </c>
      <c r="U13" s="5">
        <v>6.78</v>
      </c>
      <c r="V13" s="6">
        <v>1</v>
      </c>
      <c r="W13" s="7">
        <v>3</v>
      </c>
      <c r="X13" s="5">
        <v>5.9</v>
      </c>
      <c r="Y13" s="4" t="s">
        <v>292</v>
      </c>
      <c r="Z13" s="6">
        <v>1</v>
      </c>
      <c r="AA13" s="6">
        <v>1</v>
      </c>
      <c r="AB13" s="5">
        <v>5.9</v>
      </c>
      <c r="AC13" s="6">
        <v>1</v>
      </c>
      <c r="AD13" s="6">
        <v>1</v>
      </c>
      <c r="AE13" s="5">
        <v>5.9</v>
      </c>
      <c r="AF13" s="5">
        <v>5.9</v>
      </c>
      <c r="AG13" s="7">
        <v>7</v>
      </c>
      <c r="AH13" s="7">
        <v>9.25</v>
      </c>
      <c r="AI13" s="7">
        <v>0</v>
      </c>
      <c r="AJ13" s="7">
        <v>0</v>
      </c>
      <c r="AK13" s="8">
        <v>44115.002754629626</v>
      </c>
      <c r="AL13" s="7">
        <v>0.68</v>
      </c>
      <c r="AM13" s="7">
        <v>100</v>
      </c>
      <c r="AN13" s="7">
        <v>0</v>
      </c>
      <c r="AO13" s="7">
        <v>0.47</v>
      </c>
      <c r="AP13" s="7">
        <v>0.63</v>
      </c>
      <c r="AQ13" s="7">
        <v>0</v>
      </c>
      <c r="AR13" s="7">
        <v>0.22</v>
      </c>
      <c r="AS13" s="4" t="s">
        <v>303</v>
      </c>
      <c r="AT13" s="7">
        <v>0</v>
      </c>
      <c r="AU13" s="4" t="s">
        <v>312</v>
      </c>
      <c r="AV13" s="4" t="s">
        <v>305</v>
      </c>
    </row>
    <row r="14" spans="1:49" s="4" customFormat="1" x14ac:dyDescent="0.25">
      <c r="A14" s="4" t="s">
        <v>11199</v>
      </c>
      <c r="B14" s="4" t="s">
        <v>293</v>
      </c>
      <c r="C14" s="4" t="s">
        <v>309</v>
      </c>
      <c r="D14" s="4" t="s">
        <v>310</v>
      </c>
      <c r="F14" s="4" t="s">
        <v>11462</v>
      </c>
      <c r="G14" s="4" t="s">
        <v>11463</v>
      </c>
      <c r="I14" s="4" t="s">
        <v>296</v>
      </c>
      <c r="J14" s="4" t="s">
        <v>297</v>
      </c>
      <c r="K14" t="s">
        <v>19</v>
      </c>
      <c r="L14" s="4" t="s">
        <v>299</v>
      </c>
      <c r="M14" s="4" t="s">
        <v>300</v>
      </c>
      <c r="N14" s="4" t="s">
        <v>11198</v>
      </c>
      <c r="O14" s="5">
        <v>12.331</v>
      </c>
      <c r="P14" s="6">
        <v>1</v>
      </c>
      <c r="Q14" s="7">
        <v>9.25</v>
      </c>
      <c r="R14" s="7">
        <v>7</v>
      </c>
      <c r="S14" s="4" t="s">
        <v>301</v>
      </c>
      <c r="T14" s="4" t="s">
        <v>302</v>
      </c>
      <c r="U14" s="5">
        <v>14.724</v>
      </c>
      <c r="V14" s="6">
        <v>0.45</v>
      </c>
      <c r="W14" s="7">
        <v>2</v>
      </c>
      <c r="X14" s="5">
        <v>5.7060000000000004</v>
      </c>
      <c r="Y14" s="4" t="s">
        <v>292</v>
      </c>
      <c r="Z14" s="6">
        <v>1</v>
      </c>
      <c r="AA14" s="6">
        <v>1</v>
      </c>
      <c r="AB14" s="5">
        <v>5.7060000000000004</v>
      </c>
      <c r="AC14" s="6">
        <v>1</v>
      </c>
      <c r="AD14" s="6">
        <v>1</v>
      </c>
      <c r="AE14" s="5">
        <v>5.7060000000000004</v>
      </c>
      <c r="AF14" s="7">
        <v>10</v>
      </c>
      <c r="AG14" s="7">
        <v>7</v>
      </c>
      <c r="AH14" s="7">
        <v>9.25</v>
      </c>
      <c r="AI14" s="7">
        <v>0</v>
      </c>
      <c r="AJ14" s="7">
        <v>0</v>
      </c>
      <c r="AK14" s="8">
        <v>44115.503333333334</v>
      </c>
      <c r="AL14" s="7">
        <v>0.66</v>
      </c>
      <c r="AM14" s="7">
        <v>100</v>
      </c>
      <c r="AN14" s="7">
        <v>0</v>
      </c>
      <c r="AO14" s="7">
        <v>0.46</v>
      </c>
      <c r="AP14" s="7">
        <v>0.61</v>
      </c>
      <c r="AQ14" s="7">
        <v>0</v>
      </c>
      <c r="AR14" s="7">
        <v>0.15</v>
      </c>
      <c r="AS14" s="4" t="s">
        <v>303</v>
      </c>
      <c r="AT14" s="7">
        <v>0</v>
      </c>
      <c r="AU14" s="4" t="s">
        <v>312</v>
      </c>
      <c r="AV14" s="4" t="s">
        <v>305</v>
      </c>
      <c r="AW14" s="4" t="s">
        <v>292</v>
      </c>
    </row>
    <row r="15" spans="1:49" s="4" customFormat="1" x14ac:dyDescent="0.25">
      <c r="A15" s="4" t="s">
        <v>395</v>
      </c>
      <c r="B15" s="4" t="s">
        <v>293</v>
      </c>
      <c r="C15" s="4" t="s">
        <v>309</v>
      </c>
      <c r="D15" s="4" t="s">
        <v>310</v>
      </c>
      <c r="F15" s="4" t="s">
        <v>11462</v>
      </c>
      <c r="G15" s="4" t="s">
        <v>11463</v>
      </c>
      <c r="I15" s="4" t="s">
        <v>296</v>
      </c>
      <c r="J15" s="4" t="s">
        <v>297</v>
      </c>
      <c r="K15" t="s">
        <v>20</v>
      </c>
      <c r="L15" s="4" t="s">
        <v>299</v>
      </c>
      <c r="M15" s="4" t="s">
        <v>300</v>
      </c>
      <c r="N15" s="4" t="s">
        <v>447</v>
      </c>
      <c r="O15" s="5">
        <v>11.742000000000001</v>
      </c>
      <c r="P15" s="6">
        <v>1</v>
      </c>
      <c r="Q15" s="7">
        <v>9.25</v>
      </c>
      <c r="R15" s="7">
        <v>7</v>
      </c>
      <c r="S15" s="4" t="s">
        <v>301</v>
      </c>
      <c r="T15" s="4" t="s">
        <v>302</v>
      </c>
      <c r="U15" s="5">
        <v>14.02</v>
      </c>
      <c r="V15" s="6">
        <v>0.45</v>
      </c>
      <c r="W15" s="7">
        <v>7</v>
      </c>
      <c r="X15" s="5">
        <v>7.6390000000000002</v>
      </c>
      <c r="Y15" s="4" t="s">
        <v>292</v>
      </c>
      <c r="Z15" s="6">
        <v>1</v>
      </c>
      <c r="AA15" s="6">
        <v>1</v>
      </c>
      <c r="AB15" s="5">
        <v>7.6390000000000002</v>
      </c>
      <c r="AC15" s="6">
        <v>1</v>
      </c>
      <c r="AD15" s="6">
        <v>1</v>
      </c>
      <c r="AE15" s="5">
        <v>7.6390000000000002</v>
      </c>
      <c r="AF15" s="7">
        <v>10</v>
      </c>
      <c r="AG15" s="7">
        <v>7</v>
      </c>
      <c r="AH15" s="7">
        <v>9.25</v>
      </c>
      <c r="AI15" s="7">
        <v>17</v>
      </c>
      <c r="AJ15" s="7">
        <v>0</v>
      </c>
      <c r="AK15" s="8">
        <v>44115.002754629626</v>
      </c>
      <c r="AL15" s="7">
        <v>0.63</v>
      </c>
      <c r="AM15" s="7">
        <v>100</v>
      </c>
      <c r="AN15" s="7">
        <v>0</v>
      </c>
      <c r="AO15" s="7">
        <v>0.44</v>
      </c>
      <c r="AP15" s="7">
        <v>0.57999999999999996</v>
      </c>
      <c r="AQ15" s="7">
        <v>1.33</v>
      </c>
      <c r="AR15" s="7">
        <v>0.57999999999999996</v>
      </c>
      <c r="AS15" s="4" t="s">
        <v>303</v>
      </c>
      <c r="AT15" s="7">
        <v>0</v>
      </c>
      <c r="AU15" s="4" t="s">
        <v>312</v>
      </c>
      <c r="AV15" s="4" t="s">
        <v>305</v>
      </c>
      <c r="AW15" s="4" t="s">
        <v>296</v>
      </c>
    </row>
    <row r="16" spans="1:49" s="4" customFormat="1" x14ac:dyDescent="0.25">
      <c r="A16" s="4" t="s">
        <v>11201</v>
      </c>
      <c r="B16" s="4" t="s">
        <v>293</v>
      </c>
      <c r="C16" s="4" t="s">
        <v>313</v>
      </c>
      <c r="D16" s="4" t="s">
        <v>314</v>
      </c>
      <c r="F16" s="4" t="s">
        <v>11462</v>
      </c>
      <c r="G16" s="4" t="s">
        <v>11463</v>
      </c>
      <c r="I16" s="4" t="s">
        <v>296</v>
      </c>
      <c r="J16" s="4" t="s">
        <v>297</v>
      </c>
      <c r="K16" s="4" t="s">
        <v>311</v>
      </c>
      <c r="L16" s="4" t="s">
        <v>299</v>
      </c>
      <c r="M16" s="4" t="s">
        <v>300</v>
      </c>
      <c r="N16" s="4" t="s">
        <v>11198</v>
      </c>
      <c r="O16" s="5">
        <v>12.68</v>
      </c>
      <c r="P16" s="6">
        <v>1</v>
      </c>
      <c r="Q16" s="7">
        <v>9.25</v>
      </c>
      <c r="R16" s="7">
        <v>12</v>
      </c>
      <c r="S16" s="4" t="s">
        <v>301</v>
      </c>
      <c r="T16" s="4" t="s">
        <v>302</v>
      </c>
      <c r="U16" s="5">
        <v>16.102</v>
      </c>
      <c r="V16" s="6">
        <v>0.45</v>
      </c>
      <c r="W16" s="7">
        <v>1.5</v>
      </c>
      <c r="X16" s="5">
        <v>5.8259999999999996</v>
      </c>
      <c r="Y16" s="4" t="s">
        <v>292</v>
      </c>
      <c r="Z16" s="6">
        <v>1</v>
      </c>
      <c r="AA16" s="6">
        <v>1</v>
      </c>
      <c r="AB16" s="5">
        <v>5.8259999999999996</v>
      </c>
      <c r="AC16" s="6">
        <v>1</v>
      </c>
      <c r="AD16" s="6">
        <v>1</v>
      </c>
      <c r="AE16" s="5">
        <v>5.8259999999999996</v>
      </c>
      <c r="AF16" s="7">
        <v>10</v>
      </c>
      <c r="AG16" s="7">
        <v>12</v>
      </c>
      <c r="AH16" s="7">
        <v>9.25</v>
      </c>
      <c r="AI16" s="7">
        <v>0</v>
      </c>
      <c r="AJ16" s="7">
        <v>0</v>
      </c>
      <c r="AK16" s="8">
        <v>44115.505381944444</v>
      </c>
      <c r="AL16" s="7">
        <v>0.73</v>
      </c>
      <c r="AM16" s="7">
        <v>100</v>
      </c>
      <c r="AN16" s="7">
        <v>0</v>
      </c>
      <c r="AO16" s="7">
        <v>0.87</v>
      </c>
      <c r="AP16" s="7">
        <v>0.67</v>
      </c>
      <c r="AQ16" s="7">
        <v>0</v>
      </c>
      <c r="AR16" s="7">
        <v>0.12</v>
      </c>
      <c r="AS16" s="4" t="s">
        <v>303</v>
      </c>
      <c r="AT16" s="7">
        <v>0</v>
      </c>
      <c r="AU16" s="4" t="s">
        <v>315</v>
      </c>
      <c r="AV16" s="4" t="s">
        <v>305</v>
      </c>
      <c r="AW16" s="4" t="s">
        <v>292</v>
      </c>
    </row>
    <row r="17" spans="1:49" s="4" customFormat="1" x14ac:dyDescent="0.25">
      <c r="A17" s="4" t="s">
        <v>11199</v>
      </c>
      <c r="B17" s="4" t="s">
        <v>293</v>
      </c>
      <c r="C17" s="4" t="s">
        <v>313</v>
      </c>
      <c r="D17" s="4" t="s">
        <v>314</v>
      </c>
      <c r="F17" s="4" t="s">
        <v>11236</v>
      </c>
      <c r="G17" s="4" t="s">
        <v>11237</v>
      </c>
      <c r="I17" s="4" t="s">
        <v>292</v>
      </c>
      <c r="J17" s="4" t="s">
        <v>297</v>
      </c>
      <c r="K17" s="4" t="s">
        <v>311</v>
      </c>
      <c r="L17" s="4" t="s">
        <v>299</v>
      </c>
      <c r="M17" s="4" t="s">
        <v>300</v>
      </c>
      <c r="N17" s="4" t="s">
        <v>11198</v>
      </c>
      <c r="O17" s="5">
        <v>5.8339999999999996</v>
      </c>
      <c r="P17" s="6">
        <v>1</v>
      </c>
      <c r="Q17" s="7">
        <v>9.25</v>
      </c>
      <c r="R17" s="7">
        <v>7</v>
      </c>
      <c r="S17" s="4" t="s">
        <v>301</v>
      </c>
      <c r="T17" s="4" t="s">
        <v>302</v>
      </c>
      <c r="U17" s="5">
        <v>6.9660000000000002</v>
      </c>
      <c r="V17" s="6">
        <v>1</v>
      </c>
      <c r="W17" s="7">
        <v>3</v>
      </c>
      <c r="X17" s="5">
        <v>6.056</v>
      </c>
      <c r="Y17" s="4" t="s">
        <v>292</v>
      </c>
      <c r="Z17" s="6">
        <v>1</v>
      </c>
      <c r="AA17" s="6">
        <v>1</v>
      </c>
      <c r="AB17" s="5">
        <v>6.056</v>
      </c>
      <c r="AC17" s="6">
        <v>1</v>
      </c>
      <c r="AD17" s="6">
        <v>1</v>
      </c>
      <c r="AE17" s="5">
        <v>6.056</v>
      </c>
      <c r="AF17" s="5">
        <v>6.056</v>
      </c>
      <c r="AG17" s="7">
        <v>7</v>
      </c>
      <c r="AH17" s="7">
        <v>9.25</v>
      </c>
      <c r="AI17" s="7">
        <v>0</v>
      </c>
      <c r="AJ17" s="7">
        <v>0</v>
      </c>
      <c r="AK17" s="8">
        <v>44115.002870370372</v>
      </c>
      <c r="AL17" s="7">
        <v>0.7</v>
      </c>
      <c r="AM17" s="7">
        <v>100</v>
      </c>
      <c r="AN17" s="7">
        <v>0</v>
      </c>
      <c r="AO17" s="7">
        <v>0.49</v>
      </c>
      <c r="AP17" s="7">
        <v>0.65</v>
      </c>
      <c r="AQ17" s="7">
        <v>0</v>
      </c>
      <c r="AR17" s="7">
        <v>0.23</v>
      </c>
      <c r="AS17" s="4" t="s">
        <v>303</v>
      </c>
      <c r="AT17" s="7">
        <v>0</v>
      </c>
      <c r="AU17" s="4" t="s">
        <v>315</v>
      </c>
      <c r="AV17" s="4" t="s">
        <v>305</v>
      </c>
    </row>
    <row r="18" spans="1:49" s="4" customFormat="1" x14ac:dyDescent="0.25">
      <c r="A18" s="4" t="s">
        <v>11199</v>
      </c>
      <c r="B18" s="4" t="s">
        <v>293</v>
      </c>
      <c r="C18" s="4" t="s">
        <v>313</v>
      </c>
      <c r="D18" s="4" t="s">
        <v>314</v>
      </c>
      <c r="F18" s="4" t="s">
        <v>11462</v>
      </c>
      <c r="G18" s="4" t="s">
        <v>11463</v>
      </c>
      <c r="I18" s="4" t="s">
        <v>296</v>
      </c>
      <c r="J18" s="4" t="s">
        <v>297</v>
      </c>
      <c r="K18" s="4" t="s">
        <v>311</v>
      </c>
      <c r="L18" s="4" t="s">
        <v>299</v>
      </c>
      <c r="M18" s="4" t="s">
        <v>300</v>
      </c>
      <c r="N18" s="4" t="s">
        <v>11198</v>
      </c>
      <c r="O18" s="5">
        <v>12.68</v>
      </c>
      <c r="P18" s="6">
        <v>1</v>
      </c>
      <c r="Q18" s="7">
        <v>9.25</v>
      </c>
      <c r="R18" s="7">
        <v>7</v>
      </c>
      <c r="S18" s="4" t="s">
        <v>301</v>
      </c>
      <c r="T18" s="4" t="s">
        <v>302</v>
      </c>
      <c r="U18" s="5">
        <v>15.14</v>
      </c>
      <c r="V18" s="6">
        <v>0.45</v>
      </c>
      <c r="W18" s="7">
        <v>2</v>
      </c>
      <c r="X18" s="5">
        <v>5.8529999999999998</v>
      </c>
      <c r="Y18" s="4" t="s">
        <v>292</v>
      </c>
      <c r="Z18" s="6">
        <v>1</v>
      </c>
      <c r="AA18" s="6">
        <v>1</v>
      </c>
      <c r="AB18" s="5">
        <v>5.8529999999999998</v>
      </c>
      <c r="AC18" s="6">
        <v>1</v>
      </c>
      <c r="AD18" s="6">
        <v>1</v>
      </c>
      <c r="AE18" s="5">
        <v>5.8529999999999998</v>
      </c>
      <c r="AF18" s="7">
        <v>10</v>
      </c>
      <c r="AG18" s="7">
        <v>7</v>
      </c>
      <c r="AH18" s="7">
        <v>9.25</v>
      </c>
      <c r="AI18" s="7">
        <v>0</v>
      </c>
      <c r="AJ18" s="7">
        <v>0</v>
      </c>
      <c r="AK18" s="8">
        <v>44115.50340277778</v>
      </c>
      <c r="AL18" s="7">
        <v>0.68</v>
      </c>
      <c r="AM18" s="7">
        <v>100</v>
      </c>
      <c r="AN18" s="7">
        <v>0</v>
      </c>
      <c r="AO18" s="7">
        <v>0.48</v>
      </c>
      <c r="AP18" s="7">
        <v>0.63</v>
      </c>
      <c r="AQ18" s="7">
        <v>0</v>
      </c>
      <c r="AR18" s="7">
        <v>0.15</v>
      </c>
      <c r="AS18" s="4" t="s">
        <v>303</v>
      </c>
      <c r="AT18" s="7">
        <v>0</v>
      </c>
      <c r="AU18" s="4" t="s">
        <v>315</v>
      </c>
      <c r="AV18" s="4" t="s">
        <v>305</v>
      </c>
      <c r="AW18" s="4" t="s">
        <v>292</v>
      </c>
    </row>
    <row r="19" spans="1:49" s="4" customFormat="1" x14ac:dyDescent="0.25">
      <c r="A19" s="4" t="s">
        <v>395</v>
      </c>
      <c r="B19" s="4" t="s">
        <v>293</v>
      </c>
      <c r="C19" s="4" t="s">
        <v>313</v>
      </c>
      <c r="D19" s="4" t="s">
        <v>314</v>
      </c>
      <c r="F19" s="4" t="s">
        <v>11462</v>
      </c>
      <c r="G19" s="4" t="s">
        <v>11463</v>
      </c>
      <c r="I19" s="4" t="s">
        <v>296</v>
      </c>
      <c r="J19" s="4" t="s">
        <v>297</v>
      </c>
      <c r="K19" s="4" t="s">
        <v>311</v>
      </c>
      <c r="L19" s="4" t="s">
        <v>299</v>
      </c>
      <c r="M19" s="4" t="s">
        <v>300</v>
      </c>
      <c r="N19" s="4" t="s">
        <v>447</v>
      </c>
      <c r="O19" s="5">
        <v>12.68</v>
      </c>
      <c r="P19" s="6">
        <v>1</v>
      </c>
      <c r="Q19" s="7">
        <v>9.25</v>
      </c>
      <c r="R19" s="7">
        <v>7</v>
      </c>
      <c r="S19" s="4" t="s">
        <v>301</v>
      </c>
      <c r="T19" s="4" t="s">
        <v>302</v>
      </c>
      <c r="U19" s="5">
        <v>15.14</v>
      </c>
      <c r="V19" s="6">
        <v>0.45</v>
      </c>
      <c r="W19" s="7">
        <v>4</v>
      </c>
      <c r="X19" s="5">
        <v>7.9829999999999997</v>
      </c>
      <c r="Y19" s="4" t="s">
        <v>292</v>
      </c>
      <c r="Z19" s="6">
        <v>1</v>
      </c>
      <c r="AA19" s="6">
        <v>0.751973</v>
      </c>
      <c r="AB19" s="5">
        <v>7.9829999999999997</v>
      </c>
      <c r="AC19" s="6">
        <v>1</v>
      </c>
      <c r="AD19" s="6">
        <v>0.751973</v>
      </c>
      <c r="AE19" s="5">
        <v>7.9829999999999997</v>
      </c>
      <c r="AF19" s="7">
        <v>10</v>
      </c>
      <c r="AG19" s="7">
        <v>7</v>
      </c>
      <c r="AH19" s="7">
        <v>9.25</v>
      </c>
      <c r="AI19" s="7">
        <v>17</v>
      </c>
      <c r="AJ19" s="7">
        <v>0</v>
      </c>
      <c r="AK19" s="8">
        <v>44115.503425925926</v>
      </c>
      <c r="AL19" s="7">
        <v>0.68</v>
      </c>
      <c r="AM19" s="7">
        <v>100</v>
      </c>
      <c r="AN19" s="7">
        <v>0</v>
      </c>
      <c r="AO19" s="7">
        <v>0.48</v>
      </c>
      <c r="AP19" s="7">
        <v>0.63</v>
      </c>
      <c r="AQ19" s="7">
        <v>1.44</v>
      </c>
      <c r="AR19" s="7">
        <v>0.36</v>
      </c>
      <c r="AS19" s="4" t="s">
        <v>303</v>
      </c>
      <c r="AT19" s="7">
        <v>0</v>
      </c>
      <c r="AU19" s="4" t="s">
        <v>315</v>
      </c>
      <c r="AV19" s="4" t="s">
        <v>305</v>
      </c>
      <c r="AW19" s="4" t="s">
        <v>292</v>
      </c>
    </row>
    <row r="20" spans="1:49" s="4" customFormat="1" x14ac:dyDescent="0.25">
      <c r="A20" s="4" t="s">
        <v>11200</v>
      </c>
      <c r="B20" s="4" t="s">
        <v>293</v>
      </c>
      <c r="C20" s="4" t="s">
        <v>313</v>
      </c>
      <c r="D20" s="4" t="s">
        <v>314</v>
      </c>
      <c r="F20" s="4" t="s">
        <v>11462</v>
      </c>
      <c r="G20" s="4" t="s">
        <v>11463</v>
      </c>
      <c r="I20" s="4" t="s">
        <v>296</v>
      </c>
      <c r="J20" s="4" t="s">
        <v>297</v>
      </c>
      <c r="K20" s="4" t="s">
        <v>311</v>
      </c>
      <c r="L20" s="4" t="s">
        <v>299</v>
      </c>
      <c r="M20" s="4" t="s">
        <v>300</v>
      </c>
      <c r="N20" s="4" t="s">
        <v>11198</v>
      </c>
      <c r="O20" s="5">
        <v>12.68</v>
      </c>
      <c r="P20" s="6">
        <v>1</v>
      </c>
      <c r="Q20" s="7">
        <v>9.25</v>
      </c>
      <c r="R20" s="7">
        <v>18</v>
      </c>
      <c r="S20" s="4" t="s">
        <v>301</v>
      </c>
      <c r="T20" s="4" t="s">
        <v>302</v>
      </c>
      <c r="U20" s="5">
        <v>17.43</v>
      </c>
      <c r="V20" s="6">
        <v>0.45</v>
      </c>
      <c r="W20" s="7">
        <v>1.5</v>
      </c>
      <c r="X20" s="5">
        <v>5.8339999999999996</v>
      </c>
      <c r="Y20" s="4" t="s">
        <v>292</v>
      </c>
      <c r="Z20" s="6">
        <v>1</v>
      </c>
      <c r="AA20" s="6">
        <v>1</v>
      </c>
      <c r="AB20" s="5">
        <v>5.8339999999999996</v>
      </c>
      <c r="AC20" s="6">
        <v>1</v>
      </c>
      <c r="AD20" s="6">
        <v>1</v>
      </c>
      <c r="AE20" s="5">
        <v>5.8339999999999996</v>
      </c>
      <c r="AF20" s="7">
        <v>10</v>
      </c>
      <c r="AG20" s="7">
        <v>18</v>
      </c>
      <c r="AH20" s="7">
        <v>9.25</v>
      </c>
      <c r="AI20" s="7">
        <v>0</v>
      </c>
      <c r="AJ20" s="7">
        <v>0</v>
      </c>
      <c r="AK20" s="8">
        <v>44115.501585648148</v>
      </c>
      <c r="AL20" s="7">
        <v>0.78</v>
      </c>
      <c r="AM20" s="7">
        <v>100</v>
      </c>
      <c r="AN20" s="7">
        <v>0</v>
      </c>
      <c r="AO20" s="7">
        <v>1.41</v>
      </c>
      <c r="AP20" s="7">
        <v>0.73</v>
      </c>
      <c r="AQ20" s="7">
        <v>0</v>
      </c>
      <c r="AR20" s="7">
        <v>0.13</v>
      </c>
      <c r="AS20" s="4" t="s">
        <v>303</v>
      </c>
      <c r="AT20" s="7">
        <v>0</v>
      </c>
      <c r="AU20" s="4" t="s">
        <v>315</v>
      </c>
      <c r="AV20" s="4" t="s">
        <v>305</v>
      </c>
      <c r="AW20" s="4" t="s">
        <v>292</v>
      </c>
    </row>
    <row r="21" spans="1:49" s="4" customFormat="1" x14ac:dyDescent="0.25">
      <c r="A21" s="4" t="s">
        <v>11201</v>
      </c>
      <c r="B21" s="4" t="s">
        <v>293</v>
      </c>
      <c r="C21" s="4" t="s">
        <v>316</v>
      </c>
      <c r="D21" s="4" t="s">
        <v>317</v>
      </c>
      <c r="F21" s="4" t="s">
        <v>11462</v>
      </c>
      <c r="G21" s="4" t="s">
        <v>11463</v>
      </c>
      <c r="I21" s="4" t="s">
        <v>296</v>
      </c>
      <c r="J21" s="4" t="s">
        <v>297</v>
      </c>
      <c r="K21" s="4" t="s">
        <v>311</v>
      </c>
      <c r="L21" s="4" t="s">
        <v>299</v>
      </c>
      <c r="M21" s="4" t="s">
        <v>300</v>
      </c>
      <c r="N21" s="4" t="s">
        <v>11198</v>
      </c>
      <c r="O21" s="5">
        <v>13.353</v>
      </c>
      <c r="P21" s="6">
        <v>1</v>
      </c>
      <c r="Q21" s="7">
        <v>9.25</v>
      </c>
      <c r="R21" s="7">
        <v>12</v>
      </c>
      <c r="S21" s="4" t="s">
        <v>301</v>
      </c>
      <c r="T21" s="4" t="s">
        <v>302</v>
      </c>
      <c r="U21" s="5">
        <v>16.956</v>
      </c>
      <c r="V21" s="6">
        <v>0.45</v>
      </c>
      <c r="W21" s="7">
        <v>1.5</v>
      </c>
      <c r="X21" s="5">
        <v>6.13</v>
      </c>
      <c r="Y21" s="4" t="s">
        <v>292</v>
      </c>
      <c r="Z21" s="6">
        <v>1</v>
      </c>
      <c r="AA21" s="6">
        <v>1</v>
      </c>
      <c r="AB21" s="5">
        <v>6.13</v>
      </c>
      <c r="AC21" s="6">
        <v>1</v>
      </c>
      <c r="AD21" s="6">
        <v>1</v>
      </c>
      <c r="AE21" s="5">
        <v>6.13</v>
      </c>
      <c r="AF21" s="7">
        <v>10</v>
      </c>
      <c r="AG21" s="7">
        <v>12</v>
      </c>
      <c r="AH21" s="7">
        <v>9.25</v>
      </c>
      <c r="AI21" s="7">
        <v>0</v>
      </c>
      <c r="AJ21" s="7">
        <v>0</v>
      </c>
      <c r="AK21" s="8">
        <v>44115.505393518521</v>
      </c>
      <c r="AL21" s="7">
        <v>0.76</v>
      </c>
      <c r="AM21" s="7">
        <v>100</v>
      </c>
      <c r="AN21" s="7">
        <v>0</v>
      </c>
      <c r="AO21" s="7">
        <v>0.92</v>
      </c>
      <c r="AP21" s="7">
        <v>0.71</v>
      </c>
      <c r="AQ21" s="7">
        <v>0</v>
      </c>
      <c r="AR21" s="7">
        <v>0.13</v>
      </c>
      <c r="AS21" s="4" t="s">
        <v>303</v>
      </c>
      <c r="AT21" s="7">
        <v>0</v>
      </c>
      <c r="AU21" s="4" t="s">
        <v>318</v>
      </c>
      <c r="AV21" s="4" t="s">
        <v>305</v>
      </c>
      <c r="AW21" s="4" t="s">
        <v>292</v>
      </c>
    </row>
    <row r="22" spans="1:49" s="4" customFormat="1" x14ac:dyDescent="0.25">
      <c r="A22" s="4" t="s">
        <v>11199</v>
      </c>
      <c r="B22" s="4" t="s">
        <v>293</v>
      </c>
      <c r="C22" s="4" t="s">
        <v>316</v>
      </c>
      <c r="D22" s="4" t="s">
        <v>317</v>
      </c>
      <c r="F22" s="4" t="s">
        <v>11462</v>
      </c>
      <c r="G22" s="4" t="s">
        <v>11463</v>
      </c>
      <c r="I22" s="4" t="s">
        <v>296</v>
      </c>
      <c r="J22" s="4" t="s">
        <v>297</v>
      </c>
      <c r="K22" s="4" t="s">
        <v>311</v>
      </c>
      <c r="L22" s="4" t="s">
        <v>299</v>
      </c>
      <c r="M22" s="4" t="s">
        <v>300</v>
      </c>
      <c r="N22" s="4" t="s">
        <v>11198</v>
      </c>
      <c r="O22" s="5">
        <v>13.35</v>
      </c>
      <c r="P22" s="6">
        <v>1</v>
      </c>
      <c r="Q22" s="7">
        <v>9.25</v>
      </c>
      <c r="R22" s="7">
        <v>7</v>
      </c>
      <c r="S22" s="4" t="s">
        <v>301</v>
      </c>
      <c r="T22" s="4" t="s">
        <v>302</v>
      </c>
      <c r="U22" s="5">
        <v>15.94</v>
      </c>
      <c r="V22" s="6">
        <v>0.45</v>
      </c>
      <c r="W22" s="7">
        <v>2</v>
      </c>
      <c r="X22" s="5">
        <v>6.173</v>
      </c>
      <c r="Y22" s="4" t="s">
        <v>292</v>
      </c>
      <c r="Z22" s="6">
        <v>1</v>
      </c>
      <c r="AA22" s="6">
        <v>1</v>
      </c>
      <c r="AB22" s="5">
        <v>6.173</v>
      </c>
      <c r="AC22" s="6">
        <v>1</v>
      </c>
      <c r="AD22" s="6">
        <v>1</v>
      </c>
      <c r="AE22" s="5">
        <v>6.173</v>
      </c>
      <c r="AF22" s="7">
        <v>10</v>
      </c>
      <c r="AG22" s="7">
        <v>7</v>
      </c>
      <c r="AH22" s="7">
        <v>9.25</v>
      </c>
      <c r="AI22" s="7">
        <v>0</v>
      </c>
      <c r="AJ22" s="7">
        <v>0</v>
      </c>
      <c r="AK22" s="8">
        <v>44115.503425925926</v>
      </c>
      <c r="AL22" s="7">
        <v>0.72</v>
      </c>
      <c r="AM22" s="7">
        <v>100</v>
      </c>
      <c r="AN22" s="7">
        <v>0</v>
      </c>
      <c r="AO22" s="7">
        <v>0.5</v>
      </c>
      <c r="AP22" s="7">
        <v>0.66</v>
      </c>
      <c r="AQ22" s="7">
        <v>0</v>
      </c>
      <c r="AR22" s="7">
        <v>0.16</v>
      </c>
      <c r="AS22" s="4" t="s">
        <v>303</v>
      </c>
      <c r="AT22" s="7">
        <v>0</v>
      </c>
      <c r="AU22" s="4" t="s">
        <v>318</v>
      </c>
      <c r="AV22" s="4" t="s">
        <v>305</v>
      </c>
      <c r="AW22" s="4" t="s">
        <v>292</v>
      </c>
    </row>
    <row r="23" spans="1:49" s="4" customFormat="1" x14ac:dyDescent="0.25">
      <c r="A23" s="4" t="s">
        <v>395</v>
      </c>
      <c r="B23" s="4" t="s">
        <v>293</v>
      </c>
      <c r="C23" s="4" t="s">
        <v>316</v>
      </c>
      <c r="D23" s="4" t="s">
        <v>317</v>
      </c>
      <c r="F23" s="4" t="s">
        <v>11462</v>
      </c>
      <c r="G23" s="4" t="s">
        <v>11463</v>
      </c>
      <c r="I23" s="4" t="s">
        <v>296</v>
      </c>
      <c r="J23" s="4" t="s">
        <v>297</v>
      </c>
      <c r="K23" s="4" t="s">
        <v>311</v>
      </c>
      <c r="L23" s="4" t="s">
        <v>299</v>
      </c>
      <c r="M23" s="4" t="s">
        <v>300</v>
      </c>
      <c r="N23" s="4" t="s">
        <v>447</v>
      </c>
      <c r="O23" s="5">
        <v>13.35</v>
      </c>
      <c r="P23" s="6">
        <v>1</v>
      </c>
      <c r="Q23" s="7">
        <v>9.25</v>
      </c>
      <c r="R23" s="7">
        <v>7</v>
      </c>
      <c r="S23" s="4" t="s">
        <v>301</v>
      </c>
      <c r="T23" s="4" t="s">
        <v>302</v>
      </c>
      <c r="U23" s="5">
        <v>15.94</v>
      </c>
      <c r="V23" s="6">
        <v>0.45</v>
      </c>
      <c r="W23" s="7">
        <v>4</v>
      </c>
      <c r="X23" s="5">
        <v>8.4030000000000005</v>
      </c>
      <c r="Y23" s="4" t="s">
        <v>292</v>
      </c>
      <c r="Z23" s="6">
        <v>1</v>
      </c>
      <c r="AA23" s="6">
        <v>0.75365899999999997</v>
      </c>
      <c r="AB23" s="5">
        <v>8.4030000000000005</v>
      </c>
      <c r="AC23" s="6">
        <v>1</v>
      </c>
      <c r="AD23" s="6">
        <v>0.75365899999999997</v>
      </c>
      <c r="AE23" s="5">
        <v>8.4030000000000005</v>
      </c>
      <c r="AF23" s="7">
        <v>10</v>
      </c>
      <c r="AG23" s="7">
        <v>7</v>
      </c>
      <c r="AH23" s="7">
        <v>9.25</v>
      </c>
      <c r="AI23" s="7">
        <v>17</v>
      </c>
      <c r="AJ23" s="7">
        <v>0</v>
      </c>
      <c r="AK23" s="8">
        <v>44115.503425925926</v>
      </c>
      <c r="AL23" s="7">
        <v>0.72</v>
      </c>
      <c r="AM23" s="7">
        <v>100</v>
      </c>
      <c r="AN23" s="7">
        <v>0</v>
      </c>
      <c r="AO23" s="7">
        <v>0.5</v>
      </c>
      <c r="AP23" s="7">
        <v>0.66</v>
      </c>
      <c r="AQ23" s="7">
        <v>1.51</v>
      </c>
      <c r="AR23" s="7">
        <v>0.38</v>
      </c>
      <c r="AS23" s="4" t="s">
        <v>303</v>
      </c>
      <c r="AT23" s="7">
        <v>0</v>
      </c>
      <c r="AU23" s="4" t="s">
        <v>318</v>
      </c>
      <c r="AV23" s="4" t="s">
        <v>305</v>
      </c>
      <c r="AW23" s="4" t="s">
        <v>292</v>
      </c>
    </row>
    <row r="24" spans="1:49" s="4" customFormat="1" x14ac:dyDescent="0.25">
      <c r="A24" s="4" t="s">
        <v>11200</v>
      </c>
      <c r="B24" s="4" t="s">
        <v>293</v>
      </c>
      <c r="C24" s="4" t="s">
        <v>316</v>
      </c>
      <c r="D24" s="4" t="s">
        <v>317</v>
      </c>
      <c r="F24" s="4" t="s">
        <v>11462</v>
      </c>
      <c r="G24" s="4" t="s">
        <v>11463</v>
      </c>
      <c r="I24" s="4" t="s">
        <v>296</v>
      </c>
      <c r="J24" s="4" t="s">
        <v>297</v>
      </c>
      <c r="K24" s="4" t="s">
        <v>311</v>
      </c>
      <c r="L24" s="4" t="s">
        <v>299</v>
      </c>
      <c r="M24" s="4" t="s">
        <v>300</v>
      </c>
      <c r="N24" s="4" t="s">
        <v>11198</v>
      </c>
      <c r="O24" s="5">
        <v>13.35</v>
      </c>
      <c r="P24" s="6">
        <v>1</v>
      </c>
      <c r="Q24" s="7">
        <v>9.25</v>
      </c>
      <c r="R24" s="7">
        <v>18</v>
      </c>
      <c r="S24" s="4" t="s">
        <v>301</v>
      </c>
      <c r="T24" s="4" t="s">
        <v>302</v>
      </c>
      <c r="U24" s="5">
        <v>18.350999999999999</v>
      </c>
      <c r="V24" s="6">
        <v>0.45</v>
      </c>
      <c r="W24" s="7">
        <v>1.5</v>
      </c>
      <c r="X24" s="5">
        <v>6.1379999999999999</v>
      </c>
      <c r="Y24" s="4" t="s">
        <v>292</v>
      </c>
      <c r="Z24" s="6">
        <v>1</v>
      </c>
      <c r="AA24" s="6">
        <v>1</v>
      </c>
      <c r="AB24" s="5">
        <v>6.1379999999999999</v>
      </c>
      <c r="AC24" s="6">
        <v>1</v>
      </c>
      <c r="AD24" s="6">
        <v>1</v>
      </c>
      <c r="AE24" s="5">
        <v>6.1379999999999999</v>
      </c>
      <c r="AF24" s="7">
        <v>10</v>
      </c>
      <c r="AG24" s="7">
        <v>18</v>
      </c>
      <c r="AH24" s="7">
        <v>9.25</v>
      </c>
      <c r="AI24" s="7">
        <v>0</v>
      </c>
      <c r="AJ24" s="7">
        <v>0</v>
      </c>
      <c r="AK24" s="8">
        <v>44115.501585648148</v>
      </c>
      <c r="AL24" s="7">
        <v>0.83</v>
      </c>
      <c r="AM24" s="7">
        <v>100</v>
      </c>
      <c r="AN24" s="7">
        <v>0</v>
      </c>
      <c r="AO24" s="7">
        <v>1.49</v>
      </c>
      <c r="AP24" s="7">
        <v>0.77</v>
      </c>
      <c r="AQ24" s="7">
        <v>0</v>
      </c>
      <c r="AR24" s="7">
        <v>0.14000000000000001</v>
      </c>
      <c r="AS24" s="4" t="s">
        <v>303</v>
      </c>
      <c r="AT24" s="7">
        <v>0</v>
      </c>
      <c r="AU24" s="4" t="s">
        <v>318</v>
      </c>
      <c r="AV24" s="4" t="s">
        <v>305</v>
      </c>
      <c r="AW24" s="4" t="s">
        <v>292</v>
      </c>
    </row>
    <row r="25" spans="1:49" s="4" customFormat="1" x14ac:dyDescent="0.25">
      <c r="A25" s="4" t="s">
        <v>11207</v>
      </c>
      <c r="B25" s="4" t="s">
        <v>293</v>
      </c>
      <c r="C25" s="4" t="s">
        <v>316</v>
      </c>
      <c r="D25" s="4" t="s">
        <v>317</v>
      </c>
      <c r="F25" s="4" t="s">
        <v>11236</v>
      </c>
      <c r="G25" s="4" t="s">
        <v>11237</v>
      </c>
      <c r="I25" s="4" t="s">
        <v>296</v>
      </c>
      <c r="J25" s="4" t="s">
        <v>297</v>
      </c>
      <c r="K25" s="4" t="s">
        <v>311</v>
      </c>
      <c r="L25" s="4" t="s">
        <v>299</v>
      </c>
      <c r="M25" s="4" t="s">
        <v>300</v>
      </c>
      <c r="N25" s="4" t="s">
        <v>11238</v>
      </c>
      <c r="O25" s="5">
        <v>6.14</v>
      </c>
      <c r="P25" s="6">
        <v>1</v>
      </c>
      <c r="Q25" s="7">
        <v>9.25</v>
      </c>
      <c r="R25" s="7">
        <v>7</v>
      </c>
      <c r="S25" s="4" t="s">
        <v>301</v>
      </c>
      <c r="T25" s="4" t="s">
        <v>302</v>
      </c>
      <c r="U25" s="5">
        <v>7.3310000000000004</v>
      </c>
      <c r="V25" s="6">
        <v>0.25</v>
      </c>
      <c r="W25" s="7">
        <v>3</v>
      </c>
      <c r="X25" s="5">
        <v>2.4630000000000001</v>
      </c>
      <c r="Y25" s="4" t="s">
        <v>292</v>
      </c>
      <c r="Z25" s="6">
        <v>4</v>
      </c>
      <c r="AA25" s="6">
        <v>1</v>
      </c>
      <c r="AB25" s="5">
        <v>9.8520000000000003</v>
      </c>
      <c r="AC25" s="6">
        <v>1</v>
      </c>
      <c r="AD25" s="6">
        <v>1</v>
      </c>
      <c r="AE25" s="5">
        <v>9.8520000000000003</v>
      </c>
      <c r="AF25" s="5">
        <v>9.8520000000000003</v>
      </c>
      <c r="AG25" s="7">
        <v>7</v>
      </c>
      <c r="AH25" s="7">
        <v>0</v>
      </c>
      <c r="AI25" s="7">
        <v>17</v>
      </c>
      <c r="AJ25" s="7">
        <v>0</v>
      </c>
      <c r="AK25" s="8">
        <v>44115.522777777776</v>
      </c>
      <c r="AL25" s="7">
        <v>0.18</v>
      </c>
      <c r="AM25" s="7">
        <v>100</v>
      </c>
      <c r="AN25" s="7">
        <v>0</v>
      </c>
      <c r="AO25" s="7">
        <v>0.13</v>
      </c>
      <c r="AP25" s="7">
        <v>0</v>
      </c>
      <c r="AQ25" s="7">
        <v>0.38</v>
      </c>
      <c r="AR25" s="7">
        <v>7.0000000000000007E-2</v>
      </c>
      <c r="AS25" s="4" t="s">
        <v>303</v>
      </c>
      <c r="AT25" s="7">
        <v>0</v>
      </c>
      <c r="AU25" s="4" t="s">
        <v>318</v>
      </c>
      <c r="AV25" s="4" t="s">
        <v>305</v>
      </c>
    </row>
    <row r="26" spans="1:49" s="4" customFormat="1" x14ac:dyDescent="0.25">
      <c r="A26" s="4" t="s">
        <v>11201</v>
      </c>
      <c r="B26" s="4" t="s">
        <v>293</v>
      </c>
      <c r="C26" s="4" t="s">
        <v>11202</v>
      </c>
      <c r="D26" s="4" t="s">
        <v>11203</v>
      </c>
      <c r="F26" s="4" t="s">
        <v>11462</v>
      </c>
      <c r="G26" s="4" t="s">
        <v>11463</v>
      </c>
      <c r="I26" s="4" t="s">
        <v>296</v>
      </c>
      <c r="J26" s="4" t="s">
        <v>297</v>
      </c>
      <c r="K26" s="4" t="s">
        <v>319</v>
      </c>
      <c r="L26" s="4" t="s">
        <v>299</v>
      </c>
      <c r="M26" s="4" t="s">
        <v>300</v>
      </c>
      <c r="N26" s="4" t="s">
        <v>11198</v>
      </c>
      <c r="O26" s="5">
        <v>14.445</v>
      </c>
      <c r="P26" s="6">
        <v>1</v>
      </c>
      <c r="Q26" s="7">
        <v>9.25</v>
      </c>
      <c r="R26" s="7">
        <v>12</v>
      </c>
      <c r="S26" s="4" t="s">
        <v>301</v>
      </c>
      <c r="T26" s="4" t="s">
        <v>302</v>
      </c>
      <c r="U26" s="5">
        <v>18.343</v>
      </c>
      <c r="V26" s="6">
        <v>0.45</v>
      </c>
      <c r="W26" s="7">
        <v>1.5</v>
      </c>
      <c r="X26" s="5">
        <v>6.6340000000000003</v>
      </c>
      <c r="Y26" s="4" t="s">
        <v>292</v>
      </c>
      <c r="Z26" s="6">
        <v>1</v>
      </c>
      <c r="AA26" s="6">
        <v>1</v>
      </c>
      <c r="AB26" s="5">
        <v>6.6340000000000003</v>
      </c>
      <c r="AC26" s="6">
        <v>1</v>
      </c>
      <c r="AD26" s="6">
        <v>1</v>
      </c>
      <c r="AE26" s="5">
        <v>6.6340000000000003</v>
      </c>
      <c r="AF26" s="7">
        <v>10</v>
      </c>
      <c r="AG26" s="7">
        <v>12</v>
      </c>
      <c r="AH26" s="7">
        <v>9.25</v>
      </c>
      <c r="AI26" s="7">
        <v>0</v>
      </c>
      <c r="AJ26" s="7">
        <v>0</v>
      </c>
      <c r="AK26" s="8">
        <v>44115.505393518521</v>
      </c>
      <c r="AL26" s="7">
        <v>0.83</v>
      </c>
      <c r="AM26" s="7">
        <v>100</v>
      </c>
      <c r="AN26" s="7">
        <v>0</v>
      </c>
      <c r="AO26" s="7">
        <v>0.99</v>
      </c>
      <c r="AP26" s="7">
        <v>0.77</v>
      </c>
      <c r="AQ26" s="7">
        <v>0</v>
      </c>
      <c r="AR26" s="7">
        <v>0.14000000000000001</v>
      </c>
      <c r="AS26" s="4" t="s">
        <v>303</v>
      </c>
      <c r="AT26" s="7">
        <v>0</v>
      </c>
      <c r="AU26" s="4" t="s">
        <v>11204</v>
      </c>
      <c r="AV26" s="4" t="s">
        <v>305</v>
      </c>
      <c r="AW26" s="4" t="s">
        <v>292</v>
      </c>
    </row>
    <row r="27" spans="1:49" s="4" customFormat="1" x14ac:dyDescent="0.25">
      <c r="A27" s="4" t="s">
        <v>11199</v>
      </c>
      <c r="B27" s="4" t="s">
        <v>293</v>
      </c>
      <c r="C27" s="4" t="s">
        <v>11202</v>
      </c>
      <c r="D27" s="4" t="s">
        <v>11203</v>
      </c>
      <c r="F27" s="4" t="s">
        <v>11462</v>
      </c>
      <c r="G27" s="4" t="s">
        <v>11463</v>
      </c>
      <c r="I27" s="4" t="s">
        <v>296</v>
      </c>
      <c r="J27" s="4" t="s">
        <v>297</v>
      </c>
      <c r="K27" s="4" t="s">
        <v>319</v>
      </c>
      <c r="L27" s="4" t="s">
        <v>299</v>
      </c>
      <c r="M27" s="4" t="s">
        <v>300</v>
      </c>
      <c r="N27" s="4" t="s">
        <v>11198</v>
      </c>
      <c r="O27" s="5">
        <v>14.448</v>
      </c>
      <c r="P27" s="6">
        <v>1</v>
      </c>
      <c r="Q27" s="7">
        <v>9.25</v>
      </c>
      <c r="R27" s="7">
        <v>7</v>
      </c>
      <c r="S27" s="4" t="s">
        <v>301</v>
      </c>
      <c r="T27" s="4" t="s">
        <v>302</v>
      </c>
      <c r="U27" s="5">
        <v>17.251000000000001</v>
      </c>
      <c r="V27" s="6">
        <v>0.45</v>
      </c>
      <c r="W27" s="7">
        <v>2</v>
      </c>
      <c r="X27" s="5">
        <v>6.673</v>
      </c>
      <c r="Y27" s="4" t="s">
        <v>292</v>
      </c>
      <c r="Z27" s="6">
        <v>1</v>
      </c>
      <c r="AA27" s="6">
        <v>1</v>
      </c>
      <c r="AB27" s="5">
        <v>6.673</v>
      </c>
      <c r="AC27" s="6">
        <v>1</v>
      </c>
      <c r="AD27" s="6">
        <v>1</v>
      </c>
      <c r="AE27" s="5">
        <v>6.673</v>
      </c>
      <c r="AF27" s="7">
        <v>10</v>
      </c>
      <c r="AG27" s="7">
        <v>7</v>
      </c>
      <c r="AH27" s="7">
        <v>9.25</v>
      </c>
      <c r="AI27" s="7">
        <v>0</v>
      </c>
      <c r="AJ27" s="7">
        <v>0</v>
      </c>
      <c r="AK27" s="8">
        <v>44115.503425925926</v>
      </c>
      <c r="AL27" s="7">
        <v>0.78</v>
      </c>
      <c r="AM27" s="7">
        <v>100</v>
      </c>
      <c r="AN27" s="7">
        <v>0</v>
      </c>
      <c r="AO27" s="7">
        <v>0.54</v>
      </c>
      <c r="AP27" s="7">
        <v>0.72</v>
      </c>
      <c r="AQ27" s="7">
        <v>0</v>
      </c>
      <c r="AR27" s="7">
        <v>0.17</v>
      </c>
      <c r="AS27" s="4" t="s">
        <v>303</v>
      </c>
      <c r="AT27" s="7">
        <v>0</v>
      </c>
      <c r="AU27" s="4" t="s">
        <v>11204</v>
      </c>
      <c r="AV27" s="4" t="s">
        <v>305</v>
      </c>
      <c r="AW27" s="4" t="s">
        <v>292</v>
      </c>
    </row>
    <row r="28" spans="1:49" s="4" customFormat="1" x14ac:dyDescent="0.25">
      <c r="A28" s="4" t="s">
        <v>11200</v>
      </c>
      <c r="B28" s="4" t="s">
        <v>293</v>
      </c>
      <c r="C28" s="4" t="s">
        <v>11202</v>
      </c>
      <c r="D28" s="4" t="s">
        <v>11203</v>
      </c>
      <c r="F28" s="4" t="s">
        <v>11462</v>
      </c>
      <c r="G28" s="4" t="s">
        <v>11463</v>
      </c>
      <c r="I28" s="4" t="s">
        <v>296</v>
      </c>
      <c r="J28" s="4" t="s">
        <v>297</v>
      </c>
      <c r="K28" s="4" t="s">
        <v>319</v>
      </c>
      <c r="L28" s="4" t="s">
        <v>299</v>
      </c>
      <c r="M28" s="4" t="s">
        <v>300</v>
      </c>
      <c r="N28" s="4" t="s">
        <v>11198</v>
      </c>
      <c r="O28" s="5">
        <v>14.448</v>
      </c>
      <c r="P28" s="6">
        <v>1</v>
      </c>
      <c r="Q28" s="7">
        <v>9.25</v>
      </c>
      <c r="R28" s="7">
        <v>18</v>
      </c>
      <c r="S28" s="4" t="s">
        <v>301</v>
      </c>
      <c r="T28" s="4" t="s">
        <v>302</v>
      </c>
      <c r="U28" s="5">
        <v>19.86</v>
      </c>
      <c r="V28" s="6">
        <v>0.45</v>
      </c>
      <c r="W28" s="7">
        <v>1.5</v>
      </c>
      <c r="X28" s="5">
        <v>6.6470000000000002</v>
      </c>
      <c r="Y28" s="4" t="s">
        <v>292</v>
      </c>
      <c r="Z28" s="6">
        <v>1</v>
      </c>
      <c r="AA28" s="6">
        <v>1</v>
      </c>
      <c r="AB28" s="5">
        <v>6.6470000000000002</v>
      </c>
      <c r="AC28" s="6">
        <v>1</v>
      </c>
      <c r="AD28" s="6">
        <v>1</v>
      </c>
      <c r="AE28" s="5">
        <v>6.6470000000000002</v>
      </c>
      <c r="AF28" s="7">
        <v>10</v>
      </c>
      <c r="AG28" s="7">
        <v>18</v>
      </c>
      <c r="AH28" s="7">
        <v>9.25</v>
      </c>
      <c r="AI28" s="7">
        <v>0</v>
      </c>
      <c r="AJ28" s="7">
        <v>0</v>
      </c>
      <c r="AK28" s="8">
        <v>44115.501608796294</v>
      </c>
      <c r="AL28" s="7">
        <v>0.89</v>
      </c>
      <c r="AM28" s="7">
        <v>100</v>
      </c>
      <c r="AN28" s="7">
        <v>0</v>
      </c>
      <c r="AO28" s="7">
        <v>1.61</v>
      </c>
      <c r="AP28" s="7">
        <v>0.83</v>
      </c>
      <c r="AQ28" s="7">
        <v>0</v>
      </c>
      <c r="AR28" s="7">
        <v>0.15</v>
      </c>
      <c r="AS28" s="4" t="s">
        <v>303</v>
      </c>
      <c r="AT28" s="7">
        <v>0</v>
      </c>
      <c r="AU28" s="4" t="s">
        <v>11204</v>
      </c>
      <c r="AV28" s="4" t="s">
        <v>305</v>
      </c>
      <c r="AW28" s="4" t="s">
        <v>292</v>
      </c>
    </row>
    <row r="29" spans="1:49" s="4" customFormat="1" x14ac:dyDescent="0.25">
      <c r="A29" s="4" t="s">
        <v>11207</v>
      </c>
      <c r="B29" s="4" t="s">
        <v>293</v>
      </c>
      <c r="C29" s="4" t="s">
        <v>11202</v>
      </c>
      <c r="D29" s="4" t="s">
        <v>11203</v>
      </c>
      <c r="F29" s="4" t="s">
        <v>11236</v>
      </c>
      <c r="G29" s="4" t="s">
        <v>11237</v>
      </c>
      <c r="I29" s="4" t="s">
        <v>296</v>
      </c>
      <c r="J29" s="4" t="s">
        <v>297</v>
      </c>
      <c r="K29" s="4" t="s">
        <v>319</v>
      </c>
      <c r="L29" s="4" t="s">
        <v>299</v>
      </c>
      <c r="M29" s="4" t="s">
        <v>300</v>
      </c>
      <c r="N29" s="4" t="s">
        <v>11238</v>
      </c>
      <c r="O29" s="5">
        <v>6.65</v>
      </c>
      <c r="P29" s="6">
        <v>1</v>
      </c>
      <c r="Q29" s="7">
        <v>9.25</v>
      </c>
      <c r="R29" s="7">
        <v>7</v>
      </c>
      <c r="S29" s="4" t="s">
        <v>301</v>
      </c>
      <c r="T29" s="4" t="s">
        <v>302</v>
      </c>
      <c r="U29" s="5">
        <v>7.94</v>
      </c>
      <c r="V29" s="6">
        <v>0.25</v>
      </c>
      <c r="W29" s="7">
        <v>3</v>
      </c>
      <c r="X29" s="5">
        <v>2.6749999999999998</v>
      </c>
      <c r="Y29" s="4" t="s">
        <v>292</v>
      </c>
      <c r="Z29" s="6">
        <v>4</v>
      </c>
      <c r="AA29" s="6">
        <v>1</v>
      </c>
      <c r="AB29" s="5">
        <v>10.7</v>
      </c>
      <c r="AC29" s="6">
        <v>1</v>
      </c>
      <c r="AD29" s="6">
        <v>1</v>
      </c>
      <c r="AE29" s="5">
        <v>10.7</v>
      </c>
      <c r="AF29" s="5">
        <v>10.7</v>
      </c>
      <c r="AG29" s="7">
        <v>7</v>
      </c>
      <c r="AH29" s="7">
        <v>0</v>
      </c>
      <c r="AI29" s="7">
        <v>17</v>
      </c>
      <c r="AJ29" s="7">
        <v>0</v>
      </c>
      <c r="AK29" s="8">
        <v>44115.522789351853</v>
      </c>
      <c r="AL29" s="7">
        <v>0.2</v>
      </c>
      <c r="AM29" s="7">
        <v>100</v>
      </c>
      <c r="AN29" s="7">
        <v>0</v>
      </c>
      <c r="AO29" s="7">
        <v>0.14000000000000001</v>
      </c>
      <c r="AP29" s="7">
        <v>0</v>
      </c>
      <c r="AQ29" s="7">
        <v>0.41</v>
      </c>
      <c r="AR29" s="7">
        <v>0.08</v>
      </c>
      <c r="AS29" s="4" t="s">
        <v>303</v>
      </c>
      <c r="AT29" s="7">
        <v>0</v>
      </c>
      <c r="AU29" s="4" t="s">
        <v>11204</v>
      </c>
      <c r="AV29" s="4" t="s">
        <v>305</v>
      </c>
    </row>
    <row r="30" spans="1:49" s="4" customFormat="1" x14ac:dyDescent="0.25">
      <c r="A30" s="4" t="s">
        <v>11201</v>
      </c>
      <c r="B30" s="4" t="s">
        <v>293</v>
      </c>
      <c r="C30" s="4" t="s">
        <v>320</v>
      </c>
      <c r="D30" s="4" t="s">
        <v>321</v>
      </c>
      <c r="F30" s="4" t="s">
        <v>11462</v>
      </c>
      <c r="G30" s="4" t="s">
        <v>11463</v>
      </c>
      <c r="I30" s="4" t="s">
        <v>296</v>
      </c>
      <c r="J30" s="4" t="s">
        <v>297</v>
      </c>
      <c r="K30" s="4" t="s">
        <v>311</v>
      </c>
      <c r="L30" s="4" t="s">
        <v>322</v>
      </c>
      <c r="M30" s="4" t="s">
        <v>300</v>
      </c>
      <c r="N30" s="4" t="s">
        <v>11198</v>
      </c>
      <c r="O30" s="5">
        <v>11.427</v>
      </c>
      <c r="P30" s="6">
        <v>1</v>
      </c>
      <c r="Q30" s="7">
        <v>9.25</v>
      </c>
      <c r="R30" s="7">
        <v>12</v>
      </c>
      <c r="S30" s="4" t="s">
        <v>301</v>
      </c>
      <c r="T30" s="4" t="s">
        <v>302</v>
      </c>
      <c r="U30" s="5">
        <v>14.51</v>
      </c>
      <c r="V30" s="6">
        <v>0.45</v>
      </c>
      <c r="W30" s="7">
        <v>1.5</v>
      </c>
      <c r="X30" s="5">
        <v>5.25</v>
      </c>
      <c r="Y30" s="4" t="s">
        <v>292</v>
      </c>
      <c r="Z30" s="6">
        <v>1</v>
      </c>
      <c r="AA30" s="6">
        <v>1</v>
      </c>
      <c r="AB30" s="5">
        <v>5.25</v>
      </c>
      <c r="AC30" s="6">
        <v>1</v>
      </c>
      <c r="AD30" s="6">
        <v>1</v>
      </c>
      <c r="AE30" s="5">
        <v>5.25</v>
      </c>
      <c r="AF30" s="7">
        <v>10</v>
      </c>
      <c r="AG30" s="7">
        <v>12</v>
      </c>
      <c r="AH30" s="7">
        <v>9.25</v>
      </c>
      <c r="AI30" s="7">
        <v>0</v>
      </c>
      <c r="AJ30" s="7">
        <v>0</v>
      </c>
      <c r="AK30" s="8">
        <v>44115.505393518521</v>
      </c>
      <c r="AL30" s="7">
        <v>0.65</v>
      </c>
      <c r="AM30" s="7">
        <v>100</v>
      </c>
      <c r="AN30" s="7">
        <v>0</v>
      </c>
      <c r="AO30" s="7">
        <v>0.78</v>
      </c>
      <c r="AP30" s="7">
        <v>0.61</v>
      </c>
      <c r="AQ30" s="7">
        <v>0</v>
      </c>
      <c r="AR30" s="7">
        <v>0.11</v>
      </c>
      <c r="AS30" s="4" t="s">
        <v>303</v>
      </c>
      <c r="AT30" s="7">
        <v>0</v>
      </c>
      <c r="AU30" s="4" t="s">
        <v>323</v>
      </c>
      <c r="AV30" s="4" t="s">
        <v>305</v>
      </c>
      <c r="AW30" s="4" t="s">
        <v>292</v>
      </c>
    </row>
    <row r="31" spans="1:49" s="4" customFormat="1" x14ac:dyDescent="0.25">
      <c r="A31" s="4" t="s">
        <v>11199</v>
      </c>
      <c r="B31" s="4" t="s">
        <v>293</v>
      </c>
      <c r="C31" s="4" t="s">
        <v>320</v>
      </c>
      <c r="D31" s="4" t="s">
        <v>321</v>
      </c>
      <c r="F31" s="4" t="s">
        <v>11462</v>
      </c>
      <c r="G31" s="4" t="s">
        <v>11463</v>
      </c>
      <c r="I31" s="4" t="s">
        <v>296</v>
      </c>
      <c r="J31" s="4" t="s">
        <v>297</v>
      </c>
      <c r="K31" s="4" t="s">
        <v>311</v>
      </c>
      <c r="L31" s="4" t="s">
        <v>322</v>
      </c>
      <c r="M31" s="4" t="s">
        <v>300</v>
      </c>
      <c r="N31" s="4" t="s">
        <v>11198</v>
      </c>
      <c r="O31" s="5">
        <v>11.429</v>
      </c>
      <c r="P31" s="6">
        <v>1</v>
      </c>
      <c r="Q31" s="7">
        <v>9.25</v>
      </c>
      <c r="R31" s="7">
        <v>7</v>
      </c>
      <c r="S31" s="4" t="s">
        <v>301</v>
      </c>
      <c r="T31" s="4" t="s">
        <v>302</v>
      </c>
      <c r="U31" s="5">
        <v>13.647</v>
      </c>
      <c r="V31" s="6">
        <v>0.45</v>
      </c>
      <c r="W31" s="7">
        <v>2</v>
      </c>
      <c r="X31" s="5">
        <v>5.2809999999999997</v>
      </c>
      <c r="Y31" s="4" t="s">
        <v>292</v>
      </c>
      <c r="Z31" s="6">
        <v>1</v>
      </c>
      <c r="AA31" s="6">
        <v>1</v>
      </c>
      <c r="AB31" s="5">
        <v>5.2809999999999997</v>
      </c>
      <c r="AC31" s="6">
        <v>1</v>
      </c>
      <c r="AD31" s="6">
        <v>1</v>
      </c>
      <c r="AE31" s="5">
        <v>5.2809999999999997</v>
      </c>
      <c r="AF31" s="7">
        <v>10</v>
      </c>
      <c r="AG31" s="7">
        <v>7</v>
      </c>
      <c r="AH31" s="7">
        <v>9.25</v>
      </c>
      <c r="AI31" s="7">
        <v>0</v>
      </c>
      <c r="AJ31" s="7">
        <v>0</v>
      </c>
      <c r="AK31" s="8">
        <v>44115.503425925926</v>
      </c>
      <c r="AL31" s="7">
        <v>0.61</v>
      </c>
      <c r="AM31" s="7">
        <v>100</v>
      </c>
      <c r="AN31" s="7">
        <v>0</v>
      </c>
      <c r="AO31" s="7">
        <v>0.43</v>
      </c>
      <c r="AP31" s="7">
        <v>0.56999999999999995</v>
      </c>
      <c r="AQ31" s="7">
        <v>0</v>
      </c>
      <c r="AR31" s="7">
        <v>0.14000000000000001</v>
      </c>
      <c r="AS31" s="4" t="s">
        <v>303</v>
      </c>
      <c r="AT31" s="7">
        <v>0</v>
      </c>
      <c r="AU31" s="4" t="s">
        <v>323</v>
      </c>
      <c r="AV31" s="4" t="s">
        <v>305</v>
      </c>
      <c r="AW31" s="4" t="s">
        <v>292</v>
      </c>
    </row>
    <row r="32" spans="1:49" s="4" customFormat="1" x14ac:dyDescent="0.25">
      <c r="A32" s="4" t="s">
        <v>395</v>
      </c>
      <c r="B32" s="4" t="s">
        <v>293</v>
      </c>
      <c r="C32" s="4" t="s">
        <v>320</v>
      </c>
      <c r="D32" s="4" t="s">
        <v>321</v>
      </c>
      <c r="F32" s="4" t="s">
        <v>11462</v>
      </c>
      <c r="G32" s="4" t="s">
        <v>11463</v>
      </c>
      <c r="I32" s="4" t="s">
        <v>296</v>
      </c>
      <c r="J32" s="4" t="s">
        <v>297</v>
      </c>
      <c r="K32" s="4" t="s">
        <v>311</v>
      </c>
      <c r="L32" s="4" t="s">
        <v>322</v>
      </c>
      <c r="M32" s="4" t="s">
        <v>300</v>
      </c>
      <c r="N32" s="4" t="s">
        <v>447</v>
      </c>
      <c r="O32" s="5">
        <v>11.429</v>
      </c>
      <c r="P32" s="6">
        <v>1</v>
      </c>
      <c r="Q32" s="7">
        <v>9.25</v>
      </c>
      <c r="R32" s="7">
        <v>7</v>
      </c>
      <c r="S32" s="4" t="s">
        <v>301</v>
      </c>
      <c r="T32" s="4" t="s">
        <v>302</v>
      </c>
      <c r="U32" s="5">
        <v>13.647</v>
      </c>
      <c r="V32" s="6">
        <v>0.45</v>
      </c>
      <c r="W32" s="7">
        <v>4</v>
      </c>
      <c r="X32" s="5">
        <v>7.1909999999999998</v>
      </c>
      <c r="Y32" s="4" t="s">
        <v>292</v>
      </c>
      <c r="Z32" s="6">
        <v>1</v>
      </c>
      <c r="AA32" s="6">
        <v>0.75246800000000003</v>
      </c>
      <c r="AB32" s="5">
        <v>7.1909999999999998</v>
      </c>
      <c r="AC32" s="6">
        <v>1</v>
      </c>
      <c r="AD32" s="6">
        <v>0.75246800000000003</v>
      </c>
      <c r="AE32" s="5">
        <v>7.1909999999999998</v>
      </c>
      <c r="AF32" s="7">
        <v>10</v>
      </c>
      <c r="AG32" s="7">
        <v>7</v>
      </c>
      <c r="AH32" s="7">
        <v>9.25</v>
      </c>
      <c r="AI32" s="7">
        <v>17</v>
      </c>
      <c r="AJ32" s="7">
        <v>0</v>
      </c>
      <c r="AK32" s="8">
        <v>44115.503449074073</v>
      </c>
      <c r="AL32" s="7">
        <v>0.61</v>
      </c>
      <c r="AM32" s="7">
        <v>100</v>
      </c>
      <c r="AN32" s="7">
        <v>0</v>
      </c>
      <c r="AO32" s="7">
        <v>0.43</v>
      </c>
      <c r="AP32" s="7">
        <v>0.56999999999999995</v>
      </c>
      <c r="AQ32" s="7">
        <v>1.3</v>
      </c>
      <c r="AR32" s="7">
        <v>0.32</v>
      </c>
      <c r="AS32" s="4" t="s">
        <v>303</v>
      </c>
      <c r="AT32" s="7">
        <v>0</v>
      </c>
      <c r="AU32" s="4" t="s">
        <v>323</v>
      </c>
      <c r="AV32" s="4" t="s">
        <v>305</v>
      </c>
      <c r="AW32" s="4" t="s">
        <v>292</v>
      </c>
    </row>
    <row r="33" spans="1:49" s="4" customFormat="1" x14ac:dyDescent="0.25">
      <c r="A33" s="4" t="s">
        <v>11200</v>
      </c>
      <c r="B33" s="4" t="s">
        <v>293</v>
      </c>
      <c r="C33" s="4" t="s">
        <v>320</v>
      </c>
      <c r="D33" s="4" t="s">
        <v>321</v>
      </c>
      <c r="F33" s="4" t="s">
        <v>11462</v>
      </c>
      <c r="G33" s="4" t="s">
        <v>11463</v>
      </c>
      <c r="I33" s="4" t="s">
        <v>296</v>
      </c>
      <c r="J33" s="4" t="s">
        <v>297</v>
      </c>
      <c r="K33" t="s">
        <v>5</v>
      </c>
      <c r="L33" s="4" t="s">
        <v>322</v>
      </c>
      <c r="M33" s="4" t="s">
        <v>300</v>
      </c>
      <c r="N33" s="4" t="s">
        <v>11198</v>
      </c>
      <c r="O33" s="5">
        <v>11.429</v>
      </c>
      <c r="P33" s="6">
        <v>1</v>
      </c>
      <c r="Q33" s="7">
        <v>9.25</v>
      </c>
      <c r="R33" s="7">
        <v>18</v>
      </c>
      <c r="S33" s="4" t="s">
        <v>301</v>
      </c>
      <c r="T33" s="4" t="s">
        <v>302</v>
      </c>
      <c r="U33" s="5">
        <v>15.71</v>
      </c>
      <c r="V33" s="6">
        <v>0.45</v>
      </c>
      <c r="W33" s="7">
        <v>1.5</v>
      </c>
      <c r="X33" s="5">
        <v>5.26</v>
      </c>
      <c r="Y33" s="4" t="s">
        <v>292</v>
      </c>
      <c r="Z33" s="6">
        <v>1</v>
      </c>
      <c r="AA33" s="6">
        <v>1</v>
      </c>
      <c r="AB33" s="5">
        <v>5.26</v>
      </c>
      <c r="AC33" s="6">
        <v>1</v>
      </c>
      <c r="AD33" s="6">
        <v>1</v>
      </c>
      <c r="AE33" s="5">
        <v>5.26</v>
      </c>
      <c r="AF33" s="7">
        <v>10</v>
      </c>
      <c r="AG33" s="7">
        <v>18</v>
      </c>
      <c r="AH33" s="7">
        <v>9.25</v>
      </c>
      <c r="AI33" s="7">
        <v>0</v>
      </c>
      <c r="AJ33" s="7">
        <v>0</v>
      </c>
      <c r="AK33" s="8">
        <v>44115.501608796294</v>
      </c>
      <c r="AL33" s="7">
        <v>0.71</v>
      </c>
      <c r="AM33" s="7">
        <v>100</v>
      </c>
      <c r="AN33" s="7">
        <v>0</v>
      </c>
      <c r="AO33" s="7">
        <v>1.27</v>
      </c>
      <c r="AP33" s="7">
        <v>0.66</v>
      </c>
      <c r="AQ33" s="7">
        <v>0</v>
      </c>
      <c r="AR33" s="7">
        <v>0.12</v>
      </c>
      <c r="AS33" s="4" t="s">
        <v>303</v>
      </c>
      <c r="AT33" s="7">
        <v>0</v>
      </c>
      <c r="AU33" s="4" t="s">
        <v>323</v>
      </c>
      <c r="AV33" s="4" t="s">
        <v>305</v>
      </c>
      <c r="AW33" s="4" t="s">
        <v>292</v>
      </c>
    </row>
    <row r="34" spans="1:49" s="4" customFormat="1" x14ac:dyDescent="0.25">
      <c r="A34" s="4" t="s">
        <v>11207</v>
      </c>
      <c r="B34" s="4" t="s">
        <v>293</v>
      </c>
      <c r="C34" s="4" t="s">
        <v>320</v>
      </c>
      <c r="D34" s="4" t="s">
        <v>321</v>
      </c>
      <c r="F34" s="4" t="s">
        <v>11236</v>
      </c>
      <c r="G34" s="4" t="s">
        <v>11237</v>
      </c>
      <c r="I34" s="4" t="s">
        <v>296</v>
      </c>
      <c r="J34" s="4" t="s">
        <v>297</v>
      </c>
      <c r="K34" s="4" t="s">
        <v>311</v>
      </c>
      <c r="L34" s="4" t="s">
        <v>322</v>
      </c>
      <c r="M34" s="4" t="s">
        <v>300</v>
      </c>
      <c r="N34" s="4" t="s">
        <v>11238</v>
      </c>
      <c r="O34" s="5">
        <v>5.26</v>
      </c>
      <c r="P34" s="6">
        <v>1</v>
      </c>
      <c r="Q34" s="7">
        <v>9.25</v>
      </c>
      <c r="R34" s="7">
        <v>7</v>
      </c>
      <c r="S34" s="4" t="s">
        <v>301</v>
      </c>
      <c r="T34" s="4" t="s">
        <v>302</v>
      </c>
      <c r="U34" s="5">
        <v>6.2809999999999997</v>
      </c>
      <c r="V34" s="6">
        <v>0.25</v>
      </c>
      <c r="W34" s="7">
        <v>3</v>
      </c>
      <c r="X34" s="5">
        <v>2.11</v>
      </c>
      <c r="Y34" s="4" t="s">
        <v>292</v>
      </c>
      <c r="Z34" s="6">
        <v>4</v>
      </c>
      <c r="AA34" s="6">
        <v>1</v>
      </c>
      <c r="AB34" s="5">
        <v>8.44</v>
      </c>
      <c r="AC34" s="6">
        <v>1</v>
      </c>
      <c r="AD34" s="6">
        <v>1</v>
      </c>
      <c r="AE34" s="5">
        <v>8.44</v>
      </c>
      <c r="AF34" s="5">
        <v>8.44</v>
      </c>
      <c r="AG34" s="7">
        <v>7</v>
      </c>
      <c r="AH34" s="7">
        <v>0</v>
      </c>
      <c r="AI34" s="7">
        <v>17</v>
      </c>
      <c r="AJ34" s="7">
        <v>0</v>
      </c>
      <c r="AK34" s="8">
        <v>44115.522800925923</v>
      </c>
      <c r="AL34" s="7">
        <v>0.16</v>
      </c>
      <c r="AM34" s="7">
        <v>100</v>
      </c>
      <c r="AN34" s="7">
        <v>0</v>
      </c>
      <c r="AO34" s="7">
        <v>0.11</v>
      </c>
      <c r="AP34" s="7">
        <v>0</v>
      </c>
      <c r="AQ34" s="7">
        <v>0.32</v>
      </c>
      <c r="AR34" s="7">
        <v>0.06</v>
      </c>
      <c r="AS34" s="4" t="s">
        <v>303</v>
      </c>
      <c r="AT34" s="7">
        <v>0</v>
      </c>
      <c r="AU34" s="4" t="s">
        <v>323</v>
      </c>
      <c r="AV34" s="4" t="s">
        <v>305</v>
      </c>
    </row>
    <row r="35" spans="1:49" s="4" customFormat="1" x14ac:dyDescent="0.25">
      <c r="A35" s="4" t="s">
        <v>11201</v>
      </c>
      <c r="B35" s="4" t="s">
        <v>293</v>
      </c>
      <c r="C35" s="4" t="s">
        <v>324</v>
      </c>
      <c r="D35" s="4" t="s">
        <v>325</v>
      </c>
      <c r="F35" s="4" t="s">
        <v>11462</v>
      </c>
      <c r="G35" s="4" t="s">
        <v>11463</v>
      </c>
      <c r="I35" s="4" t="s">
        <v>296</v>
      </c>
      <c r="J35" s="4" t="s">
        <v>297</v>
      </c>
      <c r="K35" t="s">
        <v>7</v>
      </c>
      <c r="L35" s="4" t="s">
        <v>322</v>
      </c>
      <c r="M35" s="4" t="s">
        <v>300</v>
      </c>
      <c r="N35" s="4" t="s">
        <v>11198</v>
      </c>
      <c r="O35" s="5">
        <v>15.965</v>
      </c>
      <c r="P35" s="6">
        <v>1</v>
      </c>
      <c r="Q35" s="7">
        <v>9.25</v>
      </c>
      <c r="R35" s="7">
        <v>12</v>
      </c>
      <c r="S35" s="4" t="s">
        <v>301</v>
      </c>
      <c r="T35" s="4" t="s">
        <v>302</v>
      </c>
      <c r="U35" s="5">
        <v>20.273</v>
      </c>
      <c r="V35" s="6">
        <v>0.45</v>
      </c>
      <c r="W35" s="7">
        <v>1.5</v>
      </c>
      <c r="X35" s="5">
        <v>7.3330000000000002</v>
      </c>
      <c r="Y35" s="4" t="s">
        <v>292</v>
      </c>
      <c r="Z35" s="6">
        <v>1</v>
      </c>
      <c r="AA35" s="6">
        <v>1</v>
      </c>
      <c r="AB35" s="5">
        <v>7.3330000000000002</v>
      </c>
      <c r="AC35" s="6">
        <v>1</v>
      </c>
      <c r="AD35" s="6">
        <v>1</v>
      </c>
      <c r="AE35" s="5">
        <v>7.3330000000000002</v>
      </c>
      <c r="AF35" s="7">
        <v>10</v>
      </c>
      <c r="AG35" s="7">
        <v>12</v>
      </c>
      <c r="AH35" s="7">
        <v>9.25</v>
      </c>
      <c r="AI35" s="7">
        <v>0</v>
      </c>
      <c r="AJ35" s="7">
        <v>0</v>
      </c>
      <c r="AK35" s="8">
        <v>44115.505393518521</v>
      </c>
      <c r="AL35" s="7">
        <v>0.91</v>
      </c>
      <c r="AM35" s="7">
        <v>100</v>
      </c>
      <c r="AN35" s="7">
        <v>0</v>
      </c>
      <c r="AO35" s="7">
        <v>1.1000000000000001</v>
      </c>
      <c r="AP35" s="7">
        <v>0.84</v>
      </c>
      <c r="AQ35" s="7">
        <v>0</v>
      </c>
      <c r="AR35" s="7">
        <v>0.15</v>
      </c>
      <c r="AS35" s="4" t="s">
        <v>303</v>
      </c>
      <c r="AT35" s="7">
        <v>0</v>
      </c>
      <c r="AU35" s="4" t="s">
        <v>326</v>
      </c>
      <c r="AV35" s="4" t="s">
        <v>305</v>
      </c>
      <c r="AW35" s="4" t="s">
        <v>292</v>
      </c>
    </row>
    <row r="36" spans="1:49" s="4" customFormat="1" x14ac:dyDescent="0.25">
      <c r="A36" s="4" t="s">
        <v>11199</v>
      </c>
      <c r="B36" s="4" t="s">
        <v>293</v>
      </c>
      <c r="C36" s="4" t="s">
        <v>324</v>
      </c>
      <c r="D36" s="4" t="s">
        <v>325</v>
      </c>
      <c r="F36" s="4" t="s">
        <v>11462</v>
      </c>
      <c r="G36" s="4" t="s">
        <v>11463</v>
      </c>
      <c r="I36" s="4" t="s">
        <v>296</v>
      </c>
      <c r="J36" s="4" t="s">
        <v>297</v>
      </c>
      <c r="K36" t="s">
        <v>8</v>
      </c>
      <c r="L36" s="4" t="s">
        <v>322</v>
      </c>
      <c r="M36" s="4" t="s">
        <v>300</v>
      </c>
      <c r="N36" s="4" t="s">
        <v>11198</v>
      </c>
      <c r="O36" s="5">
        <v>15.968999999999999</v>
      </c>
      <c r="P36" s="6">
        <v>1</v>
      </c>
      <c r="Q36" s="7">
        <v>9.25</v>
      </c>
      <c r="R36" s="7">
        <v>7</v>
      </c>
      <c r="S36" s="4" t="s">
        <v>301</v>
      </c>
      <c r="T36" s="4" t="s">
        <v>302</v>
      </c>
      <c r="U36" s="5">
        <v>19.067</v>
      </c>
      <c r="V36" s="6">
        <v>0.45</v>
      </c>
      <c r="W36" s="7">
        <v>2</v>
      </c>
      <c r="X36" s="5">
        <v>7.38</v>
      </c>
      <c r="Y36" s="4" t="s">
        <v>292</v>
      </c>
      <c r="Z36" s="6">
        <v>1</v>
      </c>
      <c r="AA36" s="6">
        <v>1</v>
      </c>
      <c r="AB36" s="5">
        <v>7.38</v>
      </c>
      <c r="AC36" s="6">
        <v>1</v>
      </c>
      <c r="AD36" s="6">
        <v>1</v>
      </c>
      <c r="AE36" s="5">
        <v>7.38</v>
      </c>
      <c r="AF36" s="7">
        <v>10</v>
      </c>
      <c r="AG36" s="7">
        <v>7</v>
      </c>
      <c r="AH36" s="7">
        <v>9.25</v>
      </c>
      <c r="AI36" s="7">
        <v>0</v>
      </c>
      <c r="AJ36" s="7">
        <v>0</v>
      </c>
      <c r="AK36" s="8">
        <v>44115.503449074073</v>
      </c>
      <c r="AL36" s="7">
        <v>0.86</v>
      </c>
      <c r="AM36" s="7">
        <v>100</v>
      </c>
      <c r="AN36" s="7">
        <v>0</v>
      </c>
      <c r="AO36" s="7">
        <v>0.6</v>
      </c>
      <c r="AP36" s="7">
        <v>0.79</v>
      </c>
      <c r="AQ36" s="7">
        <v>0</v>
      </c>
      <c r="AR36" s="7">
        <v>0.19</v>
      </c>
      <c r="AS36" s="4" t="s">
        <v>303</v>
      </c>
      <c r="AT36" s="7">
        <v>0</v>
      </c>
      <c r="AU36" s="4" t="s">
        <v>326</v>
      </c>
      <c r="AV36" s="4" t="s">
        <v>305</v>
      </c>
      <c r="AW36" s="4" t="s">
        <v>292</v>
      </c>
    </row>
    <row r="37" spans="1:49" s="4" customFormat="1" x14ac:dyDescent="0.25">
      <c r="A37" s="4" t="s">
        <v>395</v>
      </c>
      <c r="B37" s="4" t="s">
        <v>293</v>
      </c>
      <c r="C37" s="4" t="s">
        <v>324</v>
      </c>
      <c r="D37" s="4" t="s">
        <v>325</v>
      </c>
      <c r="F37" s="4" t="s">
        <v>11462</v>
      </c>
      <c r="G37" s="4" t="s">
        <v>11463</v>
      </c>
      <c r="I37" s="4" t="s">
        <v>296</v>
      </c>
      <c r="J37" s="4" t="s">
        <v>297</v>
      </c>
      <c r="K37" t="s">
        <v>9</v>
      </c>
      <c r="L37" s="4" t="s">
        <v>322</v>
      </c>
      <c r="M37" s="4" t="s">
        <v>300</v>
      </c>
      <c r="N37" s="4" t="s">
        <v>447</v>
      </c>
      <c r="O37" s="5">
        <v>15.968999999999999</v>
      </c>
      <c r="P37" s="6">
        <v>1</v>
      </c>
      <c r="Q37" s="7">
        <v>9.25</v>
      </c>
      <c r="R37" s="7">
        <v>7</v>
      </c>
      <c r="S37" s="4" t="s">
        <v>301</v>
      </c>
      <c r="T37" s="4" t="s">
        <v>302</v>
      </c>
      <c r="U37" s="5">
        <v>19.067</v>
      </c>
      <c r="V37" s="6">
        <v>0.45</v>
      </c>
      <c r="W37" s="7">
        <v>4</v>
      </c>
      <c r="X37" s="5">
        <v>10.050000000000001</v>
      </c>
      <c r="Y37" s="4" t="s">
        <v>292</v>
      </c>
      <c r="Z37" s="6">
        <v>1</v>
      </c>
      <c r="AA37" s="6">
        <v>0.75323399999999996</v>
      </c>
      <c r="AB37" s="5">
        <v>10.050000000000001</v>
      </c>
      <c r="AC37" s="6">
        <v>1</v>
      </c>
      <c r="AD37" s="6">
        <v>0.75323399999999996</v>
      </c>
      <c r="AE37" s="5">
        <v>10.050000000000001</v>
      </c>
      <c r="AF37" s="7">
        <v>10</v>
      </c>
      <c r="AG37" s="7">
        <v>7</v>
      </c>
      <c r="AH37" s="7">
        <v>9.25</v>
      </c>
      <c r="AI37" s="7">
        <v>17</v>
      </c>
      <c r="AJ37" s="7">
        <v>0</v>
      </c>
      <c r="AK37" s="8">
        <v>44115.503449074073</v>
      </c>
      <c r="AL37" s="7">
        <v>0.86</v>
      </c>
      <c r="AM37" s="7">
        <v>100</v>
      </c>
      <c r="AN37" s="7">
        <v>0</v>
      </c>
      <c r="AO37" s="7">
        <v>0.6</v>
      </c>
      <c r="AP37" s="7">
        <v>0.79</v>
      </c>
      <c r="AQ37" s="7">
        <v>1.81</v>
      </c>
      <c r="AR37" s="7">
        <v>0.45</v>
      </c>
      <c r="AS37" s="4" t="s">
        <v>303</v>
      </c>
      <c r="AT37" s="7">
        <v>0</v>
      </c>
      <c r="AU37" s="4" t="s">
        <v>326</v>
      </c>
      <c r="AV37" s="4" t="s">
        <v>305</v>
      </c>
      <c r="AW37" s="4" t="s">
        <v>292</v>
      </c>
    </row>
    <row r="38" spans="1:49" s="4" customFormat="1" x14ac:dyDescent="0.25">
      <c r="A38" s="4" t="s">
        <v>11200</v>
      </c>
      <c r="B38" s="4" t="s">
        <v>293</v>
      </c>
      <c r="C38" s="4" t="s">
        <v>324</v>
      </c>
      <c r="D38" s="4" t="s">
        <v>325</v>
      </c>
      <c r="F38" s="4" t="s">
        <v>11462</v>
      </c>
      <c r="G38" s="4" t="s">
        <v>11463</v>
      </c>
      <c r="I38" s="4" t="s">
        <v>296</v>
      </c>
      <c r="J38" s="4" t="s">
        <v>297</v>
      </c>
      <c r="K38" t="s">
        <v>11</v>
      </c>
      <c r="L38" s="4" t="s">
        <v>322</v>
      </c>
      <c r="M38" s="4" t="s">
        <v>300</v>
      </c>
      <c r="N38" s="4" t="s">
        <v>11198</v>
      </c>
      <c r="O38" s="5">
        <v>15.968999999999999</v>
      </c>
      <c r="P38" s="6">
        <v>1</v>
      </c>
      <c r="Q38" s="7">
        <v>9.25</v>
      </c>
      <c r="R38" s="7">
        <v>18</v>
      </c>
      <c r="S38" s="4" t="s">
        <v>301</v>
      </c>
      <c r="T38" s="4" t="s">
        <v>302</v>
      </c>
      <c r="U38" s="5">
        <v>21.951000000000001</v>
      </c>
      <c r="V38" s="6">
        <v>0.45</v>
      </c>
      <c r="W38" s="7">
        <v>1.5</v>
      </c>
      <c r="X38" s="5">
        <v>7.3479999999999999</v>
      </c>
      <c r="Y38" s="4" t="s">
        <v>292</v>
      </c>
      <c r="Z38" s="6">
        <v>1</v>
      </c>
      <c r="AA38" s="6">
        <v>1</v>
      </c>
      <c r="AB38" s="5">
        <v>7.3479999999999999</v>
      </c>
      <c r="AC38" s="6">
        <v>1</v>
      </c>
      <c r="AD38" s="6">
        <v>1</v>
      </c>
      <c r="AE38" s="5">
        <v>7.3479999999999999</v>
      </c>
      <c r="AF38" s="7">
        <v>10</v>
      </c>
      <c r="AG38" s="7">
        <v>18</v>
      </c>
      <c r="AH38" s="7">
        <v>9.25</v>
      </c>
      <c r="AI38" s="7">
        <v>0</v>
      </c>
      <c r="AJ38" s="7">
        <v>0</v>
      </c>
      <c r="AK38" s="8">
        <v>44115.501608796294</v>
      </c>
      <c r="AL38" s="7">
        <v>0.99</v>
      </c>
      <c r="AM38" s="7">
        <v>100</v>
      </c>
      <c r="AN38" s="7">
        <v>0</v>
      </c>
      <c r="AO38" s="7">
        <v>1.78</v>
      </c>
      <c r="AP38" s="7">
        <v>0.91</v>
      </c>
      <c r="AQ38" s="7">
        <v>0</v>
      </c>
      <c r="AR38" s="7">
        <v>0.16</v>
      </c>
      <c r="AS38" s="4" t="s">
        <v>303</v>
      </c>
      <c r="AT38" s="7">
        <v>0</v>
      </c>
      <c r="AU38" s="4" t="s">
        <v>326</v>
      </c>
      <c r="AV38" s="4" t="s">
        <v>305</v>
      </c>
      <c r="AW38" s="4" t="s">
        <v>292</v>
      </c>
    </row>
    <row r="39" spans="1:49" s="4" customFormat="1" x14ac:dyDescent="0.25">
      <c r="A39" s="4" t="s">
        <v>11207</v>
      </c>
      <c r="B39" s="4" t="s">
        <v>293</v>
      </c>
      <c r="C39" s="4" t="s">
        <v>324</v>
      </c>
      <c r="D39" s="4" t="s">
        <v>325</v>
      </c>
      <c r="F39" s="4" t="s">
        <v>11236</v>
      </c>
      <c r="G39" s="4" t="s">
        <v>11237</v>
      </c>
      <c r="I39" s="4" t="s">
        <v>296</v>
      </c>
      <c r="J39" s="4" t="s">
        <v>297</v>
      </c>
      <c r="K39" s="4" t="s">
        <v>311</v>
      </c>
      <c r="L39" s="4" t="s">
        <v>322</v>
      </c>
      <c r="M39" s="4" t="s">
        <v>300</v>
      </c>
      <c r="N39" s="4" t="s">
        <v>11238</v>
      </c>
      <c r="O39" s="5">
        <v>7.35</v>
      </c>
      <c r="P39" s="6">
        <v>1</v>
      </c>
      <c r="Q39" s="7">
        <v>9.25</v>
      </c>
      <c r="R39" s="7">
        <v>7</v>
      </c>
      <c r="S39" s="4" t="s">
        <v>301</v>
      </c>
      <c r="T39" s="4" t="s">
        <v>302</v>
      </c>
      <c r="U39" s="5">
        <v>8.7759999999999998</v>
      </c>
      <c r="V39" s="6">
        <v>0.25</v>
      </c>
      <c r="W39" s="7">
        <v>3</v>
      </c>
      <c r="X39" s="5">
        <v>2.9540000000000002</v>
      </c>
      <c r="Y39" s="4" t="s">
        <v>292</v>
      </c>
      <c r="Z39" s="6">
        <v>4</v>
      </c>
      <c r="AA39" s="6">
        <v>1</v>
      </c>
      <c r="AB39" s="5">
        <v>11.816000000000001</v>
      </c>
      <c r="AC39" s="6">
        <v>1</v>
      </c>
      <c r="AD39" s="6">
        <v>1</v>
      </c>
      <c r="AE39" s="5">
        <v>11.816000000000001</v>
      </c>
      <c r="AF39" s="5">
        <v>11.816000000000001</v>
      </c>
      <c r="AG39" s="7">
        <v>7</v>
      </c>
      <c r="AH39" s="7">
        <v>0</v>
      </c>
      <c r="AI39" s="7">
        <v>17</v>
      </c>
      <c r="AJ39" s="7">
        <v>0</v>
      </c>
      <c r="AK39" s="8">
        <v>44115.522847222222</v>
      </c>
      <c r="AL39" s="7">
        <v>0.22</v>
      </c>
      <c r="AM39" s="7">
        <v>100</v>
      </c>
      <c r="AN39" s="7">
        <v>0</v>
      </c>
      <c r="AO39" s="7">
        <v>0.15</v>
      </c>
      <c r="AP39" s="7">
        <v>0</v>
      </c>
      <c r="AQ39" s="7">
        <v>0.45</v>
      </c>
      <c r="AR39" s="7">
        <v>0.09</v>
      </c>
      <c r="AS39" s="4" t="s">
        <v>303</v>
      </c>
      <c r="AT39" s="7">
        <v>0</v>
      </c>
      <c r="AU39" s="4" t="s">
        <v>326</v>
      </c>
      <c r="AV39" s="4" t="s">
        <v>305</v>
      </c>
    </row>
    <row r="40" spans="1:49" s="4" customFormat="1" x14ac:dyDescent="0.25">
      <c r="A40" s="4" t="s">
        <v>11201</v>
      </c>
      <c r="B40" s="4" t="s">
        <v>293</v>
      </c>
      <c r="C40" s="4" t="s">
        <v>327</v>
      </c>
      <c r="D40" s="4" t="s">
        <v>328</v>
      </c>
      <c r="F40" s="4" t="s">
        <v>11462</v>
      </c>
      <c r="G40" s="4" t="s">
        <v>11463</v>
      </c>
      <c r="I40" s="4" t="s">
        <v>296</v>
      </c>
      <c r="J40" s="4" t="s">
        <v>297</v>
      </c>
      <c r="K40" s="4" t="s">
        <v>298</v>
      </c>
      <c r="L40" s="4" t="s">
        <v>299</v>
      </c>
      <c r="M40" s="4" t="s">
        <v>300</v>
      </c>
      <c r="N40" s="4" t="s">
        <v>11198</v>
      </c>
      <c r="O40" s="5">
        <v>84.759</v>
      </c>
      <c r="P40" s="6">
        <v>1</v>
      </c>
      <c r="Q40" s="7">
        <v>9.25</v>
      </c>
      <c r="R40" s="7">
        <v>12</v>
      </c>
      <c r="S40" s="4" t="s">
        <v>301</v>
      </c>
      <c r="T40" s="4" t="s">
        <v>302</v>
      </c>
      <c r="U40" s="5">
        <v>107.63</v>
      </c>
      <c r="V40" s="6">
        <v>0.45</v>
      </c>
      <c r="W40" s="7">
        <v>1.5</v>
      </c>
      <c r="X40" s="5">
        <v>38.944000000000003</v>
      </c>
      <c r="Y40" s="4" t="s">
        <v>292</v>
      </c>
      <c r="Z40" s="6">
        <v>1</v>
      </c>
      <c r="AA40" s="6">
        <v>1</v>
      </c>
      <c r="AB40" s="5">
        <v>38.944000000000003</v>
      </c>
      <c r="AC40" s="6">
        <v>1</v>
      </c>
      <c r="AD40" s="6">
        <v>1</v>
      </c>
      <c r="AE40" s="5">
        <v>38.944000000000003</v>
      </c>
      <c r="AF40" s="7">
        <v>10</v>
      </c>
      <c r="AG40" s="7">
        <v>12</v>
      </c>
      <c r="AH40" s="7">
        <v>9.25</v>
      </c>
      <c r="AI40" s="7">
        <v>0</v>
      </c>
      <c r="AJ40" s="7">
        <v>0</v>
      </c>
      <c r="AK40" s="8">
        <v>44115.505624999998</v>
      </c>
      <c r="AL40" s="7">
        <v>4.84</v>
      </c>
      <c r="AM40" s="7">
        <v>100</v>
      </c>
      <c r="AN40" s="7">
        <v>0</v>
      </c>
      <c r="AO40" s="7">
        <v>5.81</v>
      </c>
      <c r="AP40" s="7">
        <v>4.4800000000000004</v>
      </c>
      <c r="AQ40" s="7">
        <v>0</v>
      </c>
      <c r="AR40" s="7">
        <v>0.8</v>
      </c>
      <c r="AS40" s="4" t="s">
        <v>303</v>
      </c>
      <c r="AT40" s="7">
        <v>0</v>
      </c>
      <c r="AU40" s="4" t="s">
        <v>329</v>
      </c>
      <c r="AV40" s="4" t="s">
        <v>305</v>
      </c>
      <c r="AW40" s="4" t="s">
        <v>292</v>
      </c>
    </row>
    <row r="41" spans="1:49" s="4" customFormat="1" x14ac:dyDescent="0.25">
      <c r="A41" s="4" t="s">
        <v>11199</v>
      </c>
      <c r="B41" s="4" t="s">
        <v>293</v>
      </c>
      <c r="C41" s="4" t="s">
        <v>327</v>
      </c>
      <c r="D41" s="4" t="s">
        <v>328</v>
      </c>
      <c r="F41" s="4" t="s">
        <v>11462</v>
      </c>
      <c r="G41" s="4" t="s">
        <v>11463</v>
      </c>
      <c r="I41" s="4" t="s">
        <v>296</v>
      </c>
      <c r="J41" s="4" t="s">
        <v>297</v>
      </c>
      <c r="K41" s="4" t="s">
        <v>298</v>
      </c>
      <c r="L41" s="4" t="s">
        <v>299</v>
      </c>
      <c r="M41" s="4" t="s">
        <v>300</v>
      </c>
      <c r="N41" s="4" t="s">
        <v>11198</v>
      </c>
      <c r="O41" s="5">
        <v>84.760999999999996</v>
      </c>
      <c r="P41" s="6">
        <v>1</v>
      </c>
      <c r="Q41" s="7">
        <v>9.25</v>
      </c>
      <c r="R41" s="7">
        <v>7</v>
      </c>
      <c r="S41" s="4" t="s">
        <v>301</v>
      </c>
      <c r="T41" s="4" t="s">
        <v>302</v>
      </c>
      <c r="U41" s="5">
        <v>101.20699999999999</v>
      </c>
      <c r="V41" s="6">
        <v>0.45</v>
      </c>
      <c r="W41" s="7">
        <v>2</v>
      </c>
      <c r="X41" s="5">
        <v>39.143000000000001</v>
      </c>
      <c r="Y41" s="4" t="s">
        <v>292</v>
      </c>
      <c r="Z41" s="6">
        <v>1</v>
      </c>
      <c r="AA41" s="6">
        <v>1</v>
      </c>
      <c r="AB41" s="5">
        <v>39.143000000000001</v>
      </c>
      <c r="AC41" s="6">
        <v>1</v>
      </c>
      <c r="AD41" s="6">
        <v>1</v>
      </c>
      <c r="AE41" s="5">
        <v>39.143000000000001</v>
      </c>
      <c r="AF41" s="7">
        <v>10</v>
      </c>
      <c r="AG41" s="7">
        <v>7</v>
      </c>
      <c r="AH41" s="7">
        <v>9.25</v>
      </c>
      <c r="AI41" s="7">
        <v>0</v>
      </c>
      <c r="AJ41" s="7">
        <v>0</v>
      </c>
      <c r="AK41" s="8">
        <v>44115.504641203705</v>
      </c>
      <c r="AL41" s="7">
        <v>4.55</v>
      </c>
      <c r="AM41" s="7">
        <v>100</v>
      </c>
      <c r="AN41" s="7">
        <v>0</v>
      </c>
      <c r="AO41" s="7">
        <v>3.19</v>
      </c>
      <c r="AP41" s="7">
        <v>4.21</v>
      </c>
      <c r="AQ41" s="7">
        <v>0</v>
      </c>
      <c r="AR41" s="7">
        <v>1</v>
      </c>
      <c r="AS41" s="4" t="s">
        <v>303</v>
      </c>
      <c r="AT41" s="7">
        <v>0</v>
      </c>
      <c r="AU41" s="4" t="s">
        <v>329</v>
      </c>
      <c r="AV41" s="4" t="s">
        <v>305</v>
      </c>
      <c r="AW41" s="4" t="s">
        <v>292</v>
      </c>
    </row>
    <row r="42" spans="1:49" s="4" customFormat="1" x14ac:dyDescent="0.25">
      <c r="A42" s="4" t="s">
        <v>395</v>
      </c>
      <c r="B42" s="4" t="s">
        <v>293</v>
      </c>
      <c r="C42" s="4" t="s">
        <v>327</v>
      </c>
      <c r="D42" s="4" t="s">
        <v>328</v>
      </c>
      <c r="F42" s="4" t="s">
        <v>11462</v>
      </c>
      <c r="G42" s="4" t="s">
        <v>11463</v>
      </c>
      <c r="I42" s="4" t="s">
        <v>296</v>
      </c>
      <c r="J42" s="4" t="s">
        <v>297</v>
      </c>
      <c r="K42" s="4" t="s">
        <v>298</v>
      </c>
      <c r="L42" s="4" t="s">
        <v>299</v>
      </c>
      <c r="M42" s="4" t="s">
        <v>300</v>
      </c>
      <c r="N42" s="4" t="s">
        <v>447</v>
      </c>
      <c r="O42" s="5">
        <v>84.760999999999996</v>
      </c>
      <c r="P42" s="6">
        <v>1</v>
      </c>
      <c r="Q42" s="7">
        <v>9.25</v>
      </c>
      <c r="R42" s="7">
        <v>7</v>
      </c>
      <c r="S42" s="4" t="s">
        <v>301</v>
      </c>
      <c r="T42" s="4" t="s">
        <v>302</v>
      </c>
      <c r="U42" s="5">
        <v>101.20699999999999</v>
      </c>
      <c r="V42" s="6">
        <v>0.45</v>
      </c>
      <c r="W42" s="7">
        <v>4</v>
      </c>
      <c r="X42" s="5">
        <v>53.343000000000004</v>
      </c>
      <c r="Y42" s="4" t="s">
        <v>292</v>
      </c>
      <c r="Z42" s="6">
        <v>1</v>
      </c>
      <c r="AA42" s="6">
        <v>0.75254500000000002</v>
      </c>
      <c r="AB42" s="5">
        <v>53.343000000000004</v>
      </c>
      <c r="AC42" s="6">
        <v>1</v>
      </c>
      <c r="AD42" s="6">
        <v>0.75254500000000002</v>
      </c>
      <c r="AE42" s="5">
        <v>53.343000000000004</v>
      </c>
      <c r="AF42" s="7">
        <v>10</v>
      </c>
      <c r="AG42" s="7">
        <v>7</v>
      </c>
      <c r="AH42" s="7">
        <v>9.25</v>
      </c>
      <c r="AI42" s="7">
        <v>17</v>
      </c>
      <c r="AJ42" s="7">
        <v>0</v>
      </c>
      <c r="AK42" s="8">
        <v>44115.504652777781</v>
      </c>
      <c r="AL42" s="7">
        <v>4.55</v>
      </c>
      <c r="AM42" s="7">
        <v>100</v>
      </c>
      <c r="AN42" s="7">
        <v>0</v>
      </c>
      <c r="AO42" s="7">
        <v>3.19</v>
      </c>
      <c r="AP42" s="7">
        <v>4.21</v>
      </c>
      <c r="AQ42" s="7">
        <v>9.6199999999999992</v>
      </c>
      <c r="AR42" s="7">
        <v>2.39</v>
      </c>
      <c r="AS42" s="4" t="s">
        <v>303</v>
      </c>
      <c r="AT42" s="7">
        <v>0</v>
      </c>
      <c r="AU42" s="4" t="s">
        <v>329</v>
      </c>
      <c r="AV42" s="4" t="s">
        <v>305</v>
      </c>
      <c r="AW42" s="4" t="s">
        <v>292</v>
      </c>
    </row>
    <row r="43" spans="1:49" s="4" customFormat="1" x14ac:dyDescent="0.25">
      <c r="A43" s="4" t="s">
        <v>11200</v>
      </c>
      <c r="B43" s="4" t="s">
        <v>293</v>
      </c>
      <c r="C43" s="4" t="s">
        <v>327</v>
      </c>
      <c r="D43" s="4" t="s">
        <v>328</v>
      </c>
      <c r="F43" s="4" t="s">
        <v>11462</v>
      </c>
      <c r="G43" s="4" t="s">
        <v>11463</v>
      </c>
      <c r="I43" s="4" t="s">
        <v>296</v>
      </c>
      <c r="J43" s="4" t="s">
        <v>297</v>
      </c>
      <c r="K43" s="4" t="s">
        <v>298</v>
      </c>
      <c r="L43" s="4" t="s">
        <v>299</v>
      </c>
      <c r="M43" s="4" t="s">
        <v>300</v>
      </c>
      <c r="N43" s="4" t="s">
        <v>11198</v>
      </c>
      <c r="O43" s="5">
        <v>84.760999999999996</v>
      </c>
      <c r="P43" s="6">
        <v>1</v>
      </c>
      <c r="Q43" s="7">
        <v>9.25</v>
      </c>
      <c r="R43" s="7">
        <v>18</v>
      </c>
      <c r="S43" s="4" t="s">
        <v>301</v>
      </c>
      <c r="T43" s="4" t="s">
        <v>302</v>
      </c>
      <c r="U43" s="5">
        <v>116.51</v>
      </c>
      <c r="V43" s="6">
        <v>0.45</v>
      </c>
      <c r="W43" s="7">
        <v>1.5</v>
      </c>
      <c r="X43" s="5">
        <v>39.01</v>
      </c>
      <c r="Y43" s="4" t="s">
        <v>292</v>
      </c>
      <c r="Z43" s="6">
        <v>1</v>
      </c>
      <c r="AA43" s="6">
        <v>1</v>
      </c>
      <c r="AB43" s="5">
        <v>39.01</v>
      </c>
      <c r="AC43" s="6">
        <v>1</v>
      </c>
      <c r="AD43" s="6">
        <v>1</v>
      </c>
      <c r="AE43" s="5">
        <v>39.01</v>
      </c>
      <c r="AF43" s="7">
        <v>10</v>
      </c>
      <c r="AG43" s="7">
        <v>18</v>
      </c>
      <c r="AH43" s="7">
        <v>9.25</v>
      </c>
      <c r="AI43" s="7">
        <v>0</v>
      </c>
      <c r="AJ43" s="7">
        <v>0</v>
      </c>
      <c r="AK43" s="8">
        <v>44115.502002314817</v>
      </c>
      <c r="AL43" s="7">
        <v>5.24</v>
      </c>
      <c r="AM43" s="7">
        <v>100</v>
      </c>
      <c r="AN43" s="7">
        <v>0</v>
      </c>
      <c r="AO43" s="7">
        <v>9.44</v>
      </c>
      <c r="AP43" s="7">
        <v>4.8499999999999996</v>
      </c>
      <c r="AQ43" s="7">
        <v>0</v>
      </c>
      <c r="AR43" s="7">
        <v>0.87</v>
      </c>
      <c r="AS43" s="4" t="s">
        <v>303</v>
      </c>
      <c r="AT43" s="7">
        <v>0</v>
      </c>
      <c r="AU43" s="4" t="s">
        <v>329</v>
      </c>
      <c r="AV43" s="4" t="s">
        <v>305</v>
      </c>
      <c r="AW43" s="4" t="s">
        <v>292</v>
      </c>
    </row>
    <row r="44" spans="1:49" s="4" customFormat="1" x14ac:dyDescent="0.25">
      <c r="A44" s="4" t="s">
        <v>11207</v>
      </c>
      <c r="B44" s="4" t="s">
        <v>293</v>
      </c>
      <c r="C44" s="4" t="s">
        <v>327</v>
      </c>
      <c r="D44" s="4" t="s">
        <v>328</v>
      </c>
      <c r="F44" s="4" t="s">
        <v>11236</v>
      </c>
      <c r="G44" s="4" t="s">
        <v>11237</v>
      </c>
      <c r="I44" s="4" t="s">
        <v>296</v>
      </c>
      <c r="J44" s="4" t="s">
        <v>297</v>
      </c>
      <c r="K44" s="4" t="s">
        <v>298</v>
      </c>
      <c r="L44" s="4" t="s">
        <v>299</v>
      </c>
      <c r="M44" s="4" t="s">
        <v>300</v>
      </c>
      <c r="N44" s="4" t="s">
        <v>11238</v>
      </c>
      <c r="O44" s="5">
        <v>39.01</v>
      </c>
      <c r="P44" s="6">
        <v>1</v>
      </c>
      <c r="Q44" s="7">
        <v>9.25</v>
      </c>
      <c r="R44" s="7">
        <v>7</v>
      </c>
      <c r="S44" s="4" t="s">
        <v>301</v>
      </c>
      <c r="T44" s="4" t="s">
        <v>302</v>
      </c>
      <c r="U44" s="5">
        <v>46.579000000000001</v>
      </c>
      <c r="V44" s="6">
        <v>0.25</v>
      </c>
      <c r="W44" s="7">
        <v>3</v>
      </c>
      <c r="X44" s="5">
        <v>15.685</v>
      </c>
      <c r="Y44" s="4" t="s">
        <v>292</v>
      </c>
      <c r="Z44" s="6">
        <v>4</v>
      </c>
      <c r="AA44" s="6">
        <v>1</v>
      </c>
      <c r="AB44" s="5">
        <v>62.74</v>
      </c>
      <c r="AC44" s="6">
        <v>1</v>
      </c>
      <c r="AD44" s="6">
        <v>1</v>
      </c>
      <c r="AE44" s="5">
        <v>62.74</v>
      </c>
      <c r="AF44" s="5">
        <v>62.74</v>
      </c>
      <c r="AG44" s="7">
        <v>7</v>
      </c>
      <c r="AH44" s="7">
        <v>0</v>
      </c>
      <c r="AI44" s="7">
        <v>17</v>
      </c>
      <c r="AJ44" s="7">
        <v>0</v>
      </c>
      <c r="AK44" s="8">
        <v>44115.5234375</v>
      </c>
      <c r="AL44" s="7">
        <v>1.17</v>
      </c>
      <c r="AM44" s="7">
        <v>100</v>
      </c>
      <c r="AN44" s="7">
        <v>0</v>
      </c>
      <c r="AO44" s="7">
        <v>0.82</v>
      </c>
      <c r="AP44" s="7">
        <v>0</v>
      </c>
      <c r="AQ44" s="7">
        <v>2.41</v>
      </c>
      <c r="AR44" s="7">
        <v>0.46</v>
      </c>
      <c r="AS44" s="4" t="s">
        <v>303</v>
      </c>
      <c r="AT44" s="7">
        <v>0</v>
      </c>
      <c r="AU44" s="4" t="s">
        <v>329</v>
      </c>
      <c r="AV44" s="4" t="s">
        <v>305</v>
      </c>
    </row>
    <row r="45" spans="1:49" s="4" customFormat="1" x14ac:dyDescent="0.25">
      <c r="A45" s="4" t="s">
        <v>11201</v>
      </c>
      <c r="B45" s="4" t="s">
        <v>293</v>
      </c>
      <c r="C45" s="4" t="s">
        <v>330</v>
      </c>
      <c r="D45" s="4" t="s">
        <v>331</v>
      </c>
      <c r="F45" s="4" t="s">
        <v>11236</v>
      </c>
      <c r="G45" s="4" t="s">
        <v>11237</v>
      </c>
      <c r="I45" s="4" t="s">
        <v>292</v>
      </c>
      <c r="J45" s="4" t="s">
        <v>297</v>
      </c>
      <c r="K45" s="4" t="s">
        <v>298</v>
      </c>
      <c r="L45" s="4" t="s">
        <v>299</v>
      </c>
      <c r="M45" s="4" t="s">
        <v>300</v>
      </c>
      <c r="N45" s="4" t="s">
        <v>11198</v>
      </c>
      <c r="O45" s="5">
        <v>60.509</v>
      </c>
      <c r="P45" s="6">
        <v>1</v>
      </c>
      <c r="Q45" s="7">
        <v>9.25</v>
      </c>
      <c r="R45" s="7">
        <v>12</v>
      </c>
      <c r="S45" s="4" t="s">
        <v>301</v>
      </c>
      <c r="T45" s="4" t="s">
        <v>302</v>
      </c>
      <c r="U45" s="5">
        <v>76.837000000000003</v>
      </c>
      <c r="V45" s="6">
        <v>1</v>
      </c>
      <c r="W45" s="7">
        <v>4</v>
      </c>
      <c r="X45" s="5">
        <v>63.887</v>
      </c>
      <c r="Y45" s="4" t="s">
        <v>292</v>
      </c>
      <c r="Z45" s="6">
        <v>1</v>
      </c>
      <c r="AA45" s="6">
        <v>1</v>
      </c>
      <c r="AB45" s="5">
        <v>63.887</v>
      </c>
      <c r="AC45" s="6">
        <v>1</v>
      </c>
      <c r="AD45" s="6">
        <v>1</v>
      </c>
      <c r="AE45" s="5">
        <v>63.887</v>
      </c>
      <c r="AF45" s="5">
        <v>63.887</v>
      </c>
      <c r="AG45" s="7">
        <v>12</v>
      </c>
      <c r="AH45" s="7">
        <v>9.25</v>
      </c>
      <c r="AI45" s="7">
        <v>0</v>
      </c>
      <c r="AJ45" s="7">
        <v>0</v>
      </c>
      <c r="AK45" s="8">
        <v>44115.002638888887</v>
      </c>
      <c r="AL45" s="7">
        <v>7.68</v>
      </c>
      <c r="AM45" s="7">
        <v>100</v>
      </c>
      <c r="AN45" s="7">
        <v>0</v>
      </c>
      <c r="AO45" s="7">
        <v>9.2200000000000006</v>
      </c>
      <c r="AP45" s="7">
        <v>7.11</v>
      </c>
      <c r="AQ45" s="7">
        <v>0</v>
      </c>
      <c r="AR45" s="7">
        <v>3.38</v>
      </c>
      <c r="AS45" s="4" t="s">
        <v>303</v>
      </c>
      <c r="AT45" s="7">
        <v>0</v>
      </c>
      <c r="AU45" s="4" t="s">
        <v>332</v>
      </c>
      <c r="AV45" s="4" t="s">
        <v>305</v>
      </c>
    </row>
    <row r="46" spans="1:49" s="4" customFormat="1" x14ac:dyDescent="0.25">
      <c r="A46" s="4" t="s">
        <v>11201</v>
      </c>
      <c r="B46" s="4" t="s">
        <v>293</v>
      </c>
      <c r="C46" s="4" t="s">
        <v>330</v>
      </c>
      <c r="D46" s="4" t="s">
        <v>331</v>
      </c>
      <c r="F46" s="4" t="s">
        <v>11462</v>
      </c>
      <c r="G46" s="4" t="s">
        <v>11463</v>
      </c>
      <c r="I46" s="4" t="s">
        <v>296</v>
      </c>
      <c r="J46" s="4" t="s">
        <v>297</v>
      </c>
      <c r="K46" s="4" t="s">
        <v>298</v>
      </c>
      <c r="L46" s="4" t="s">
        <v>299</v>
      </c>
      <c r="M46" s="4" t="s">
        <v>300</v>
      </c>
      <c r="N46" s="4" t="s">
        <v>11198</v>
      </c>
      <c r="O46" s="5">
        <v>131.48099999999999</v>
      </c>
      <c r="P46" s="6">
        <v>1</v>
      </c>
      <c r="Q46" s="7">
        <v>9.25</v>
      </c>
      <c r="R46" s="7">
        <v>12</v>
      </c>
      <c r="S46" s="4" t="s">
        <v>301</v>
      </c>
      <c r="T46" s="4" t="s">
        <v>302</v>
      </c>
      <c r="U46" s="5">
        <v>166.96</v>
      </c>
      <c r="V46" s="6">
        <v>0.45</v>
      </c>
      <c r="W46" s="7">
        <v>1.5</v>
      </c>
      <c r="X46" s="5">
        <v>60.402000000000001</v>
      </c>
      <c r="Y46" s="4" t="s">
        <v>292</v>
      </c>
      <c r="Z46" s="6">
        <v>1</v>
      </c>
      <c r="AA46" s="6">
        <v>1</v>
      </c>
      <c r="AB46" s="5">
        <v>60.402000000000001</v>
      </c>
      <c r="AC46" s="6">
        <v>1</v>
      </c>
      <c r="AD46" s="6">
        <v>1</v>
      </c>
      <c r="AE46" s="5">
        <v>60.402000000000001</v>
      </c>
      <c r="AF46" s="7">
        <v>10</v>
      </c>
      <c r="AG46" s="7">
        <v>12</v>
      </c>
      <c r="AH46" s="7">
        <v>9.25</v>
      </c>
      <c r="AI46" s="7">
        <v>0</v>
      </c>
      <c r="AJ46" s="7">
        <v>0</v>
      </c>
      <c r="AK46" s="8">
        <v>44115.505648148152</v>
      </c>
      <c r="AL46" s="7">
        <v>7.51</v>
      </c>
      <c r="AM46" s="7">
        <v>100</v>
      </c>
      <c r="AN46" s="7">
        <v>0</v>
      </c>
      <c r="AO46" s="7">
        <v>9.02</v>
      </c>
      <c r="AP46" s="7">
        <v>6.95</v>
      </c>
      <c r="AQ46" s="7">
        <v>0</v>
      </c>
      <c r="AR46" s="7">
        <v>1.24</v>
      </c>
      <c r="AS46" s="4" t="s">
        <v>303</v>
      </c>
      <c r="AT46" s="7">
        <v>0</v>
      </c>
      <c r="AU46" s="4" t="s">
        <v>332</v>
      </c>
      <c r="AV46" s="4" t="s">
        <v>305</v>
      </c>
      <c r="AW46" s="4" t="s">
        <v>292</v>
      </c>
    </row>
    <row r="47" spans="1:49" s="4" customFormat="1" x14ac:dyDescent="0.25">
      <c r="A47" s="4" t="s">
        <v>11199</v>
      </c>
      <c r="B47" s="4" t="s">
        <v>293</v>
      </c>
      <c r="C47" s="4" t="s">
        <v>330</v>
      </c>
      <c r="D47" s="4" t="s">
        <v>331</v>
      </c>
      <c r="F47" s="4" t="s">
        <v>11462</v>
      </c>
      <c r="G47" s="4" t="s">
        <v>11463</v>
      </c>
      <c r="I47" s="4" t="s">
        <v>296</v>
      </c>
      <c r="J47" s="4" t="s">
        <v>297</v>
      </c>
      <c r="K47" t="s">
        <v>5</v>
      </c>
      <c r="L47" s="4" t="s">
        <v>299</v>
      </c>
      <c r="M47" s="4" t="s">
        <v>300</v>
      </c>
      <c r="N47" s="4" t="s">
        <v>11198</v>
      </c>
      <c r="O47" s="5">
        <v>131.48099999999999</v>
      </c>
      <c r="P47" s="6">
        <v>1</v>
      </c>
      <c r="Q47" s="7">
        <v>9.25</v>
      </c>
      <c r="R47" s="7">
        <v>7</v>
      </c>
      <c r="S47" s="4" t="s">
        <v>301</v>
      </c>
      <c r="T47" s="4" t="s">
        <v>302</v>
      </c>
      <c r="U47" s="5">
        <v>156.99199999999999</v>
      </c>
      <c r="V47" s="6">
        <v>0.45</v>
      </c>
      <c r="W47" s="7">
        <v>2</v>
      </c>
      <c r="X47" s="5">
        <v>60.706000000000003</v>
      </c>
      <c r="Y47" s="4" t="s">
        <v>292</v>
      </c>
      <c r="Z47" s="6">
        <v>1</v>
      </c>
      <c r="AA47" s="6">
        <v>1</v>
      </c>
      <c r="AB47" s="5">
        <v>60.706000000000003</v>
      </c>
      <c r="AC47" s="6">
        <v>1</v>
      </c>
      <c r="AD47" s="6">
        <v>1</v>
      </c>
      <c r="AE47" s="5">
        <v>60.706000000000003</v>
      </c>
      <c r="AF47" s="7">
        <v>10</v>
      </c>
      <c r="AG47" s="7">
        <v>7</v>
      </c>
      <c r="AH47" s="7">
        <v>9.25</v>
      </c>
      <c r="AI47" s="7">
        <v>0</v>
      </c>
      <c r="AJ47" s="7">
        <v>0</v>
      </c>
      <c r="AK47" s="8">
        <v>44115.504675925928</v>
      </c>
      <c r="AL47" s="7">
        <v>7.07</v>
      </c>
      <c r="AM47" s="7">
        <v>100</v>
      </c>
      <c r="AN47" s="7">
        <v>0</v>
      </c>
      <c r="AO47" s="7">
        <v>4.95</v>
      </c>
      <c r="AP47" s="7">
        <v>6.54</v>
      </c>
      <c r="AQ47" s="7">
        <v>0</v>
      </c>
      <c r="AR47" s="7">
        <v>1.55</v>
      </c>
      <c r="AS47" s="4" t="s">
        <v>303</v>
      </c>
      <c r="AT47" s="7">
        <v>0</v>
      </c>
      <c r="AU47" s="4" t="s">
        <v>332</v>
      </c>
      <c r="AV47" s="4" t="s">
        <v>305</v>
      </c>
      <c r="AW47" s="4" t="s">
        <v>292</v>
      </c>
    </row>
    <row r="48" spans="1:49" s="4" customFormat="1" x14ac:dyDescent="0.25">
      <c r="A48" s="4" t="s">
        <v>395</v>
      </c>
      <c r="B48" s="4" t="s">
        <v>293</v>
      </c>
      <c r="C48" s="4" t="s">
        <v>330</v>
      </c>
      <c r="D48" s="4" t="s">
        <v>331</v>
      </c>
      <c r="F48" s="4" t="s">
        <v>11462</v>
      </c>
      <c r="G48" s="4" t="s">
        <v>11463</v>
      </c>
      <c r="I48" s="4" t="s">
        <v>296</v>
      </c>
      <c r="J48" s="4" t="s">
        <v>297</v>
      </c>
      <c r="K48" t="s">
        <v>6</v>
      </c>
      <c r="L48" s="4" t="s">
        <v>299</v>
      </c>
      <c r="M48" s="4" t="s">
        <v>300</v>
      </c>
      <c r="N48" s="4" t="s">
        <v>447</v>
      </c>
      <c r="O48" s="5">
        <v>131.48099999999999</v>
      </c>
      <c r="P48" s="6">
        <v>1</v>
      </c>
      <c r="Q48" s="7">
        <v>9.25</v>
      </c>
      <c r="R48" s="7">
        <v>7</v>
      </c>
      <c r="S48" s="4" t="s">
        <v>301</v>
      </c>
      <c r="T48" s="4" t="s">
        <v>302</v>
      </c>
      <c r="U48" s="5">
        <v>156.99199999999999</v>
      </c>
      <c r="V48" s="6">
        <v>0.45</v>
      </c>
      <c r="W48" s="7">
        <v>4</v>
      </c>
      <c r="X48" s="5">
        <v>82.736000000000004</v>
      </c>
      <c r="Y48" s="4" t="s">
        <v>292</v>
      </c>
      <c r="Z48" s="6">
        <v>1</v>
      </c>
      <c r="AA48" s="6">
        <v>0.75258700000000001</v>
      </c>
      <c r="AB48" s="5">
        <v>82.736000000000004</v>
      </c>
      <c r="AC48" s="6">
        <v>1</v>
      </c>
      <c r="AD48" s="6">
        <v>0.75258700000000001</v>
      </c>
      <c r="AE48" s="5">
        <v>82.736000000000004</v>
      </c>
      <c r="AF48" s="7">
        <v>10</v>
      </c>
      <c r="AG48" s="7">
        <v>7</v>
      </c>
      <c r="AH48" s="7">
        <v>9.25</v>
      </c>
      <c r="AI48" s="7">
        <v>17</v>
      </c>
      <c r="AJ48" s="7">
        <v>0</v>
      </c>
      <c r="AK48" s="8">
        <v>44115.504687499997</v>
      </c>
      <c r="AL48" s="7">
        <v>7.07</v>
      </c>
      <c r="AM48" s="7">
        <v>100</v>
      </c>
      <c r="AN48" s="7">
        <v>0</v>
      </c>
      <c r="AO48" s="7">
        <v>4.95</v>
      </c>
      <c r="AP48" s="7">
        <v>6.54</v>
      </c>
      <c r="AQ48" s="7">
        <v>14.92</v>
      </c>
      <c r="AR48" s="7">
        <v>3.71</v>
      </c>
      <c r="AS48" s="4" t="s">
        <v>303</v>
      </c>
      <c r="AT48" s="7">
        <v>0</v>
      </c>
      <c r="AU48" s="4" t="s">
        <v>332</v>
      </c>
      <c r="AV48" s="4" t="s">
        <v>305</v>
      </c>
      <c r="AW48" s="4" t="s">
        <v>292</v>
      </c>
    </row>
    <row r="49" spans="1:49" s="4" customFormat="1" x14ac:dyDescent="0.25">
      <c r="A49" s="4" t="s">
        <v>11200</v>
      </c>
      <c r="B49" s="4" t="s">
        <v>293</v>
      </c>
      <c r="C49" s="4" t="s">
        <v>330</v>
      </c>
      <c r="D49" s="4" t="s">
        <v>331</v>
      </c>
      <c r="F49" s="4" t="s">
        <v>11462</v>
      </c>
      <c r="G49" s="4" t="s">
        <v>11463</v>
      </c>
      <c r="I49" s="4" t="s">
        <v>296</v>
      </c>
      <c r="J49" s="4" t="s">
        <v>297</v>
      </c>
      <c r="K49" t="s">
        <v>8</v>
      </c>
      <c r="L49" s="4" t="s">
        <v>299</v>
      </c>
      <c r="M49" s="4" t="s">
        <v>300</v>
      </c>
      <c r="N49" s="4" t="s">
        <v>11198</v>
      </c>
      <c r="O49" s="5">
        <v>131.48099999999999</v>
      </c>
      <c r="P49" s="6">
        <v>1</v>
      </c>
      <c r="Q49" s="7">
        <v>9.25</v>
      </c>
      <c r="R49" s="7">
        <v>18</v>
      </c>
      <c r="S49" s="4" t="s">
        <v>301</v>
      </c>
      <c r="T49" s="4" t="s">
        <v>302</v>
      </c>
      <c r="U49" s="5">
        <v>180.73</v>
      </c>
      <c r="V49" s="6">
        <v>0.45</v>
      </c>
      <c r="W49" s="7">
        <v>1.5</v>
      </c>
      <c r="X49" s="5">
        <v>60.509</v>
      </c>
      <c r="Y49" s="4" t="s">
        <v>292</v>
      </c>
      <c r="Z49" s="6">
        <v>1</v>
      </c>
      <c r="AA49" s="6">
        <v>1</v>
      </c>
      <c r="AB49" s="5">
        <v>60.509</v>
      </c>
      <c r="AC49" s="6">
        <v>1</v>
      </c>
      <c r="AD49" s="6">
        <v>1</v>
      </c>
      <c r="AE49" s="5">
        <v>60.509</v>
      </c>
      <c r="AF49" s="7">
        <v>10</v>
      </c>
      <c r="AG49" s="7">
        <v>18</v>
      </c>
      <c r="AH49" s="7">
        <v>9.25</v>
      </c>
      <c r="AI49" s="7">
        <v>0</v>
      </c>
      <c r="AJ49" s="7">
        <v>0</v>
      </c>
      <c r="AK49" s="8">
        <v>44115.50203703704</v>
      </c>
      <c r="AL49" s="7">
        <v>8.1300000000000008</v>
      </c>
      <c r="AM49" s="7">
        <v>100</v>
      </c>
      <c r="AN49" s="7">
        <v>0</v>
      </c>
      <c r="AO49" s="7">
        <v>14.64</v>
      </c>
      <c r="AP49" s="7">
        <v>7.52</v>
      </c>
      <c r="AQ49" s="7">
        <v>0</v>
      </c>
      <c r="AR49" s="7">
        <v>1.34</v>
      </c>
      <c r="AS49" s="4" t="s">
        <v>303</v>
      </c>
      <c r="AT49" s="7">
        <v>0</v>
      </c>
      <c r="AU49" s="4" t="s">
        <v>332</v>
      </c>
      <c r="AV49" s="4" t="s">
        <v>305</v>
      </c>
      <c r="AW49" s="4" t="s">
        <v>292</v>
      </c>
    </row>
    <row r="50" spans="1:49" s="4" customFormat="1" x14ac:dyDescent="0.25">
      <c r="A50" s="4" t="s">
        <v>11207</v>
      </c>
      <c r="B50" s="4" t="s">
        <v>293</v>
      </c>
      <c r="C50" s="4" t="s">
        <v>330</v>
      </c>
      <c r="D50" s="4" t="s">
        <v>331</v>
      </c>
      <c r="F50" s="4" t="s">
        <v>11236</v>
      </c>
      <c r="G50" s="4" t="s">
        <v>11237</v>
      </c>
      <c r="I50" s="4" t="s">
        <v>296</v>
      </c>
      <c r="J50" s="4" t="s">
        <v>297</v>
      </c>
      <c r="K50" s="4" t="s">
        <v>298</v>
      </c>
      <c r="L50" s="4" t="s">
        <v>299</v>
      </c>
      <c r="M50" s="4" t="s">
        <v>300</v>
      </c>
      <c r="N50" s="4" t="s">
        <v>11238</v>
      </c>
      <c r="O50" s="5">
        <v>60.51</v>
      </c>
      <c r="P50" s="6">
        <v>1</v>
      </c>
      <c r="Q50" s="7">
        <v>9.25</v>
      </c>
      <c r="R50" s="7">
        <v>7</v>
      </c>
      <c r="S50" s="4" t="s">
        <v>301</v>
      </c>
      <c r="T50" s="4" t="s">
        <v>302</v>
      </c>
      <c r="U50" s="5">
        <v>72.251000000000005</v>
      </c>
      <c r="V50" s="6">
        <v>0.25</v>
      </c>
      <c r="W50" s="7">
        <v>3</v>
      </c>
      <c r="X50" s="5">
        <v>24.312999999999999</v>
      </c>
      <c r="Y50" s="4" t="s">
        <v>292</v>
      </c>
      <c r="Z50" s="6">
        <v>4</v>
      </c>
      <c r="AA50" s="6">
        <v>1</v>
      </c>
      <c r="AB50" s="5">
        <v>97.251999999999995</v>
      </c>
      <c r="AC50" s="6">
        <v>1</v>
      </c>
      <c r="AD50" s="6">
        <v>1</v>
      </c>
      <c r="AE50" s="5">
        <v>97.251999999999995</v>
      </c>
      <c r="AF50" s="5">
        <v>97.251999999999995</v>
      </c>
      <c r="AG50" s="7">
        <v>7</v>
      </c>
      <c r="AH50" s="7">
        <v>0</v>
      </c>
      <c r="AI50" s="7">
        <v>17</v>
      </c>
      <c r="AJ50" s="7">
        <v>0</v>
      </c>
      <c r="AK50" s="8">
        <v>44115.523449074077</v>
      </c>
      <c r="AL50" s="7">
        <v>1.81</v>
      </c>
      <c r="AM50" s="7">
        <v>100</v>
      </c>
      <c r="AN50" s="7">
        <v>0</v>
      </c>
      <c r="AO50" s="7">
        <v>1.26</v>
      </c>
      <c r="AP50" s="7">
        <v>0</v>
      </c>
      <c r="AQ50" s="7">
        <v>3.73</v>
      </c>
      <c r="AR50" s="7">
        <v>0.71</v>
      </c>
      <c r="AS50" s="4" t="s">
        <v>303</v>
      </c>
      <c r="AT50" s="7">
        <v>0</v>
      </c>
      <c r="AU50" s="4" t="s">
        <v>332</v>
      </c>
      <c r="AV50" s="4" t="s">
        <v>305</v>
      </c>
    </row>
    <row r="51" spans="1:49" s="4" customFormat="1" x14ac:dyDescent="0.25">
      <c r="A51" s="4" t="s">
        <v>11201</v>
      </c>
      <c r="B51" s="4" t="s">
        <v>293</v>
      </c>
      <c r="C51" s="4" t="s">
        <v>333</v>
      </c>
      <c r="D51" s="4" t="s">
        <v>334</v>
      </c>
      <c r="F51" s="4" t="s">
        <v>11462</v>
      </c>
      <c r="G51" s="4" t="s">
        <v>11463</v>
      </c>
      <c r="I51" s="4" t="s">
        <v>296</v>
      </c>
      <c r="J51" s="4" t="s">
        <v>297</v>
      </c>
      <c r="K51" s="4" t="s">
        <v>298</v>
      </c>
      <c r="L51" s="4" t="s">
        <v>299</v>
      </c>
      <c r="M51" s="4" t="s">
        <v>300</v>
      </c>
      <c r="N51" s="4" t="s">
        <v>11198</v>
      </c>
      <c r="O51" s="5">
        <v>346.428</v>
      </c>
      <c r="P51" s="6">
        <v>1</v>
      </c>
      <c r="Q51" s="7">
        <v>9.25</v>
      </c>
      <c r="R51" s="7">
        <v>12</v>
      </c>
      <c r="S51" s="4" t="s">
        <v>301</v>
      </c>
      <c r="T51" s="4" t="s">
        <v>302</v>
      </c>
      <c r="U51" s="5">
        <v>439.90899999999999</v>
      </c>
      <c r="V51" s="6">
        <v>0.45</v>
      </c>
      <c r="W51" s="7">
        <v>1.5</v>
      </c>
      <c r="X51" s="5">
        <v>159.16900000000001</v>
      </c>
      <c r="Y51" s="4" t="s">
        <v>292</v>
      </c>
      <c r="Z51" s="6">
        <v>1</v>
      </c>
      <c r="AA51" s="6">
        <v>1</v>
      </c>
      <c r="AB51" s="5">
        <v>159.16900000000001</v>
      </c>
      <c r="AC51" s="6">
        <v>1</v>
      </c>
      <c r="AD51" s="6">
        <v>1</v>
      </c>
      <c r="AE51" s="5">
        <v>159.16900000000001</v>
      </c>
      <c r="AF51" s="7">
        <v>10</v>
      </c>
      <c r="AG51" s="7">
        <v>12</v>
      </c>
      <c r="AH51" s="7">
        <v>9.25</v>
      </c>
      <c r="AI51" s="7">
        <v>0</v>
      </c>
      <c r="AJ51" s="7">
        <v>0</v>
      </c>
      <c r="AK51" s="8">
        <v>44115.505694444444</v>
      </c>
      <c r="AL51" s="7">
        <v>19.8</v>
      </c>
      <c r="AM51" s="7">
        <v>100</v>
      </c>
      <c r="AN51" s="7">
        <v>0</v>
      </c>
      <c r="AO51" s="7">
        <v>23.75</v>
      </c>
      <c r="AP51" s="7">
        <v>18.309999999999999</v>
      </c>
      <c r="AQ51" s="7">
        <v>0</v>
      </c>
      <c r="AR51" s="7">
        <v>3.27</v>
      </c>
      <c r="AS51" s="4" t="s">
        <v>303</v>
      </c>
      <c r="AT51" s="7">
        <v>0</v>
      </c>
      <c r="AU51" s="4" t="s">
        <v>335</v>
      </c>
      <c r="AV51" s="4" t="s">
        <v>305</v>
      </c>
      <c r="AW51" s="4" t="s">
        <v>292</v>
      </c>
    </row>
    <row r="52" spans="1:49" s="4" customFormat="1" x14ac:dyDescent="0.25">
      <c r="A52" s="4" t="s">
        <v>11199</v>
      </c>
      <c r="B52" s="4" t="s">
        <v>293</v>
      </c>
      <c r="C52" s="4" t="s">
        <v>333</v>
      </c>
      <c r="D52" s="4" t="s">
        <v>334</v>
      </c>
      <c r="F52" s="4" t="s">
        <v>11462</v>
      </c>
      <c r="G52" s="4" t="s">
        <v>11463</v>
      </c>
      <c r="I52" s="4" t="s">
        <v>296</v>
      </c>
      <c r="J52" s="4" t="s">
        <v>297</v>
      </c>
      <c r="K52" s="4" t="s">
        <v>298</v>
      </c>
      <c r="L52" s="4" t="s">
        <v>299</v>
      </c>
      <c r="M52" s="4" t="s">
        <v>300</v>
      </c>
      <c r="N52" s="4" t="s">
        <v>11198</v>
      </c>
      <c r="O52" s="5">
        <v>346.428</v>
      </c>
      <c r="P52" s="6">
        <v>1</v>
      </c>
      <c r="Q52" s="7">
        <v>9.25</v>
      </c>
      <c r="R52" s="7">
        <v>7</v>
      </c>
      <c r="S52" s="4" t="s">
        <v>301</v>
      </c>
      <c r="T52" s="4" t="s">
        <v>302</v>
      </c>
      <c r="U52" s="5">
        <v>413.64499999999998</v>
      </c>
      <c r="V52" s="6">
        <v>0.45</v>
      </c>
      <c r="W52" s="7">
        <v>2</v>
      </c>
      <c r="X52" s="5">
        <v>159.99</v>
      </c>
      <c r="Y52" s="4" t="s">
        <v>292</v>
      </c>
      <c r="Z52" s="6">
        <v>1</v>
      </c>
      <c r="AA52" s="6">
        <v>1</v>
      </c>
      <c r="AB52" s="5">
        <v>159.99</v>
      </c>
      <c r="AC52" s="6">
        <v>1</v>
      </c>
      <c r="AD52" s="6">
        <v>1</v>
      </c>
      <c r="AE52" s="5">
        <v>159.99</v>
      </c>
      <c r="AF52" s="7">
        <v>10</v>
      </c>
      <c r="AG52" s="7">
        <v>7</v>
      </c>
      <c r="AH52" s="7">
        <v>9.25</v>
      </c>
      <c r="AI52" s="7">
        <v>0</v>
      </c>
      <c r="AJ52" s="7">
        <v>0</v>
      </c>
      <c r="AK52" s="8">
        <v>44115.504803240743</v>
      </c>
      <c r="AL52" s="7">
        <v>18.61</v>
      </c>
      <c r="AM52" s="7">
        <v>100</v>
      </c>
      <c r="AN52" s="7">
        <v>0</v>
      </c>
      <c r="AO52" s="7">
        <v>13.03</v>
      </c>
      <c r="AP52" s="7">
        <v>17.22</v>
      </c>
      <c r="AQ52" s="7">
        <v>0</v>
      </c>
      <c r="AR52" s="7">
        <v>4.0999999999999996</v>
      </c>
      <c r="AS52" s="4" t="s">
        <v>303</v>
      </c>
      <c r="AT52" s="7">
        <v>0</v>
      </c>
      <c r="AU52" s="4" t="s">
        <v>335</v>
      </c>
      <c r="AV52" s="4" t="s">
        <v>305</v>
      </c>
      <c r="AW52" s="4" t="s">
        <v>292</v>
      </c>
    </row>
    <row r="53" spans="1:49" s="4" customFormat="1" x14ac:dyDescent="0.25">
      <c r="A53" s="4" t="s">
        <v>395</v>
      </c>
      <c r="B53" s="4" t="s">
        <v>293</v>
      </c>
      <c r="C53" s="4" t="s">
        <v>333</v>
      </c>
      <c r="D53" s="4" t="s">
        <v>334</v>
      </c>
      <c r="F53" s="4" t="s">
        <v>11462</v>
      </c>
      <c r="G53" s="4" t="s">
        <v>11463</v>
      </c>
      <c r="I53" s="4" t="s">
        <v>296</v>
      </c>
      <c r="J53" s="4" t="s">
        <v>297</v>
      </c>
      <c r="K53" s="4" t="s">
        <v>298</v>
      </c>
      <c r="L53" s="4" t="s">
        <v>299</v>
      </c>
      <c r="M53" s="4" t="s">
        <v>300</v>
      </c>
      <c r="N53" s="4" t="s">
        <v>447</v>
      </c>
      <c r="O53" s="5">
        <v>346.428</v>
      </c>
      <c r="P53" s="6">
        <v>1</v>
      </c>
      <c r="Q53" s="7">
        <v>9.25</v>
      </c>
      <c r="R53" s="7">
        <v>7</v>
      </c>
      <c r="S53" s="4" t="s">
        <v>301</v>
      </c>
      <c r="T53" s="4" t="s">
        <v>302</v>
      </c>
      <c r="U53" s="5">
        <v>413.64499999999998</v>
      </c>
      <c r="V53" s="6">
        <v>0.45</v>
      </c>
      <c r="W53" s="7">
        <v>4</v>
      </c>
      <c r="X53" s="5">
        <v>218</v>
      </c>
      <c r="Y53" s="4" t="s">
        <v>292</v>
      </c>
      <c r="Z53" s="6">
        <v>1</v>
      </c>
      <c r="AA53" s="6">
        <v>0.75266100000000002</v>
      </c>
      <c r="AB53" s="5">
        <v>218</v>
      </c>
      <c r="AC53" s="6">
        <v>1</v>
      </c>
      <c r="AD53" s="6">
        <v>0.75266100000000002</v>
      </c>
      <c r="AE53" s="5">
        <v>218</v>
      </c>
      <c r="AF53" s="7">
        <v>10</v>
      </c>
      <c r="AG53" s="7">
        <v>7</v>
      </c>
      <c r="AH53" s="7">
        <v>9.25</v>
      </c>
      <c r="AI53" s="7">
        <v>17</v>
      </c>
      <c r="AJ53" s="7">
        <v>0</v>
      </c>
      <c r="AK53" s="8">
        <v>44115.504803240743</v>
      </c>
      <c r="AL53" s="7">
        <v>18.61</v>
      </c>
      <c r="AM53" s="7">
        <v>100</v>
      </c>
      <c r="AN53" s="7">
        <v>0</v>
      </c>
      <c r="AO53" s="7">
        <v>13.03</v>
      </c>
      <c r="AP53" s="7">
        <v>17.22</v>
      </c>
      <c r="AQ53" s="7">
        <v>39.32</v>
      </c>
      <c r="AR53" s="7">
        <v>9.76</v>
      </c>
      <c r="AS53" s="4" t="s">
        <v>303</v>
      </c>
      <c r="AT53" s="7">
        <v>0</v>
      </c>
      <c r="AU53" s="4" t="s">
        <v>335</v>
      </c>
      <c r="AV53" s="4" t="s">
        <v>305</v>
      </c>
      <c r="AW53" s="4" t="s">
        <v>292</v>
      </c>
    </row>
    <row r="54" spans="1:49" s="4" customFormat="1" x14ac:dyDescent="0.25">
      <c r="A54" s="4" t="s">
        <v>11200</v>
      </c>
      <c r="B54" s="4" t="s">
        <v>293</v>
      </c>
      <c r="C54" s="4" t="s">
        <v>333</v>
      </c>
      <c r="D54" s="4" t="s">
        <v>334</v>
      </c>
      <c r="F54" s="4" t="s">
        <v>11462</v>
      </c>
      <c r="G54" s="4" t="s">
        <v>11463</v>
      </c>
      <c r="I54" s="4" t="s">
        <v>296</v>
      </c>
      <c r="J54" s="4" t="s">
        <v>297</v>
      </c>
      <c r="K54" s="4" t="s">
        <v>298</v>
      </c>
      <c r="L54" s="4" t="s">
        <v>299</v>
      </c>
      <c r="M54" s="4" t="s">
        <v>300</v>
      </c>
      <c r="N54" s="4" t="s">
        <v>11198</v>
      </c>
      <c r="O54" s="5">
        <v>346.428</v>
      </c>
      <c r="P54" s="6">
        <v>1</v>
      </c>
      <c r="Q54" s="7">
        <v>9.25</v>
      </c>
      <c r="R54" s="7">
        <v>18</v>
      </c>
      <c r="S54" s="4" t="s">
        <v>301</v>
      </c>
      <c r="T54" s="4" t="s">
        <v>302</v>
      </c>
      <c r="U54" s="5">
        <v>476.19</v>
      </c>
      <c r="V54" s="6">
        <v>0.45</v>
      </c>
      <c r="W54" s="7">
        <v>1.5</v>
      </c>
      <c r="X54" s="5">
        <v>159.42599999999999</v>
      </c>
      <c r="Y54" s="4" t="s">
        <v>292</v>
      </c>
      <c r="Z54" s="6">
        <v>1</v>
      </c>
      <c r="AA54" s="6">
        <v>1</v>
      </c>
      <c r="AB54" s="5">
        <v>159.42599999999999</v>
      </c>
      <c r="AC54" s="6">
        <v>1</v>
      </c>
      <c r="AD54" s="6">
        <v>1</v>
      </c>
      <c r="AE54" s="5">
        <v>159.42599999999999</v>
      </c>
      <c r="AF54" s="7">
        <v>10</v>
      </c>
      <c r="AG54" s="7">
        <v>18</v>
      </c>
      <c r="AH54" s="7">
        <v>9.25</v>
      </c>
      <c r="AI54" s="7">
        <v>0</v>
      </c>
      <c r="AJ54" s="7">
        <v>0</v>
      </c>
      <c r="AK54" s="8">
        <v>44115.502118055556</v>
      </c>
      <c r="AL54" s="7">
        <v>21.43</v>
      </c>
      <c r="AM54" s="7">
        <v>100</v>
      </c>
      <c r="AN54" s="7">
        <v>0</v>
      </c>
      <c r="AO54" s="7">
        <v>38.57</v>
      </c>
      <c r="AP54" s="7">
        <v>19.829999999999998</v>
      </c>
      <c r="AQ54" s="7">
        <v>0</v>
      </c>
      <c r="AR54" s="7">
        <v>3.54</v>
      </c>
      <c r="AS54" s="4" t="s">
        <v>303</v>
      </c>
      <c r="AT54" s="7">
        <v>0</v>
      </c>
      <c r="AU54" s="4" t="s">
        <v>335</v>
      </c>
      <c r="AV54" s="4" t="s">
        <v>305</v>
      </c>
      <c r="AW54" s="4" t="s">
        <v>292</v>
      </c>
    </row>
    <row r="55" spans="1:49" s="4" customFormat="1" x14ac:dyDescent="0.25">
      <c r="A55" s="4" t="s">
        <v>11207</v>
      </c>
      <c r="B55" s="4" t="s">
        <v>293</v>
      </c>
      <c r="C55" s="4" t="s">
        <v>333</v>
      </c>
      <c r="D55" s="4" t="s">
        <v>334</v>
      </c>
      <c r="F55" s="4" t="s">
        <v>11236</v>
      </c>
      <c r="G55" s="4" t="s">
        <v>11237</v>
      </c>
      <c r="I55" s="4" t="s">
        <v>296</v>
      </c>
      <c r="J55" s="4" t="s">
        <v>297</v>
      </c>
      <c r="K55" s="4" t="s">
        <v>298</v>
      </c>
      <c r="L55" s="4" t="s">
        <v>299</v>
      </c>
      <c r="M55" s="4" t="s">
        <v>300</v>
      </c>
      <c r="N55" s="4" t="s">
        <v>11238</v>
      </c>
      <c r="O55" s="5">
        <v>159.43</v>
      </c>
      <c r="P55" s="6">
        <v>1</v>
      </c>
      <c r="Q55" s="7">
        <v>9.25</v>
      </c>
      <c r="R55" s="7">
        <v>7</v>
      </c>
      <c r="S55" s="4" t="s">
        <v>301</v>
      </c>
      <c r="T55" s="4" t="s">
        <v>302</v>
      </c>
      <c r="U55" s="5">
        <v>190.364</v>
      </c>
      <c r="V55" s="6">
        <v>0.25</v>
      </c>
      <c r="W55" s="7">
        <v>3</v>
      </c>
      <c r="X55" s="5">
        <v>64.061000000000007</v>
      </c>
      <c r="Y55" s="4" t="s">
        <v>292</v>
      </c>
      <c r="Z55" s="6">
        <v>4</v>
      </c>
      <c r="AA55" s="6">
        <v>1</v>
      </c>
      <c r="AB55" s="5">
        <v>256.24400000000003</v>
      </c>
      <c r="AC55" s="6">
        <v>1</v>
      </c>
      <c r="AD55" s="6">
        <v>1</v>
      </c>
      <c r="AE55" s="5">
        <v>256.24400000000003</v>
      </c>
      <c r="AF55" s="5">
        <v>256.24400000000003</v>
      </c>
      <c r="AG55" s="7">
        <v>7</v>
      </c>
      <c r="AH55" s="7">
        <v>0</v>
      </c>
      <c r="AI55" s="7">
        <v>17</v>
      </c>
      <c r="AJ55" s="7">
        <v>0</v>
      </c>
      <c r="AK55" s="8">
        <v>44115.523692129631</v>
      </c>
      <c r="AL55" s="7">
        <v>4.76</v>
      </c>
      <c r="AM55" s="7">
        <v>100</v>
      </c>
      <c r="AN55" s="7">
        <v>0</v>
      </c>
      <c r="AO55" s="7">
        <v>3.33</v>
      </c>
      <c r="AP55" s="7">
        <v>0</v>
      </c>
      <c r="AQ55" s="7">
        <v>9.84</v>
      </c>
      <c r="AR55" s="7">
        <v>1.87</v>
      </c>
      <c r="AS55" s="4" t="s">
        <v>303</v>
      </c>
      <c r="AT55" s="7">
        <v>0</v>
      </c>
      <c r="AU55" s="4" t="s">
        <v>335</v>
      </c>
      <c r="AV55" s="4" t="s">
        <v>305</v>
      </c>
    </row>
    <row r="56" spans="1:49" s="4" customFormat="1" x14ac:dyDescent="0.25">
      <c r="A56" s="4" t="s">
        <v>11201</v>
      </c>
      <c r="B56" s="4" t="s">
        <v>293</v>
      </c>
      <c r="C56" s="4" t="s">
        <v>336</v>
      </c>
      <c r="D56" s="4" t="s">
        <v>337</v>
      </c>
      <c r="F56" s="4" t="s">
        <v>11462</v>
      </c>
      <c r="G56" s="4" t="s">
        <v>11463</v>
      </c>
      <c r="I56" s="4" t="s">
        <v>296</v>
      </c>
      <c r="J56" s="4" t="s">
        <v>297</v>
      </c>
      <c r="K56" s="4" t="s">
        <v>319</v>
      </c>
      <c r="L56" s="4" t="s">
        <v>299</v>
      </c>
      <c r="M56" s="4" t="s">
        <v>300</v>
      </c>
      <c r="N56" s="4" t="s">
        <v>11198</v>
      </c>
      <c r="O56" s="5">
        <v>21.213000000000001</v>
      </c>
      <c r="P56" s="6">
        <v>1</v>
      </c>
      <c r="Q56" s="7">
        <v>9.25</v>
      </c>
      <c r="R56" s="7">
        <v>12</v>
      </c>
      <c r="S56" s="4" t="s">
        <v>301</v>
      </c>
      <c r="T56" s="4" t="s">
        <v>302</v>
      </c>
      <c r="U56" s="5">
        <v>26.937000000000001</v>
      </c>
      <c r="V56" s="6">
        <v>0.45</v>
      </c>
      <c r="W56" s="7">
        <v>1.5</v>
      </c>
      <c r="X56" s="5">
        <v>9.7420000000000009</v>
      </c>
      <c r="Y56" s="4" t="s">
        <v>292</v>
      </c>
      <c r="Z56" s="6">
        <v>1</v>
      </c>
      <c r="AA56" s="6">
        <v>1</v>
      </c>
      <c r="AB56" s="5">
        <v>9.7420000000000009</v>
      </c>
      <c r="AC56" s="6">
        <v>1</v>
      </c>
      <c r="AD56" s="6">
        <v>1</v>
      </c>
      <c r="AE56" s="5">
        <v>9.7420000000000009</v>
      </c>
      <c r="AF56" s="7">
        <v>10</v>
      </c>
      <c r="AG56" s="7">
        <v>12</v>
      </c>
      <c r="AH56" s="7">
        <v>9.25</v>
      </c>
      <c r="AI56" s="7">
        <v>0</v>
      </c>
      <c r="AJ56" s="7">
        <v>0</v>
      </c>
      <c r="AK56" s="8">
        <v>44115.507754629631</v>
      </c>
      <c r="AL56" s="7">
        <v>1.21</v>
      </c>
      <c r="AM56" s="7">
        <v>100</v>
      </c>
      <c r="AN56" s="7">
        <v>0</v>
      </c>
      <c r="AO56" s="7">
        <v>1.46</v>
      </c>
      <c r="AP56" s="7">
        <v>1.1200000000000001</v>
      </c>
      <c r="AQ56" s="7">
        <v>0</v>
      </c>
      <c r="AR56" s="7">
        <v>0.2</v>
      </c>
      <c r="AS56" s="4" t="s">
        <v>303</v>
      </c>
      <c r="AT56" s="7">
        <v>0</v>
      </c>
      <c r="AU56" s="4" t="s">
        <v>338</v>
      </c>
      <c r="AV56" s="4" t="s">
        <v>305</v>
      </c>
      <c r="AW56" s="4" t="s">
        <v>292</v>
      </c>
    </row>
    <row r="57" spans="1:49" s="4" customFormat="1" x14ac:dyDescent="0.25">
      <c r="A57" s="4" t="s">
        <v>11199</v>
      </c>
      <c r="B57" s="4" t="s">
        <v>293</v>
      </c>
      <c r="C57" s="4" t="s">
        <v>336</v>
      </c>
      <c r="D57" s="4" t="s">
        <v>337</v>
      </c>
      <c r="F57" s="4" t="s">
        <v>11462</v>
      </c>
      <c r="G57" s="4" t="s">
        <v>11463</v>
      </c>
      <c r="I57" s="4" t="s">
        <v>296</v>
      </c>
      <c r="J57" s="4" t="s">
        <v>297</v>
      </c>
      <c r="K57" s="4" t="s">
        <v>319</v>
      </c>
      <c r="L57" s="4" t="s">
        <v>299</v>
      </c>
      <c r="M57" s="4" t="s">
        <v>300</v>
      </c>
      <c r="N57" s="4" t="s">
        <v>11198</v>
      </c>
      <c r="O57" s="5">
        <v>21.213999999999999</v>
      </c>
      <c r="P57" s="6">
        <v>1</v>
      </c>
      <c r="Q57" s="7">
        <v>9.25</v>
      </c>
      <c r="R57" s="7">
        <v>7</v>
      </c>
      <c r="S57" s="4" t="s">
        <v>301</v>
      </c>
      <c r="T57" s="4" t="s">
        <v>302</v>
      </c>
      <c r="U57" s="5">
        <v>25.33</v>
      </c>
      <c r="V57" s="6">
        <v>0.45</v>
      </c>
      <c r="W57" s="7">
        <v>2</v>
      </c>
      <c r="X57" s="5">
        <v>9.7889999999999997</v>
      </c>
      <c r="Y57" s="4" t="s">
        <v>292</v>
      </c>
      <c r="Z57" s="6">
        <v>1</v>
      </c>
      <c r="AA57" s="6">
        <v>1</v>
      </c>
      <c r="AB57" s="5">
        <v>9.7889999999999997</v>
      </c>
      <c r="AC57" s="6">
        <v>1</v>
      </c>
      <c r="AD57" s="6">
        <v>1</v>
      </c>
      <c r="AE57" s="5">
        <v>9.7889999999999997</v>
      </c>
      <c r="AF57" s="7">
        <v>10</v>
      </c>
      <c r="AG57" s="7">
        <v>7</v>
      </c>
      <c r="AH57" s="7">
        <v>9.25</v>
      </c>
      <c r="AI57" s="7">
        <v>0</v>
      </c>
      <c r="AJ57" s="7">
        <v>0</v>
      </c>
      <c r="AK57" s="8">
        <v>44115.507916666669</v>
      </c>
      <c r="AL57" s="7">
        <v>1.1399999999999999</v>
      </c>
      <c r="AM57" s="7">
        <v>100</v>
      </c>
      <c r="AN57" s="7">
        <v>0</v>
      </c>
      <c r="AO57" s="7">
        <v>0.8</v>
      </c>
      <c r="AP57" s="7">
        <v>1.06</v>
      </c>
      <c r="AQ57" s="7">
        <v>0</v>
      </c>
      <c r="AR57" s="7">
        <v>0.25</v>
      </c>
      <c r="AS57" s="4" t="s">
        <v>303</v>
      </c>
      <c r="AT57" s="7">
        <v>0</v>
      </c>
      <c r="AU57" s="4" t="s">
        <v>338</v>
      </c>
      <c r="AV57" s="4" t="s">
        <v>305</v>
      </c>
      <c r="AW57" s="4" t="s">
        <v>292</v>
      </c>
    </row>
    <row r="58" spans="1:49" s="4" customFormat="1" x14ac:dyDescent="0.25">
      <c r="A58" s="4" t="s">
        <v>395</v>
      </c>
      <c r="B58" s="4" t="s">
        <v>293</v>
      </c>
      <c r="C58" s="4" t="s">
        <v>336</v>
      </c>
      <c r="D58" s="4" t="s">
        <v>337</v>
      </c>
      <c r="F58" s="4" t="s">
        <v>11462</v>
      </c>
      <c r="G58" s="4" t="s">
        <v>11463</v>
      </c>
      <c r="I58" s="4" t="s">
        <v>296</v>
      </c>
      <c r="J58" s="4" t="s">
        <v>297</v>
      </c>
      <c r="K58" s="4" t="s">
        <v>319</v>
      </c>
      <c r="L58" s="4" t="s">
        <v>299</v>
      </c>
      <c r="M58" s="4" t="s">
        <v>300</v>
      </c>
      <c r="N58" s="4" t="s">
        <v>447</v>
      </c>
      <c r="O58" s="5">
        <v>21.213999999999999</v>
      </c>
      <c r="P58" s="6">
        <v>1</v>
      </c>
      <c r="Q58" s="7">
        <v>9.25</v>
      </c>
      <c r="R58" s="7">
        <v>7</v>
      </c>
      <c r="S58" s="4" t="s">
        <v>301</v>
      </c>
      <c r="T58" s="4" t="s">
        <v>302</v>
      </c>
      <c r="U58" s="5">
        <v>25.33</v>
      </c>
      <c r="V58" s="6">
        <v>0.45</v>
      </c>
      <c r="W58" s="7">
        <v>4</v>
      </c>
      <c r="X58" s="5">
        <v>13.349</v>
      </c>
      <c r="Y58" s="4" t="s">
        <v>292</v>
      </c>
      <c r="Z58" s="6">
        <v>1</v>
      </c>
      <c r="AA58" s="6">
        <v>0.75204099999999996</v>
      </c>
      <c r="AB58" s="5">
        <v>13.349</v>
      </c>
      <c r="AC58" s="6">
        <v>1</v>
      </c>
      <c r="AD58" s="6">
        <v>0.75204099999999996</v>
      </c>
      <c r="AE58" s="5">
        <v>13.349</v>
      </c>
      <c r="AF58" s="7">
        <v>10</v>
      </c>
      <c r="AG58" s="7">
        <v>7</v>
      </c>
      <c r="AH58" s="7">
        <v>9.25</v>
      </c>
      <c r="AI58" s="7">
        <v>17</v>
      </c>
      <c r="AJ58" s="7">
        <v>0</v>
      </c>
      <c r="AK58" s="8">
        <v>44115.507916666669</v>
      </c>
      <c r="AL58" s="7">
        <v>1.1399999999999999</v>
      </c>
      <c r="AM58" s="7">
        <v>100</v>
      </c>
      <c r="AN58" s="7">
        <v>0</v>
      </c>
      <c r="AO58" s="7">
        <v>0.8</v>
      </c>
      <c r="AP58" s="7">
        <v>1.06</v>
      </c>
      <c r="AQ58" s="7">
        <v>2.41</v>
      </c>
      <c r="AR58" s="7">
        <v>0.6</v>
      </c>
      <c r="AS58" s="4" t="s">
        <v>303</v>
      </c>
      <c r="AT58" s="7">
        <v>0</v>
      </c>
      <c r="AU58" s="4" t="s">
        <v>338</v>
      </c>
      <c r="AV58" s="4" t="s">
        <v>305</v>
      </c>
      <c r="AW58" s="4" t="s">
        <v>292</v>
      </c>
    </row>
    <row r="59" spans="1:49" s="4" customFormat="1" x14ac:dyDescent="0.25">
      <c r="A59" s="4" t="s">
        <v>11200</v>
      </c>
      <c r="B59" s="4" t="s">
        <v>293</v>
      </c>
      <c r="C59" s="4" t="s">
        <v>336</v>
      </c>
      <c r="D59" s="4" t="s">
        <v>337</v>
      </c>
      <c r="F59" s="4" t="s">
        <v>11462</v>
      </c>
      <c r="G59" s="4" t="s">
        <v>11463</v>
      </c>
      <c r="I59" s="4" t="s">
        <v>296</v>
      </c>
      <c r="J59" s="4" t="s">
        <v>297</v>
      </c>
      <c r="K59" s="4" t="s">
        <v>319</v>
      </c>
      <c r="L59" s="4" t="s">
        <v>299</v>
      </c>
      <c r="M59" s="4" t="s">
        <v>300</v>
      </c>
      <c r="N59" s="4" t="s">
        <v>11198</v>
      </c>
      <c r="O59" s="5">
        <v>21.213999999999999</v>
      </c>
      <c r="P59" s="6">
        <v>1</v>
      </c>
      <c r="Q59" s="7">
        <v>9.25</v>
      </c>
      <c r="R59" s="7">
        <v>18</v>
      </c>
      <c r="S59" s="4" t="s">
        <v>301</v>
      </c>
      <c r="T59" s="4" t="s">
        <v>302</v>
      </c>
      <c r="U59" s="5">
        <v>29.16</v>
      </c>
      <c r="V59" s="6">
        <v>0.45</v>
      </c>
      <c r="W59" s="7">
        <v>1.5</v>
      </c>
      <c r="X59" s="5">
        <v>9.7620000000000005</v>
      </c>
      <c r="Y59" s="4" t="s">
        <v>292</v>
      </c>
      <c r="Z59" s="6">
        <v>1</v>
      </c>
      <c r="AA59" s="6">
        <v>1</v>
      </c>
      <c r="AB59" s="5">
        <v>9.7620000000000005</v>
      </c>
      <c r="AC59" s="6">
        <v>1</v>
      </c>
      <c r="AD59" s="6">
        <v>1</v>
      </c>
      <c r="AE59" s="5">
        <v>9.7620000000000005</v>
      </c>
      <c r="AF59" s="7">
        <v>10</v>
      </c>
      <c r="AG59" s="7">
        <v>18</v>
      </c>
      <c r="AH59" s="7">
        <v>9.25</v>
      </c>
      <c r="AI59" s="7">
        <v>0</v>
      </c>
      <c r="AJ59" s="7">
        <v>0</v>
      </c>
      <c r="AK59" s="8">
        <v>44115.504224537035</v>
      </c>
      <c r="AL59" s="7">
        <v>1.31</v>
      </c>
      <c r="AM59" s="7">
        <v>100</v>
      </c>
      <c r="AN59" s="7">
        <v>0</v>
      </c>
      <c r="AO59" s="7">
        <v>2.36</v>
      </c>
      <c r="AP59" s="7">
        <v>1.22</v>
      </c>
      <c r="AQ59" s="7">
        <v>0</v>
      </c>
      <c r="AR59" s="7">
        <v>0.22</v>
      </c>
      <c r="AS59" s="4" t="s">
        <v>303</v>
      </c>
      <c r="AT59" s="7">
        <v>0</v>
      </c>
      <c r="AU59" s="4" t="s">
        <v>338</v>
      </c>
      <c r="AV59" s="4" t="s">
        <v>305</v>
      </c>
      <c r="AW59" s="4" t="s">
        <v>292</v>
      </c>
    </row>
    <row r="60" spans="1:49" s="4" customFormat="1" x14ac:dyDescent="0.25">
      <c r="A60" s="4" t="s">
        <v>11207</v>
      </c>
      <c r="B60" s="4" t="s">
        <v>293</v>
      </c>
      <c r="C60" s="4" t="s">
        <v>336</v>
      </c>
      <c r="D60" s="4" t="s">
        <v>337</v>
      </c>
      <c r="F60" s="4" t="s">
        <v>11236</v>
      </c>
      <c r="G60" s="4" t="s">
        <v>11237</v>
      </c>
      <c r="I60" s="4" t="s">
        <v>296</v>
      </c>
      <c r="J60" s="4" t="s">
        <v>297</v>
      </c>
      <c r="K60" s="4" t="s">
        <v>319</v>
      </c>
      <c r="L60" s="4" t="s">
        <v>299</v>
      </c>
      <c r="M60" s="4" t="s">
        <v>300</v>
      </c>
      <c r="N60" s="4" t="s">
        <v>11238</v>
      </c>
      <c r="O60" s="5">
        <v>9.76</v>
      </c>
      <c r="P60" s="6">
        <v>1</v>
      </c>
      <c r="Q60" s="7">
        <v>9.25</v>
      </c>
      <c r="R60" s="7">
        <v>7</v>
      </c>
      <c r="S60" s="4" t="s">
        <v>301</v>
      </c>
      <c r="T60" s="4" t="s">
        <v>302</v>
      </c>
      <c r="U60" s="5">
        <v>11.654</v>
      </c>
      <c r="V60" s="6">
        <v>0.25</v>
      </c>
      <c r="W60" s="7">
        <v>3</v>
      </c>
      <c r="X60" s="5">
        <v>3.9140000000000001</v>
      </c>
      <c r="Y60" s="4" t="s">
        <v>292</v>
      </c>
      <c r="Z60" s="6">
        <v>4</v>
      </c>
      <c r="AA60" s="6">
        <v>1</v>
      </c>
      <c r="AB60" s="5">
        <v>15.656000000000001</v>
      </c>
      <c r="AC60" s="6">
        <v>1</v>
      </c>
      <c r="AD60" s="6">
        <v>1</v>
      </c>
      <c r="AE60" s="5">
        <v>15.656000000000001</v>
      </c>
      <c r="AF60" s="5">
        <v>15.656000000000001</v>
      </c>
      <c r="AG60" s="7">
        <v>7</v>
      </c>
      <c r="AH60" s="7">
        <v>0</v>
      </c>
      <c r="AI60" s="7">
        <v>17</v>
      </c>
      <c r="AJ60" s="7">
        <v>0</v>
      </c>
      <c r="AK60" s="8">
        <v>44115.526134259257</v>
      </c>
      <c r="AL60" s="7">
        <v>0.28999999999999998</v>
      </c>
      <c r="AM60" s="7">
        <v>100</v>
      </c>
      <c r="AN60" s="7">
        <v>0</v>
      </c>
      <c r="AO60" s="7">
        <v>0.2</v>
      </c>
      <c r="AP60" s="7">
        <v>0</v>
      </c>
      <c r="AQ60" s="7">
        <v>0.6</v>
      </c>
      <c r="AR60" s="7">
        <v>0.11</v>
      </c>
      <c r="AS60" s="4" t="s">
        <v>303</v>
      </c>
      <c r="AT60" s="7">
        <v>0</v>
      </c>
      <c r="AU60" s="4" t="s">
        <v>338</v>
      </c>
      <c r="AV60" s="4" t="s">
        <v>305</v>
      </c>
    </row>
    <row r="61" spans="1:49" s="4" customFormat="1" x14ac:dyDescent="0.25">
      <c r="A61" s="4" t="s">
        <v>11201</v>
      </c>
      <c r="B61" s="4" t="s">
        <v>293</v>
      </c>
      <c r="C61" s="4" t="s">
        <v>339</v>
      </c>
      <c r="D61" s="4" t="s">
        <v>340</v>
      </c>
      <c r="F61" s="4" t="s">
        <v>11462</v>
      </c>
      <c r="G61" s="4" t="s">
        <v>11463</v>
      </c>
      <c r="I61" s="4" t="s">
        <v>296</v>
      </c>
      <c r="J61" s="4" t="s">
        <v>297</v>
      </c>
      <c r="K61" s="4" t="s">
        <v>298</v>
      </c>
      <c r="L61" s="4" t="s">
        <v>299</v>
      </c>
      <c r="M61" s="4" t="s">
        <v>300</v>
      </c>
      <c r="N61" s="4" t="s">
        <v>11198</v>
      </c>
      <c r="O61" s="5">
        <v>173.828</v>
      </c>
      <c r="P61" s="6">
        <v>1</v>
      </c>
      <c r="Q61" s="7">
        <v>9.25</v>
      </c>
      <c r="R61" s="7">
        <v>12</v>
      </c>
      <c r="S61" s="4" t="s">
        <v>301</v>
      </c>
      <c r="T61" s="4" t="s">
        <v>302</v>
      </c>
      <c r="U61" s="5">
        <v>220.73400000000001</v>
      </c>
      <c r="V61" s="6">
        <v>0.45</v>
      </c>
      <c r="W61" s="7">
        <v>1.5</v>
      </c>
      <c r="X61" s="5">
        <v>79.86</v>
      </c>
      <c r="Y61" s="4" t="s">
        <v>292</v>
      </c>
      <c r="Z61" s="6">
        <v>1</v>
      </c>
      <c r="AA61" s="6">
        <v>1</v>
      </c>
      <c r="AB61" s="5">
        <v>79.86</v>
      </c>
      <c r="AC61" s="6">
        <v>1</v>
      </c>
      <c r="AD61" s="6">
        <v>1</v>
      </c>
      <c r="AE61" s="5">
        <v>79.86</v>
      </c>
      <c r="AF61" s="7">
        <v>10</v>
      </c>
      <c r="AG61" s="7">
        <v>12</v>
      </c>
      <c r="AH61" s="7">
        <v>9.25</v>
      </c>
      <c r="AI61" s="7">
        <v>0</v>
      </c>
      <c r="AJ61" s="7">
        <v>0</v>
      </c>
      <c r="AK61" s="8">
        <v>44115.507847222223</v>
      </c>
      <c r="AL61" s="7">
        <v>9.93</v>
      </c>
      <c r="AM61" s="7">
        <v>100</v>
      </c>
      <c r="AN61" s="7">
        <v>0</v>
      </c>
      <c r="AO61" s="7">
        <v>11.92</v>
      </c>
      <c r="AP61" s="7">
        <v>9.19</v>
      </c>
      <c r="AQ61" s="7">
        <v>0</v>
      </c>
      <c r="AR61" s="7">
        <v>1.64</v>
      </c>
      <c r="AS61" s="4" t="s">
        <v>303</v>
      </c>
      <c r="AT61" s="7">
        <v>0</v>
      </c>
      <c r="AU61" s="4" t="s">
        <v>341</v>
      </c>
      <c r="AV61" s="4" t="s">
        <v>305</v>
      </c>
      <c r="AW61" s="4" t="s">
        <v>292</v>
      </c>
    </row>
    <row r="62" spans="1:49" s="4" customFormat="1" x14ac:dyDescent="0.25">
      <c r="A62" s="4" t="s">
        <v>11199</v>
      </c>
      <c r="B62" s="4" t="s">
        <v>293</v>
      </c>
      <c r="C62" s="4" t="s">
        <v>339</v>
      </c>
      <c r="D62" s="4" t="s">
        <v>340</v>
      </c>
      <c r="F62" s="4" t="s">
        <v>11462</v>
      </c>
      <c r="G62" s="4" t="s">
        <v>11463</v>
      </c>
      <c r="I62" s="4" t="s">
        <v>296</v>
      </c>
      <c r="J62" s="4" t="s">
        <v>297</v>
      </c>
      <c r="K62" s="4" t="s">
        <v>298</v>
      </c>
      <c r="L62" s="4" t="s">
        <v>299</v>
      </c>
      <c r="M62" s="4" t="s">
        <v>300</v>
      </c>
      <c r="N62" s="4" t="s">
        <v>11198</v>
      </c>
      <c r="O62" s="5">
        <v>173.82900000000001</v>
      </c>
      <c r="P62" s="6">
        <v>1</v>
      </c>
      <c r="Q62" s="7">
        <v>9.25</v>
      </c>
      <c r="R62" s="7">
        <v>7</v>
      </c>
      <c r="S62" s="4" t="s">
        <v>301</v>
      </c>
      <c r="T62" s="4" t="s">
        <v>302</v>
      </c>
      <c r="U62" s="5">
        <v>207.55699999999999</v>
      </c>
      <c r="V62" s="6">
        <v>0.45</v>
      </c>
      <c r="W62" s="7">
        <v>2</v>
      </c>
      <c r="X62" s="5">
        <v>80.271000000000001</v>
      </c>
      <c r="Y62" s="4" t="s">
        <v>292</v>
      </c>
      <c r="Z62" s="6">
        <v>1</v>
      </c>
      <c r="AA62" s="6">
        <v>1</v>
      </c>
      <c r="AB62" s="5">
        <v>80.271000000000001</v>
      </c>
      <c r="AC62" s="6">
        <v>1</v>
      </c>
      <c r="AD62" s="6">
        <v>1</v>
      </c>
      <c r="AE62" s="5">
        <v>80.271000000000001</v>
      </c>
      <c r="AF62" s="7">
        <v>10</v>
      </c>
      <c r="AG62" s="7">
        <v>7</v>
      </c>
      <c r="AH62" s="7">
        <v>9.25</v>
      </c>
      <c r="AI62" s="7">
        <v>0</v>
      </c>
      <c r="AJ62" s="7">
        <v>0</v>
      </c>
      <c r="AK62" s="8">
        <v>44115.5080787037</v>
      </c>
      <c r="AL62" s="7">
        <v>9.34</v>
      </c>
      <c r="AM62" s="7">
        <v>100</v>
      </c>
      <c r="AN62" s="7">
        <v>0</v>
      </c>
      <c r="AO62" s="7">
        <v>6.54</v>
      </c>
      <c r="AP62" s="7">
        <v>8.64</v>
      </c>
      <c r="AQ62" s="7">
        <v>0</v>
      </c>
      <c r="AR62" s="7">
        <v>2.0499999999999998</v>
      </c>
      <c r="AS62" s="4" t="s">
        <v>303</v>
      </c>
      <c r="AT62" s="7">
        <v>0</v>
      </c>
      <c r="AU62" s="4" t="s">
        <v>341</v>
      </c>
      <c r="AV62" s="4" t="s">
        <v>305</v>
      </c>
      <c r="AW62" s="4" t="s">
        <v>292</v>
      </c>
    </row>
    <row r="63" spans="1:49" s="4" customFormat="1" x14ac:dyDescent="0.25">
      <c r="A63" s="4" t="s">
        <v>395</v>
      </c>
      <c r="B63" s="4" t="s">
        <v>293</v>
      </c>
      <c r="C63" s="4" t="s">
        <v>339</v>
      </c>
      <c r="D63" s="4" t="s">
        <v>340</v>
      </c>
      <c r="F63" s="4" t="s">
        <v>11462</v>
      </c>
      <c r="G63" s="4" t="s">
        <v>11463</v>
      </c>
      <c r="I63" s="4" t="s">
        <v>296</v>
      </c>
      <c r="J63" s="4" t="s">
        <v>297</v>
      </c>
      <c r="K63" s="4" t="s">
        <v>298</v>
      </c>
      <c r="L63" s="4" t="s">
        <v>299</v>
      </c>
      <c r="M63" s="4" t="s">
        <v>300</v>
      </c>
      <c r="N63" s="4" t="s">
        <v>447</v>
      </c>
      <c r="O63" s="5">
        <v>173.82900000000001</v>
      </c>
      <c r="P63" s="6">
        <v>1</v>
      </c>
      <c r="Q63" s="7">
        <v>9.25</v>
      </c>
      <c r="R63" s="7">
        <v>7</v>
      </c>
      <c r="S63" s="4" t="s">
        <v>301</v>
      </c>
      <c r="T63" s="4" t="s">
        <v>302</v>
      </c>
      <c r="U63" s="5">
        <v>207.55699999999999</v>
      </c>
      <c r="V63" s="6">
        <v>0.45</v>
      </c>
      <c r="W63" s="7">
        <v>4</v>
      </c>
      <c r="X63" s="5">
        <v>109.39100000000001</v>
      </c>
      <c r="Y63" s="4" t="s">
        <v>292</v>
      </c>
      <c r="Z63" s="6">
        <v>1</v>
      </c>
      <c r="AA63" s="6">
        <v>0.75263000000000002</v>
      </c>
      <c r="AB63" s="5">
        <v>109.39100000000001</v>
      </c>
      <c r="AC63" s="6">
        <v>1</v>
      </c>
      <c r="AD63" s="6">
        <v>0.75263000000000002</v>
      </c>
      <c r="AE63" s="5">
        <v>109.39100000000001</v>
      </c>
      <c r="AF63" s="7">
        <v>10</v>
      </c>
      <c r="AG63" s="7">
        <v>7</v>
      </c>
      <c r="AH63" s="7">
        <v>9.25</v>
      </c>
      <c r="AI63" s="7">
        <v>17</v>
      </c>
      <c r="AJ63" s="7">
        <v>0</v>
      </c>
      <c r="AK63" s="8">
        <v>44115.5080787037</v>
      </c>
      <c r="AL63" s="7">
        <v>9.34</v>
      </c>
      <c r="AM63" s="7">
        <v>100</v>
      </c>
      <c r="AN63" s="7">
        <v>0</v>
      </c>
      <c r="AO63" s="7">
        <v>6.54</v>
      </c>
      <c r="AP63" s="7">
        <v>8.64</v>
      </c>
      <c r="AQ63" s="7">
        <v>19.73</v>
      </c>
      <c r="AR63" s="7">
        <v>4.9000000000000004</v>
      </c>
      <c r="AS63" s="4" t="s">
        <v>303</v>
      </c>
      <c r="AT63" s="7">
        <v>0</v>
      </c>
      <c r="AU63" s="4" t="s">
        <v>341</v>
      </c>
      <c r="AV63" s="4" t="s">
        <v>305</v>
      </c>
      <c r="AW63" s="4" t="s">
        <v>292</v>
      </c>
    </row>
    <row r="64" spans="1:49" s="4" customFormat="1" x14ac:dyDescent="0.25">
      <c r="A64" s="4" t="s">
        <v>11200</v>
      </c>
      <c r="B64" s="4" t="s">
        <v>293</v>
      </c>
      <c r="C64" s="4" t="s">
        <v>339</v>
      </c>
      <c r="D64" s="4" t="s">
        <v>340</v>
      </c>
      <c r="F64" s="4" t="s">
        <v>11462</v>
      </c>
      <c r="G64" s="4" t="s">
        <v>11463</v>
      </c>
      <c r="I64" s="4" t="s">
        <v>296</v>
      </c>
      <c r="J64" s="4" t="s">
        <v>297</v>
      </c>
      <c r="K64" s="4" t="s">
        <v>298</v>
      </c>
      <c r="L64" s="4" t="s">
        <v>299</v>
      </c>
      <c r="M64" s="4" t="s">
        <v>300</v>
      </c>
      <c r="N64" s="4" t="s">
        <v>11198</v>
      </c>
      <c r="O64" s="5">
        <v>173.82900000000001</v>
      </c>
      <c r="P64" s="6">
        <v>1</v>
      </c>
      <c r="Q64" s="7">
        <v>9.25</v>
      </c>
      <c r="R64" s="7">
        <v>18</v>
      </c>
      <c r="S64" s="4" t="s">
        <v>301</v>
      </c>
      <c r="T64" s="4" t="s">
        <v>302</v>
      </c>
      <c r="U64" s="5">
        <v>238.94</v>
      </c>
      <c r="V64" s="6">
        <v>0.45</v>
      </c>
      <c r="W64" s="7">
        <v>1.5</v>
      </c>
      <c r="X64" s="5">
        <v>80.003</v>
      </c>
      <c r="Y64" s="4" t="s">
        <v>292</v>
      </c>
      <c r="Z64" s="6">
        <v>1</v>
      </c>
      <c r="AA64" s="6">
        <v>1</v>
      </c>
      <c r="AB64" s="5">
        <v>80.003</v>
      </c>
      <c r="AC64" s="6">
        <v>1</v>
      </c>
      <c r="AD64" s="6">
        <v>1</v>
      </c>
      <c r="AE64" s="5">
        <v>80.003</v>
      </c>
      <c r="AF64" s="7">
        <v>10</v>
      </c>
      <c r="AG64" s="7">
        <v>18</v>
      </c>
      <c r="AH64" s="7">
        <v>9.25</v>
      </c>
      <c r="AI64" s="7">
        <v>0</v>
      </c>
      <c r="AJ64" s="7">
        <v>0</v>
      </c>
      <c r="AK64" s="8">
        <v>44115.504293981481</v>
      </c>
      <c r="AL64" s="7">
        <v>10.75</v>
      </c>
      <c r="AM64" s="7">
        <v>100</v>
      </c>
      <c r="AN64" s="7">
        <v>0</v>
      </c>
      <c r="AO64" s="7">
        <v>19.350000000000001</v>
      </c>
      <c r="AP64" s="7">
        <v>9.94</v>
      </c>
      <c r="AQ64" s="7">
        <v>0</v>
      </c>
      <c r="AR64" s="7">
        <v>1.77</v>
      </c>
      <c r="AS64" s="4" t="s">
        <v>303</v>
      </c>
      <c r="AT64" s="7">
        <v>0</v>
      </c>
      <c r="AU64" s="4" t="s">
        <v>341</v>
      </c>
      <c r="AV64" s="4" t="s">
        <v>305</v>
      </c>
      <c r="AW64" s="4" t="s">
        <v>292</v>
      </c>
    </row>
    <row r="65" spans="1:49" s="4" customFormat="1" x14ac:dyDescent="0.25">
      <c r="A65" s="4" t="s">
        <v>11207</v>
      </c>
      <c r="B65" s="4" t="s">
        <v>293</v>
      </c>
      <c r="C65" s="4" t="s">
        <v>339</v>
      </c>
      <c r="D65" s="4" t="s">
        <v>340</v>
      </c>
      <c r="F65" s="4" t="s">
        <v>11236</v>
      </c>
      <c r="G65" s="4" t="s">
        <v>11237</v>
      </c>
      <c r="I65" s="4" t="s">
        <v>296</v>
      </c>
      <c r="J65" s="4" t="s">
        <v>297</v>
      </c>
      <c r="K65" s="4" t="s">
        <v>298</v>
      </c>
      <c r="L65" s="4" t="s">
        <v>299</v>
      </c>
      <c r="M65" s="4" t="s">
        <v>300</v>
      </c>
      <c r="N65" s="4" t="s">
        <v>11238</v>
      </c>
      <c r="O65" s="5">
        <v>80</v>
      </c>
      <c r="P65" s="6">
        <v>1</v>
      </c>
      <c r="Q65" s="7">
        <v>9.25</v>
      </c>
      <c r="R65" s="7">
        <v>7</v>
      </c>
      <c r="S65" s="4" t="s">
        <v>301</v>
      </c>
      <c r="T65" s="4" t="s">
        <v>302</v>
      </c>
      <c r="U65" s="5">
        <v>95.522000000000006</v>
      </c>
      <c r="V65" s="6">
        <v>0.25</v>
      </c>
      <c r="W65" s="7">
        <v>3</v>
      </c>
      <c r="X65" s="5">
        <v>32.151000000000003</v>
      </c>
      <c r="Y65" s="4" t="s">
        <v>292</v>
      </c>
      <c r="Z65" s="6">
        <v>4</v>
      </c>
      <c r="AA65" s="6">
        <v>1</v>
      </c>
      <c r="AB65" s="5">
        <v>128.60400000000001</v>
      </c>
      <c r="AC65" s="6">
        <v>1</v>
      </c>
      <c r="AD65" s="6">
        <v>1</v>
      </c>
      <c r="AE65" s="5">
        <v>128.60400000000001</v>
      </c>
      <c r="AF65" s="5">
        <v>128.60400000000001</v>
      </c>
      <c r="AG65" s="7">
        <v>7</v>
      </c>
      <c r="AH65" s="7">
        <v>0</v>
      </c>
      <c r="AI65" s="7">
        <v>17</v>
      </c>
      <c r="AJ65" s="7">
        <v>0</v>
      </c>
      <c r="AK65" s="8">
        <v>44115.526944444442</v>
      </c>
      <c r="AL65" s="7">
        <v>2.39</v>
      </c>
      <c r="AM65" s="7">
        <v>100</v>
      </c>
      <c r="AN65" s="7">
        <v>0</v>
      </c>
      <c r="AO65" s="7">
        <v>1.67</v>
      </c>
      <c r="AP65" s="7">
        <v>0</v>
      </c>
      <c r="AQ65" s="7">
        <v>4.9400000000000004</v>
      </c>
      <c r="AR65" s="7">
        <v>0.94</v>
      </c>
      <c r="AS65" s="4" t="s">
        <v>303</v>
      </c>
      <c r="AT65" s="7">
        <v>0</v>
      </c>
      <c r="AU65" s="4" t="s">
        <v>341</v>
      </c>
      <c r="AV65" s="4" t="s">
        <v>305</v>
      </c>
    </row>
    <row r="66" spans="1:49" s="4" customFormat="1" x14ac:dyDescent="0.25">
      <c r="A66" s="4" t="s">
        <v>11201</v>
      </c>
      <c r="B66" s="4" t="s">
        <v>293</v>
      </c>
      <c r="C66" s="4" t="s">
        <v>342</v>
      </c>
      <c r="D66" s="4" t="s">
        <v>343</v>
      </c>
      <c r="F66" s="4" t="s">
        <v>11462</v>
      </c>
      <c r="G66" s="4" t="s">
        <v>11463</v>
      </c>
      <c r="I66" s="4" t="s">
        <v>296</v>
      </c>
      <c r="J66" s="4" t="s">
        <v>297</v>
      </c>
      <c r="K66" s="4" t="s">
        <v>298</v>
      </c>
      <c r="L66" s="4" t="s">
        <v>322</v>
      </c>
      <c r="M66" s="4" t="s">
        <v>300</v>
      </c>
      <c r="N66" s="4" t="s">
        <v>11198</v>
      </c>
      <c r="O66" s="5">
        <v>187.654</v>
      </c>
      <c r="P66" s="6">
        <v>1</v>
      </c>
      <c r="Q66" s="7">
        <v>9.25</v>
      </c>
      <c r="R66" s="7">
        <v>12</v>
      </c>
      <c r="S66" s="4" t="s">
        <v>301</v>
      </c>
      <c r="T66" s="4" t="s">
        <v>302</v>
      </c>
      <c r="U66" s="5">
        <v>238.291</v>
      </c>
      <c r="V66" s="6">
        <v>0.45</v>
      </c>
      <c r="W66" s="7">
        <v>1.5</v>
      </c>
      <c r="X66" s="5">
        <v>86.210999999999999</v>
      </c>
      <c r="Y66" s="4" t="s">
        <v>292</v>
      </c>
      <c r="Z66" s="6">
        <v>1</v>
      </c>
      <c r="AA66" s="6">
        <v>1</v>
      </c>
      <c r="AB66" s="5">
        <v>86.210999999999999</v>
      </c>
      <c r="AC66" s="6">
        <v>1</v>
      </c>
      <c r="AD66" s="6">
        <v>1</v>
      </c>
      <c r="AE66" s="5">
        <v>86.210999999999999</v>
      </c>
      <c r="AF66" s="7">
        <v>10</v>
      </c>
      <c r="AG66" s="7">
        <v>12</v>
      </c>
      <c r="AH66" s="7">
        <v>9.25</v>
      </c>
      <c r="AI66" s="7">
        <v>0</v>
      </c>
      <c r="AJ66" s="7">
        <v>0</v>
      </c>
      <c r="AK66" s="8">
        <v>44115.507847222223</v>
      </c>
      <c r="AL66" s="7">
        <v>10.72</v>
      </c>
      <c r="AM66" s="7">
        <v>100</v>
      </c>
      <c r="AN66" s="7">
        <v>0</v>
      </c>
      <c r="AO66" s="7">
        <v>12.87</v>
      </c>
      <c r="AP66" s="7">
        <v>9.92</v>
      </c>
      <c r="AQ66" s="7">
        <v>0</v>
      </c>
      <c r="AR66" s="7">
        <v>1.77</v>
      </c>
      <c r="AS66" s="4" t="s">
        <v>303</v>
      </c>
      <c r="AT66" s="7">
        <v>0</v>
      </c>
      <c r="AU66" s="4" t="s">
        <v>344</v>
      </c>
      <c r="AV66" s="4" t="s">
        <v>305</v>
      </c>
      <c r="AW66" s="4" t="s">
        <v>292</v>
      </c>
    </row>
    <row r="67" spans="1:49" s="4" customFormat="1" x14ac:dyDescent="0.25">
      <c r="A67" s="4" t="s">
        <v>11199</v>
      </c>
      <c r="B67" s="4" t="s">
        <v>293</v>
      </c>
      <c r="C67" s="4" t="s">
        <v>342</v>
      </c>
      <c r="D67" s="4" t="s">
        <v>343</v>
      </c>
      <c r="F67" s="4" t="s">
        <v>11462</v>
      </c>
      <c r="G67" s="4" t="s">
        <v>11463</v>
      </c>
      <c r="I67" s="4" t="s">
        <v>296</v>
      </c>
      <c r="J67" s="4" t="s">
        <v>297</v>
      </c>
      <c r="K67" s="4" t="s">
        <v>298</v>
      </c>
      <c r="L67" s="4" t="s">
        <v>322</v>
      </c>
      <c r="M67" s="4" t="s">
        <v>300</v>
      </c>
      <c r="N67" s="4" t="s">
        <v>11198</v>
      </c>
      <c r="O67" s="5">
        <v>187.65100000000001</v>
      </c>
      <c r="P67" s="6">
        <v>1</v>
      </c>
      <c r="Q67" s="7">
        <v>9.25</v>
      </c>
      <c r="R67" s="7">
        <v>7</v>
      </c>
      <c r="S67" s="4" t="s">
        <v>301</v>
      </c>
      <c r="T67" s="4" t="s">
        <v>302</v>
      </c>
      <c r="U67" s="5">
        <v>224.06100000000001</v>
      </c>
      <c r="V67" s="6">
        <v>0.45</v>
      </c>
      <c r="W67" s="7">
        <v>2</v>
      </c>
      <c r="X67" s="5">
        <v>86.667000000000002</v>
      </c>
      <c r="Y67" s="4" t="s">
        <v>292</v>
      </c>
      <c r="Z67" s="6">
        <v>1</v>
      </c>
      <c r="AA67" s="6">
        <v>1</v>
      </c>
      <c r="AB67" s="5">
        <v>86.667000000000002</v>
      </c>
      <c r="AC67" s="6">
        <v>1</v>
      </c>
      <c r="AD67" s="6">
        <v>1</v>
      </c>
      <c r="AE67" s="5">
        <v>86.667000000000002</v>
      </c>
      <c r="AF67" s="7">
        <v>10</v>
      </c>
      <c r="AG67" s="7">
        <v>7</v>
      </c>
      <c r="AH67" s="7">
        <v>9.25</v>
      </c>
      <c r="AI67" s="7">
        <v>0</v>
      </c>
      <c r="AJ67" s="7">
        <v>0</v>
      </c>
      <c r="AK67" s="8">
        <v>44115.5080787037</v>
      </c>
      <c r="AL67" s="7">
        <v>10.08</v>
      </c>
      <c r="AM67" s="7">
        <v>100</v>
      </c>
      <c r="AN67" s="7">
        <v>0</v>
      </c>
      <c r="AO67" s="7">
        <v>7.06</v>
      </c>
      <c r="AP67" s="7">
        <v>9.32</v>
      </c>
      <c r="AQ67" s="7">
        <v>0</v>
      </c>
      <c r="AR67" s="7">
        <v>2.2200000000000002</v>
      </c>
      <c r="AS67" s="4" t="s">
        <v>303</v>
      </c>
      <c r="AT67" s="7">
        <v>0</v>
      </c>
      <c r="AU67" s="4" t="s">
        <v>344</v>
      </c>
      <c r="AV67" s="4" t="s">
        <v>305</v>
      </c>
      <c r="AW67" s="4" t="s">
        <v>292</v>
      </c>
    </row>
    <row r="68" spans="1:49" s="4" customFormat="1" x14ac:dyDescent="0.25">
      <c r="A68" s="4" t="s">
        <v>395</v>
      </c>
      <c r="B68" s="4" t="s">
        <v>293</v>
      </c>
      <c r="C68" s="4" t="s">
        <v>342</v>
      </c>
      <c r="D68" s="4" t="s">
        <v>343</v>
      </c>
      <c r="F68" s="4" t="s">
        <v>11462</v>
      </c>
      <c r="G68" s="4" t="s">
        <v>11463</v>
      </c>
      <c r="I68" s="4" t="s">
        <v>296</v>
      </c>
      <c r="J68" s="4" t="s">
        <v>297</v>
      </c>
      <c r="K68" s="4" t="s">
        <v>298</v>
      </c>
      <c r="L68" s="4" t="s">
        <v>322</v>
      </c>
      <c r="M68" s="4" t="s">
        <v>300</v>
      </c>
      <c r="N68" s="4" t="s">
        <v>447</v>
      </c>
      <c r="O68" s="5">
        <v>187.65100000000001</v>
      </c>
      <c r="P68" s="6">
        <v>1</v>
      </c>
      <c r="Q68" s="7">
        <v>9.25</v>
      </c>
      <c r="R68" s="7">
        <v>7</v>
      </c>
      <c r="S68" s="4" t="s">
        <v>301</v>
      </c>
      <c r="T68" s="4" t="s">
        <v>302</v>
      </c>
      <c r="U68" s="5">
        <v>224.06100000000001</v>
      </c>
      <c r="V68" s="6">
        <v>0.45</v>
      </c>
      <c r="W68" s="7">
        <v>4</v>
      </c>
      <c r="X68" s="5">
        <v>118.09699999999999</v>
      </c>
      <c r="Y68" s="4" t="s">
        <v>292</v>
      </c>
      <c r="Z68" s="6">
        <v>1</v>
      </c>
      <c r="AA68" s="6">
        <v>0.75266100000000002</v>
      </c>
      <c r="AB68" s="5">
        <v>118.09699999999999</v>
      </c>
      <c r="AC68" s="6">
        <v>1</v>
      </c>
      <c r="AD68" s="6">
        <v>0.75266100000000002</v>
      </c>
      <c r="AE68" s="5">
        <v>118.09699999999999</v>
      </c>
      <c r="AF68" s="7">
        <v>10</v>
      </c>
      <c r="AG68" s="7">
        <v>7</v>
      </c>
      <c r="AH68" s="7">
        <v>9.25</v>
      </c>
      <c r="AI68" s="7">
        <v>17</v>
      </c>
      <c r="AJ68" s="7">
        <v>0</v>
      </c>
      <c r="AK68" s="8">
        <v>44115.5080787037</v>
      </c>
      <c r="AL68" s="7">
        <v>10.08</v>
      </c>
      <c r="AM68" s="7">
        <v>100</v>
      </c>
      <c r="AN68" s="7">
        <v>0</v>
      </c>
      <c r="AO68" s="7">
        <v>7.06</v>
      </c>
      <c r="AP68" s="7">
        <v>9.32</v>
      </c>
      <c r="AQ68" s="7">
        <v>21.3</v>
      </c>
      <c r="AR68" s="7">
        <v>5.29</v>
      </c>
      <c r="AS68" s="4" t="s">
        <v>303</v>
      </c>
      <c r="AT68" s="7">
        <v>0</v>
      </c>
      <c r="AU68" s="4" t="s">
        <v>344</v>
      </c>
      <c r="AV68" s="4" t="s">
        <v>305</v>
      </c>
      <c r="AW68" s="4" t="s">
        <v>292</v>
      </c>
    </row>
    <row r="69" spans="1:49" s="4" customFormat="1" x14ac:dyDescent="0.25">
      <c r="A69" s="4" t="s">
        <v>11200</v>
      </c>
      <c r="B69" s="4" t="s">
        <v>293</v>
      </c>
      <c r="C69" s="4" t="s">
        <v>342</v>
      </c>
      <c r="D69" s="4" t="s">
        <v>343</v>
      </c>
      <c r="F69" s="4" t="s">
        <v>11462</v>
      </c>
      <c r="G69" s="4" t="s">
        <v>11463</v>
      </c>
      <c r="I69" s="4" t="s">
        <v>296</v>
      </c>
      <c r="J69" s="4" t="s">
        <v>297</v>
      </c>
      <c r="K69" s="4" t="s">
        <v>298</v>
      </c>
      <c r="L69" s="4" t="s">
        <v>322</v>
      </c>
      <c r="M69" s="4" t="s">
        <v>300</v>
      </c>
      <c r="N69" s="4" t="s">
        <v>11198</v>
      </c>
      <c r="O69" s="5">
        <v>187.65100000000001</v>
      </c>
      <c r="P69" s="6">
        <v>1</v>
      </c>
      <c r="Q69" s="7">
        <v>9.25</v>
      </c>
      <c r="R69" s="7">
        <v>18</v>
      </c>
      <c r="S69" s="4" t="s">
        <v>301</v>
      </c>
      <c r="T69" s="4" t="s">
        <v>302</v>
      </c>
      <c r="U69" s="5">
        <v>257.94</v>
      </c>
      <c r="V69" s="6">
        <v>0.45</v>
      </c>
      <c r="W69" s="7">
        <v>1.5</v>
      </c>
      <c r="X69" s="5">
        <v>86.363</v>
      </c>
      <c r="Y69" s="4" t="s">
        <v>292</v>
      </c>
      <c r="Z69" s="6">
        <v>1</v>
      </c>
      <c r="AA69" s="6">
        <v>1</v>
      </c>
      <c r="AB69" s="5">
        <v>86.363</v>
      </c>
      <c r="AC69" s="6">
        <v>1</v>
      </c>
      <c r="AD69" s="6">
        <v>1</v>
      </c>
      <c r="AE69" s="5">
        <v>86.363</v>
      </c>
      <c r="AF69" s="7">
        <v>10</v>
      </c>
      <c r="AG69" s="7">
        <v>18</v>
      </c>
      <c r="AH69" s="7">
        <v>9.25</v>
      </c>
      <c r="AI69" s="7">
        <v>0</v>
      </c>
      <c r="AJ69" s="7">
        <v>0</v>
      </c>
      <c r="AK69" s="8">
        <v>44115.504293981481</v>
      </c>
      <c r="AL69" s="7">
        <v>11.61</v>
      </c>
      <c r="AM69" s="7">
        <v>100</v>
      </c>
      <c r="AN69" s="7">
        <v>0</v>
      </c>
      <c r="AO69" s="7">
        <v>20.89</v>
      </c>
      <c r="AP69" s="7">
        <v>10.74</v>
      </c>
      <c r="AQ69" s="7">
        <v>0</v>
      </c>
      <c r="AR69" s="7">
        <v>1.92</v>
      </c>
      <c r="AS69" s="4" t="s">
        <v>303</v>
      </c>
      <c r="AT69" s="7">
        <v>0</v>
      </c>
      <c r="AU69" s="4" t="s">
        <v>344</v>
      </c>
      <c r="AV69" s="4" t="s">
        <v>305</v>
      </c>
      <c r="AW69" s="4" t="s">
        <v>292</v>
      </c>
    </row>
    <row r="70" spans="1:49" s="4" customFormat="1" x14ac:dyDescent="0.25">
      <c r="A70" s="4" t="s">
        <v>11207</v>
      </c>
      <c r="B70" s="4" t="s">
        <v>293</v>
      </c>
      <c r="C70" s="4" t="s">
        <v>342</v>
      </c>
      <c r="D70" s="4" t="s">
        <v>343</v>
      </c>
      <c r="F70" s="4" t="s">
        <v>11236</v>
      </c>
      <c r="G70" s="4" t="s">
        <v>11237</v>
      </c>
      <c r="I70" s="4" t="s">
        <v>296</v>
      </c>
      <c r="J70" s="4" t="s">
        <v>297</v>
      </c>
      <c r="K70" s="4" t="s">
        <v>298</v>
      </c>
      <c r="L70" s="4" t="s">
        <v>322</v>
      </c>
      <c r="M70" s="4" t="s">
        <v>300</v>
      </c>
      <c r="N70" s="4" t="s">
        <v>11238</v>
      </c>
      <c r="O70" s="5">
        <v>86.36</v>
      </c>
      <c r="P70" s="6">
        <v>1</v>
      </c>
      <c r="Q70" s="7">
        <v>9.25</v>
      </c>
      <c r="R70" s="7">
        <v>7</v>
      </c>
      <c r="S70" s="4" t="s">
        <v>301</v>
      </c>
      <c r="T70" s="4" t="s">
        <v>302</v>
      </c>
      <c r="U70" s="5">
        <v>103.116</v>
      </c>
      <c r="V70" s="6">
        <v>0.25</v>
      </c>
      <c r="W70" s="7">
        <v>3</v>
      </c>
      <c r="X70" s="5">
        <v>34.698999999999998</v>
      </c>
      <c r="Y70" s="4" t="s">
        <v>292</v>
      </c>
      <c r="Z70" s="6">
        <v>4</v>
      </c>
      <c r="AA70" s="6">
        <v>1</v>
      </c>
      <c r="AB70" s="5">
        <v>138.79599999999999</v>
      </c>
      <c r="AC70" s="6">
        <v>1</v>
      </c>
      <c r="AD70" s="6">
        <v>1</v>
      </c>
      <c r="AE70" s="5">
        <v>138.79599999999999</v>
      </c>
      <c r="AF70" s="5">
        <v>138.79599999999999</v>
      </c>
      <c r="AG70" s="7">
        <v>7</v>
      </c>
      <c r="AH70" s="7">
        <v>0</v>
      </c>
      <c r="AI70" s="7">
        <v>17</v>
      </c>
      <c r="AJ70" s="7">
        <v>0</v>
      </c>
      <c r="AK70" s="8">
        <v>44115.526956018519</v>
      </c>
      <c r="AL70" s="7">
        <v>2.58</v>
      </c>
      <c r="AM70" s="7">
        <v>100</v>
      </c>
      <c r="AN70" s="7">
        <v>0</v>
      </c>
      <c r="AO70" s="7">
        <v>1.8</v>
      </c>
      <c r="AP70" s="7">
        <v>0</v>
      </c>
      <c r="AQ70" s="7">
        <v>5.33</v>
      </c>
      <c r="AR70" s="7">
        <v>1.01</v>
      </c>
      <c r="AS70" s="4" t="s">
        <v>303</v>
      </c>
      <c r="AT70" s="7">
        <v>0</v>
      </c>
      <c r="AU70" s="4" t="s">
        <v>344</v>
      </c>
      <c r="AV70" s="4" t="s">
        <v>305</v>
      </c>
    </row>
    <row r="71" spans="1:49" s="4" customFormat="1" x14ac:dyDescent="0.25">
      <c r="A71" s="4" t="s">
        <v>11201</v>
      </c>
      <c r="B71" s="4" t="s">
        <v>293</v>
      </c>
      <c r="C71" s="4" t="s">
        <v>345</v>
      </c>
      <c r="D71" s="4" t="s">
        <v>346</v>
      </c>
      <c r="F71" s="4" t="s">
        <v>11462</v>
      </c>
      <c r="G71" s="4" t="s">
        <v>11463</v>
      </c>
      <c r="I71" s="4" t="s">
        <v>296</v>
      </c>
      <c r="J71" s="4" t="s">
        <v>297</v>
      </c>
      <c r="K71" s="4" t="s">
        <v>298</v>
      </c>
      <c r="L71" s="4" t="s">
        <v>322</v>
      </c>
      <c r="M71" s="4" t="s">
        <v>300</v>
      </c>
      <c r="N71" s="4" t="s">
        <v>11198</v>
      </c>
      <c r="O71" s="5">
        <v>200.94499999999999</v>
      </c>
      <c r="P71" s="6">
        <v>1</v>
      </c>
      <c r="Q71" s="7">
        <v>9.25</v>
      </c>
      <c r="R71" s="7">
        <v>12</v>
      </c>
      <c r="S71" s="4" t="s">
        <v>301</v>
      </c>
      <c r="T71" s="4" t="s">
        <v>302</v>
      </c>
      <c r="U71" s="5">
        <v>255.16800000000001</v>
      </c>
      <c r="V71" s="6">
        <v>0.45</v>
      </c>
      <c r="W71" s="7">
        <v>1.5</v>
      </c>
      <c r="X71" s="5">
        <v>92.316000000000003</v>
      </c>
      <c r="Y71" s="4" t="s">
        <v>292</v>
      </c>
      <c r="Z71" s="6">
        <v>1</v>
      </c>
      <c r="AA71" s="6">
        <v>1</v>
      </c>
      <c r="AB71" s="5">
        <v>92.316000000000003</v>
      </c>
      <c r="AC71" s="6">
        <v>1</v>
      </c>
      <c r="AD71" s="6">
        <v>1</v>
      </c>
      <c r="AE71" s="5">
        <v>92.316000000000003</v>
      </c>
      <c r="AF71" s="7">
        <v>10</v>
      </c>
      <c r="AG71" s="7">
        <v>12</v>
      </c>
      <c r="AH71" s="7">
        <v>9.25</v>
      </c>
      <c r="AI71" s="7">
        <v>0</v>
      </c>
      <c r="AJ71" s="7">
        <v>0</v>
      </c>
      <c r="AK71" s="8">
        <v>44115.507870370369</v>
      </c>
      <c r="AL71" s="7">
        <v>11.48</v>
      </c>
      <c r="AM71" s="7">
        <v>100</v>
      </c>
      <c r="AN71" s="7">
        <v>0</v>
      </c>
      <c r="AO71" s="7">
        <v>13.78</v>
      </c>
      <c r="AP71" s="7">
        <v>10.62</v>
      </c>
      <c r="AQ71" s="7">
        <v>0</v>
      </c>
      <c r="AR71" s="7">
        <v>1.89</v>
      </c>
      <c r="AS71" s="4" t="s">
        <v>303</v>
      </c>
      <c r="AT71" s="7">
        <v>0</v>
      </c>
      <c r="AU71" s="4" t="s">
        <v>347</v>
      </c>
      <c r="AV71" s="4" t="s">
        <v>305</v>
      </c>
      <c r="AW71" s="4" t="s">
        <v>292</v>
      </c>
    </row>
    <row r="72" spans="1:49" s="4" customFormat="1" x14ac:dyDescent="0.25">
      <c r="A72" s="4" t="s">
        <v>11199</v>
      </c>
      <c r="B72" s="4" t="s">
        <v>293</v>
      </c>
      <c r="C72" s="4" t="s">
        <v>345</v>
      </c>
      <c r="D72" s="4" t="s">
        <v>346</v>
      </c>
      <c r="F72" s="4" t="s">
        <v>11462</v>
      </c>
      <c r="G72" s="4" t="s">
        <v>11463</v>
      </c>
      <c r="I72" s="4" t="s">
        <v>296</v>
      </c>
      <c r="J72" s="4" t="s">
        <v>297</v>
      </c>
      <c r="K72" s="4" t="s">
        <v>298</v>
      </c>
      <c r="L72" s="4" t="s">
        <v>322</v>
      </c>
      <c r="M72" s="4" t="s">
        <v>300</v>
      </c>
      <c r="N72" s="4" t="s">
        <v>11198</v>
      </c>
      <c r="O72" s="5">
        <v>200.94300000000001</v>
      </c>
      <c r="P72" s="6">
        <v>1</v>
      </c>
      <c r="Q72" s="7">
        <v>9.25</v>
      </c>
      <c r="R72" s="7">
        <v>7</v>
      </c>
      <c r="S72" s="4" t="s">
        <v>301</v>
      </c>
      <c r="T72" s="4" t="s">
        <v>302</v>
      </c>
      <c r="U72" s="5">
        <v>239.93199999999999</v>
      </c>
      <c r="V72" s="6">
        <v>0.45</v>
      </c>
      <c r="W72" s="7">
        <v>2</v>
      </c>
      <c r="X72" s="5">
        <v>92.799000000000007</v>
      </c>
      <c r="Y72" s="4" t="s">
        <v>292</v>
      </c>
      <c r="Z72" s="6">
        <v>1</v>
      </c>
      <c r="AA72" s="6">
        <v>1</v>
      </c>
      <c r="AB72" s="5">
        <v>92.799000000000007</v>
      </c>
      <c r="AC72" s="6">
        <v>1</v>
      </c>
      <c r="AD72" s="6">
        <v>1</v>
      </c>
      <c r="AE72" s="5">
        <v>92.799000000000007</v>
      </c>
      <c r="AF72" s="7">
        <v>10</v>
      </c>
      <c r="AG72" s="7">
        <v>7</v>
      </c>
      <c r="AH72" s="7">
        <v>9.25</v>
      </c>
      <c r="AI72" s="7">
        <v>0</v>
      </c>
      <c r="AJ72" s="7">
        <v>0</v>
      </c>
      <c r="AK72" s="8">
        <v>44115.508090277777</v>
      </c>
      <c r="AL72" s="7">
        <v>10.8</v>
      </c>
      <c r="AM72" s="7">
        <v>100</v>
      </c>
      <c r="AN72" s="7">
        <v>0</v>
      </c>
      <c r="AO72" s="7">
        <v>7.56</v>
      </c>
      <c r="AP72" s="7">
        <v>9.99</v>
      </c>
      <c r="AQ72" s="7">
        <v>0</v>
      </c>
      <c r="AR72" s="7">
        <v>2.38</v>
      </c>
      <c r="AS72" s="4" t="s">
        <v>303</v>
      </c>
      <c r="AT72" s="7">
        <v>0</v>
      </c>
      <c r="AU72" s="4" t="s">
        <v>347</v>
      </c>
      <c r="AV72" s="4" t="s">
        <v>305</v>
      </c>
      <c r="AW72" s="4" t="s">
        <v>292</v>
      </c>
    </row>
    <row r="73" spans="1:49" s="4" customFormat="1" x14ac:dyDescent="0.25">
      <c r="A73" s="4" t="s">
        <v>395</v>
      </c>
      <c r="B73" s="4" t="s">
        <v>293</v>
      </c>
      <c r="C73" s="4" t="s">
        <v>345</v>
      </c>
      <c r="D73" s="4" t="s">
        <v>346</v>
      </c>
      <c r="F73" s="4" t="s">
        <v>11462</v>
      </c>
      <c r="G73" s="4" t="s">
        <v>11463</v>
      </c>
      <c r="I73" s="4" t="s">
        <v>296</v>
      </c>
      <c r="J73" s="4" t="s">
        <v>297</v>
      </c>
      <c r="K73" s="4" t="s">
        <v>298</v>
      </c>
      <c r="L73" s="4" t="s">
        <v>322</v>
      </c>
      <c r="M73" s="4" t="s">
        <v>300</v>
      </c>
      <c r="N73" s="4" t="s">
        <v>447</v>
      </c>
      <c r="O73" s="5">
        <v>200.94300000000001</v>
      </c>
      <c r="P73" s="6">
        <v>1</v>
      </c>
      <c r="Q73" s="7">
        <v>9.25</v>
      </c>
      <c r="R73" s="7">
        <v>7</v>
      </c>
      <c r="S73" s="4" t="s">
        <v>301</v>
      </c>
      <c r="T73" s="4" t="s">
        <v>302</v>
      </c>
      <c r="U73" s="5">
        <v>239.93199999999999</v>
      </c>
      <c r="V73" s="6">
        <v>0.45</v>
      </c>
      <c r="W73" s="7">
        <v>4</v>
      </c>
      <c r="X73" s="5">
        <v>126.449</v>
      </c>
      <c r="Y73" s="4" t="s">
        <v>292</v>
      </c>
      <c r="Z73" s="6">
        <v>1</v>
      </c>
      <c r="AA73" s="6">
        <v>0.75262799999999996</v>
      </c>
      <c r="AB73" s="5">
        <v>126.449</v>
      </c>
      <c r="AC73" s="6">
        <v>1</v>
      </c>
      <c r="AD73" s="6">
        <v>0.75262799999999996</v>
      </c>
      <c r="AE73" s="5">
        <v>126.449</v>
      </c>
      <c r="AF73" s="7">
        <v>10</v>
      </c>
      <c r="AG73" s="7">
        <v>7</v>
      </c>
      <c r="AH73" s="7">
        <v>9.25</v>
      </c>
      <c r="AI73" s="7">
        <v>17</v>
      </c>
      <c r="AJ73" s="7">
        <v>0</v>
      </c>
      <c r="AK73" s="8">
        <v>44115.509768518517</v>
      </c>
      <c r="AL73" s="7">
        <v>10.8</v>
      </c>
      <c r="AM73" s="7">
        <v>100</v>
      </c>
      <c r="AN73" s="7">
        <v>0</v>
      </c>
      <c r="AO73" s="7">
        <v>7.56</v>
      </c>
      <c r="AP73" s="7">
        <v>9.99</v>
      </c>
      <c r="AQ73" s="7">
        <v>22.81</v>
      </c>
      <c r="AR73" s="7">
        <v>5.66</v>
      </c>
      <c r="AS73" s="4" t="s">
        <v>303</v>
      </c>
      <c r="AT73" s="7">
        <v>0</v>
      </c>
      <c r="AU73" s="4" t="s">
        <v>347</v>
      </c>
      <c r="AV73" s="4" t="s">
        <v>305</v>
      </c>
      <c r="AW73" s="4" t="s">
        <v>292</v>
      </c>
    </row>
    <row r="74" spans="1:49" s="4" customFormat="1" x14ac:dyDescent="0.25">
      <c r="A74" s="4" t="s">
        <v>11200</v>
      </c>
      <c r="B74" s="4" t="s">
        <v>293</v>
      </c>
      <c r="C74" s="4" t="s">
        <v>345</v>
      </c>
      <c r="D74" s="4" t="s">
        <v>346</v>
      </c>
      <c r="F74" s="4" t="s">
        <v>11462</v>
      </c>
      <c r="G74" s="4" t="s">
        <v>11463</v>
      </c>
      <c r="I74" s="4" t="s">
        <v>296</v>
      </c>
      <c r="J74" s="4" t="s">
        <v>297</v>
      </c>
      <c r="K74" s="4" t="s">
        <v>298</v>
      </c>
      <c r="L74" s="4" t="s">
        <v>322</v>
      </c>
      <c r="M74" s="4" t="s">
        <v>300</v>
      </c>
      <c r="N74" s="4" t="s">
        <v>11198</v>
      </c>
      <c r="O74" s="5">
        <v>200.94300000000001</v>
      </c>
      <c r="P74" s="6">
        <v>1</v>
      </c>
      <c r="Q74" s="7">
        <v>9.25</v>
      </c>
      <c r="R74" s="7">
        <v>18</v>
      </c>
      <c r="S74" s="4" t="s">
        <v>301</v>
      </c>
      <c r="T74" s="4" t="s">
        <v>302</v>
      </c>
      <c r="U74" s="5">
        <v>276.20999999999998</v>
      </c>
      <c r="V74" s="6">
        <v>0.45</v>
      </c>
      <c r="W74" s="7">
        <v>1.5</v>
      </c>
      <c r="X74" s="5">
        <v>92.474999999999994</v>
      </c>
      <c r="Y74" s="4" t="s">
        <v>292</v>
      </c>
      <c r="Z74" s="6">
        <v>1</v>
      </c>
      <c r="AA74" s="6">
        <v>1</v>
      </c>
      <c r="AB74" s="5">
        <v>92.474999999999994</v>
      </c>
      <c r="AC74" s="6">
        <v>1</v>
      </c>
      <c r="AD74" s="6">
        <v>1</v>
      </c>
      <c r="AE74" s="5">
        <v>92.474999999999994</v>
      </c>
      <c r="AF74" s="7">
        <v>10</v>
      </c>
      <c r="AG74" s="7">
        <v>18</v>
      </c>
      <c r="AH74" s="7">
        <v>9.25</v>
      </c>
      <c r="AI74" s="7">
        <v>0</v>
      </c>
      <c r="AJ74" s="7">
        <v>0</v>
      </c>
      <c r="AK74" s="8">
        <v>44115.504293981481</v>
      </c>
      <c r="AL74" s="7">
        <v>12.43</v>
      </c>
      <c r="AM74" s="7">
        <v>100</v>
      </c>
      <c r="AN74" s="7">
        <v>0</v>
      </c>
      <c r="AO74" s="7">
        <v>22.37</v>
      </c>
      <c r="AP74" s="7">
        <v>11.5</v>
      </c>
      <c r="AQ74" s="7">
        <v>0</v>
      </c>
      <c r="AR74" s="7">
        <v>2.0499999999999998</v>
      </c>
      <c r="AS74" s="4" t="s">
        <v>303</v>
      </c>
      <c r="AT74" s="7">
        <v>0</v>
      </c>
      <c r="AU74" s="4" t="s">
        <v>347</v>
      </c>
      <c r="AV74" s="4" t="s">
        <v>305</v>
      </c>
      <c r="AW74" s="4" t="s">
        <v>292</v>
      </c>
    </row>
    <row r="75" spans="1:49" s="4" customFormat="1" x14ac:dyDescent="0.25">
      <c r="A75" s="4" t="s">
        <v>11207</v>
      </c>
      <c r="B75" s="4" t="s">
        <v>293</v>
      </c>
      <c r="C75" s="4" t="s">
        <v>345</v>
      </c>
      <c r="D75" s="4" t="s">
        <v>346</v>
      </c>
      <c r="F75" s="4" t="s">
        <v>11236</v>
      </c>
      <c r="G75" s="4" t="s">
        <v>11237</v>
      </c>
      <c r="I75" s="4" t="s">
        <v>296</v>
      </c>
      <c r="J75" s="4" t="s">
        <v>297</v>
      </c>
      <c r="K75" s="4" t="s">
        <v>298</v>
      </c>
      <c r="L75" s="4" t="s">
        <v>322</v>
      </c>
      <c r="M75" s="4" t="s">
        <v>300</v>
      </c>
      <c r="N75" s="4" t="s">
        <v>11238</v>
      </c>
      <c r="O75" s="5">
        <v>92.48</v>
      </c>
      <c r="P75" s="6">
        <v>1</v>
      </c>
      <c r="Q75" s="7">
        <v>9.25</v>
      </c>
      <c r="R75" s="7">
        <v>7</v>
      </c>
      <c r="S75" s="4" t="s">
        <v>301</v>
      </c>
      <c r="T75" s="4" t="s">
        <v>302</v>
      </c>
      <c r="U75" s="5">
        <v>110.42400000000001</v>
      </c>
      <c r="V75" s="6">
        <v>0.25</v>
      </c>
      <c r="W75" s="7">
        <v>3</v>
      </c>
      <c r="X75" s="5">
        <v>37.155999999999999</v>
      </c>
      <c r="Y75" s="4" t="s">
        <v>292</v>
      </c>
      <c r="Z75" s="6">
        <v>4</v>
      </c>
      <c r="AA75" s="6">
        <v>1</v>
      </c>
      <c r="AB75" s="5">
        <v>148.624</v>
      </c>
      <c r="AC75" s="6">
        <v>1</v>
      </c>
      <c r="AD75" s="6">
        <v>1</v>
      </c>
      <c r="AE75" s="5">
        <v>148.624</v>
      </c>
      <c r="AF75" s="5">
        <v>148.624</v>
      </c>
      <c r="AG75" s="7">
        <v>7</v>
      </c>
      <c r="AH75" s="7">
        <v>0</v>
      </c>
      <c r="AI75" s="7">
        <v>17</v>
      </c>
      <c r="AJ75" s="7">
        <v>0</v>
      </c>
      <c r="AK75" s="8">
        <v>44115.526967592596</v>
      </c>
      <c r="AL75" s="7">
        <v>2.76</v>
      </c>
      <c r="AM75" s="7">
        <v>100</v>
      </c>
      <c r="AN75" s="7">
        <v>0</v>
      </c>
      <c r="AO75" s="7">
        <v>1.93</v>
      </c>
      <c r="AP75" s="7">
        <v>0</v>
      </c>
      <c r="AQ75" s="7">
        <v>5.71</v>
      </c>
      <c r="AR75" s="7">
        <v>1.08</v>
      </c>
      <c r="AS75" s="4" t="s">
        <v>303</v>
      </c>
      <c r="AT75" s="7">
        <v>0</v>
      </c>
      <c r="AU75" s="4" t="s">
        <v>347</v>
      </c>
      <c r="AV75" s="4" t="s">
        <v>305</v>
      </c>
    </row>
    <row r="76" spans="1:49" s="4" customFormat="1" x14ac:dyDescent="0.25">
      <c r="A76" s="4" t="s">
        <v>11201</v>
      </c>
      <c r="B76" s="4" t="s">
        <v>293</v>
      </c>
      <c r="C76" s="4" t="s">
        <v>348</v>
      </c>
      <c r="D76" s="4" t="s">
        <v>349</v>
      </c>
      <c r="F76" s="4" t="s">
        <v>11462</v>
      </c>
      <c r="G76" s="4" t="s">
        <v>11463</v>
      </c>
      <c r="I76" s="4" t="s">
        <v>296</v>
      </c>
      <c r="J76" s="4" t="s">
        <v>297</v>
      </c>
      <c r="K76" s="4" t="s">
        <v>298</v>
      </c>
      <c r="L76" s="4" t="s">
        <v>299</v>
      </c>
      <c r="M76" s="4" t="s">
        <v>300</v>
      </c>
      <c r="N76" s="4" t="s">
        <v>11198</v>
      </c>
      <c r="O76" s="5">
        <v>144.31399999999999</v>
      </c>
      <c r="P76" s="6">
        <v>1</v>
      </c>
      <c r="Q76" s="7">
        <v>9.25</v>
      </c>
      <c r="R76" s="7">
        <v>12</v>
      </c>
      <c r="S76" s="4" t="s">
        <v>301</v>
      </c>
      <c r="T76" s="4" t="s">
        <v>302</v>
      </c>
      <c r="U76" s="5">
        <v>183.256</v>
      </c>
      <c r="V76" s="6">
        <v>0.45</v>
      </c>
      <c r="W76" s="7">
        <v>1.5</v>
      </c>
      <c r="X76" s="5">
        <v>66.295000000000002</v>
      </c>
      <c r="Y76" s="4" t="s">
        <v>292</v>
      </c>
      <c r="Z76" s="6">
        <v>1</v>
      </c>
      <c r="AA76" s="6">
        <v>1</v>
      </c>
      <c r="AB76" s="5">
        <v>66.295000000000002</v>
      </c>
      <c r="AC76" s="6">
        <v>1</v>
      </c>
      <c r="AD76" s="6">
        <v>1</v>
      </c>
      <c r="AE76" s="5">
        <v>66.295000000000002</v>
      </c>
      <c r="AF76" s="7">
        <v>10</v>
      </c>
      <c r="AG76" s="7">
        <v>12</v>
      </c>
      <c r="AH76" s="7">
        <v>9.25</v>
      </c>
      <c r="AI76" s="7">
        <v>0</v>
      </c>
      <c r="AJ76" s="7">
        <v>0</v>
      </c>
      <c r="AK76" s="8">
        <v>44115.509467592594</v>
      </c>
      <c r="AL76" s="7">
        <v>8.25</v>
      </c>
      <c r="AM76" s="7">
        <v>100</v>
      </c>
      <c r="AN76" s="7">
        <v>0</v>
      </c>
      <c r="AO76" s="7">
        <v>9.9</v>
      </c>
      <c r="AP76" s="7">
        <v>7.63</v>
      </c>
      <c r="AQ76" s="7">
        <v>0</v>
      </c>
      <c r="AR76" s="7">
        <v>1.36</v>
      </c>
      <c r="AS76" s="4" t="s">
        <v>303</v>
      </c>
      <c r="AT76" s="7">
        <v>0</v>
      </c>
      <c r="AU76" s="4" t="s">
        <v>350</v>
      </c>
      <c r="AV76" s="4" t="s">
        <v>305</v>
      </c>
      <c r="AW76" s="4" t="s">
        <v>292</v>
      </c>
    </row>
    <row r="77" spans="1:49" s="4" customFormat="1" x14ac:dyDescent="0.25">
      <c r="A77" s="4" t="s">
        <v>11199</v>
      </c>
      <c r="B77" s="4" t="s">
        <v>293</v>
      </c>
      <c r="C77" s="4" t="s">
        <v>348</v>
      </c>
      <c r="D77" s="4" t="s">
        <v>349</v>
      </c>
      <c r="F77" s="4" t="s">
        <v>11462</v>
      </c>
      <c r="G77" s="4" t="s">
        <v>11463</v>
      </c>
      <c r="I77" s="4" t="s">
        <v>296</v>
      </c>
      <c r="J77" s="4" t="s">
        <v>297</v>
      </c>
      <c r="K77" s="4" t="s">
        <v>298</v>
      </c>
      <c r="L77" s="4" t="s">
        <v>299</v>
      </c>
      <c r="M77" s="4" t="s">
        <v>300</v>
      </c>
      <c r="N77" s="4" t="s">
        <v>11198</v>
      </c>
      <c r="O77" s="5">
        <v>144.31399999999999</v>
      </c>
      <c r="P77" s="6">
        <v>1</v>
      </c>
      <c r="Q77" s="7">
        <v>9.25</v>
      </c>
      <c r="R77" s="7">
        <v>7</v>
      </c>
      <c r="S77" s="4" t="s">
        <v>301</v>
      </c>
      <c r="T77" s="4" t="s">
        <v>302</v>
      </c>
      <c r="U77" s="5">
        <v>172.315</v>
      </c>
      <c r="V77" s="6">
        <v>0.45</v>
      </c>
      <c r="W77" s="7">
        <v>2</v>
      </c>
      <c r="X77" s="5">
        <v>66.652000000000001</v>
      </c>
      <c r="Y77" s="4" t="s">
        <v>292</v>
      </c>
      <c r="Z77" s="6">
        <v>1</v>
      </c>
      <c r="AA77" s="6">
        <v>1</v>
      </c>
      <c r="AB77" s="5">
        <v>66.652000000000001</v>
      </c>
      <c r="AC77" s="6">
        <v>1</v>
      </c>
      <c r="AD77" s="6">
        <v>1</v>
      </c>
      <c r="AE77" s="5">
        <v>66.652000000000001</v>
      </c>
      <c r="AF77" s="7">
        <v>10</v>
      </c>
      <c r="AG77" s="7">
        <v>7</v>
      </c>
      <c r="AH77" s="7">
        <v>9.25</v>
      </c>
      <c r="AI77" s="7">
        <v>0</v>
      </c>
      <c r="AJ77" s="7">
        <v>0</v>
      </c>
      <c r="AK77" s="8">
        <v>44115.510694444441</v>
      </c>
      <c r="AL77" s="7">
        <v>7.75</v>
      </c>
      <c r="AM77" s="7">
        <v>100</v>
      </c>
      <c r="AN77" s="7">
        <v>0</v>
      </c>
      <c r="AO77" s="7">
        <v>5.43</v>
      </c>
      <c r="AP77" s="7">
        <v>7.17</v>
      </c>
      <c r="AQ77" s="7">
        <v>0</v>
      </c>
      <c r="AR77" s="7">
        <v>1.71</v>
      </c>
      <c r="AS77" s="4" t="s">
        <v>303</v>
      </c>
      <c r="AT77" s="7">
        <v>0</v>
      </c>
      <c r="AU77" s="4" t="s">
        <v>350</v>
      </c>
      <c r="AV77" s="4" t="s">
        <v>305</v>
      </c>
      <c r="AW77" s="4" t="s">
        <v>292</v>
      </c>
    </row>
    <row r="78" spans="1:49" s="4" customFormat="1" x14ac:dyDescent="0.25">
      <c r="A78" s="4" t="s">
        <v>395</v>
      </c>
      <c r="B78" s="4" t="s">
        <v>293</v>
      </c>
      <c r="C78" s="4" t="s">
        <v>348</v>
      </c>
      <c r="D78" s="4" t="s">
        <v>349</v>
      </c>
      <c r="F78" s="4" t="s">
        <v>11462</v>
      </c>
      <c r="G78" s="4" t="s">
        <v>11463</v>
      </c>
      <c r="I78" s="4" t="s">
        <v>296</v>
      </c>
      <c r="J78" s="4" t="s">
        <v>297</v>
      </c>
      <c r="K78" s="4" t="s">
        <v>298</v>
      </c>
      <c r="L78" s="4" t="s">
        <v>299</v>
      </c>
      <c r="M78" s="4" t="s">
        <v>300</v>
      </c>
      <c r="N78" s="4" t="s">
        <v>447</v>
      </c>
      <c r="O78" s="5">
        <v>144.31399999999999</v>
      </c>
      <c r="P78" s="6">
        <v>1</v>
      </c>
      <c r="Q78" s="7">
        <v>9.25</v>
      </c>
      <c r="R78" s="7">
        <v>7</v>
      </c>
      <c r="S78" s="4" t="s">
        <v>301</v>
      </c>
      <c r="T78" s="4" t="s">
        <v>302</v>
      </c>
      <c r="U78" s="5">
        <v>172.315</v>
      </c>
      <c r="V78" s="6">
        <v>0.45</v>
      </c>
      <c r="W78" s="7">
        <v>4</v>
      </c>
      <c r="X78" s="5">
        <v>90.822000000000003</v>
      </c>
      <c r="Y78" s="4" t="s">
        <v>292</v>
      </c>
      <c r="Z78" s="6">
        <v>1</v>
      </c>
      <c r="AA78" s="6">
        <v>0.75259299999999996</v>
      </c>
      <c r="AB78" s="5">
        <v>90.822000000000003</v>
      </c>
      <c r="AC78" s="6">
        <v>1</v>
      </c>
      <c r="AD78" s="6">
        <v>0.75259299999999996</v>
      </c>
      <c r="AE78" s="5">
        <v>90.822000000000003</v>
      </c>
      <c r="AF78" s="7">
        <v>10</v>
      </c>
      <c r="AG78" s="7">
        <v>7</v>
      </c>
      <c r="AH78" s="7">
        <v>9.25</v>
      </c>
      <c r="AI78" s="7">
        <v>17</v>
      </c>
      <c r="AJ78" s="7">
        <v>0</v>
      </c>
      <c r="AK78" s="8">
        <v>44115.510706018518</v>
      </c>
      <c r="AL78" s="7">
        <v>7.75</v>
      </c>
      <c r="AM78" s="7">
        <v>100</v>
      </c>
      <c r="AN78" s="7">
        <v>0</v>
      </c>
      <c r="AO78" s="7">
        <v>5.43</v>
      </c>
      <c r="AP78" s="7">
        <v>7.17</v>
      </c>
      <c r="AQ78" s="7">
        <v>16.38</v>
      </c>
      <c r="AR78" s="7">
        <v>4.07</v>
      </c>
      <c r="AS78" s="4" t="s">
        <v>303</v>
      </c>
      <c r="AT78" s="7">
        <v>0</v>
      </c>
      <c r="AU78" s="4" t="s">
        <v>350</v>
      </c>
      <c r="AV78" s="4" t="s">
        <v>305</v>
      </c>
      <c r="AW78" s="4" t="s">
        <v>292</v>
      </c>
    </row>
    <row r="79" spans="1:49" s="4" customFormat="1" x14ac:dyDescent="0.25">
      <c r="A79" s="4" t="s">
        <v>11200</v>
      </c>
      <c r="B79" s="4" t="s">
        <v>293</v>
      </c>
      <c r="C79" s="4" t="s">
        <v>348</v>
      </c>
      <c r="D79" s="4" t="s">
        <v>349</v>
      </c>
      <c r="F79" s="4" t="s">
        <v>11462</v>
      </c>
      <c r="G79" s="4" t="s">
        <v>11463</v>
      </c>
      <c r="I79" s="4" t="s">
        <v>296</v>
      </c>
      <c r="J79" s="4" t="s">
        <v>297</v>
      </c>
      <c r="K79" s="4" t="s">
        <v>298</v>
      </c>
      <c r="L79" s="4" t="s">
        <v>299</v>
      </c>
      <c r="M79" s="4" t="s">
        <v>300</v>
      </c>
      <c r="N79" s="4" t="s">
        <v>11198</v>
      </c>
      <c r="O79" s="5">
        <v>144.31399999999999</v>
      </c>
      <c r="P79" s="6">
        <v>1</v>
      </c>
      <c r="Q79" s="7">
        <v>9.25</v>
      </c>
      <c r="R79" s="7">
        <v>18</v>
      </c>
      <c r="S79" s="4" t="s">
        <v>301</v>
      </c>
      <c r="T79" s="4" t="s">
        <v>302</v>
      </c>
      <c r="U79" s="5">
        <v>198.37</v>
      </c>
      <c r="V79" s="6">
        <v>0.45</v>
      </c>
      <c r="W79" s="7">
        <v>1.5</v>
      </c>
      <c r="X79" s="5">
        <v>66.417000000000002</v>
      </c>
      <c r="Y79" s="4" t="s">
        <v>292</v>
      </c>
      <c r="Z79" s="6">
        <v>1</v>
      </c>
      <c r="AA79" s="6">
        <v>1</v>
      </c>
      <c r="AB79" s="5">
        <v>66.417000000000002</v>
      </c>
      <c r="AC79" s="6">
        <v>1</v>
      </c>
      <c r="AD79" s="6">
        <v>1</v>
      </c>
      <c r="AE79" s="5">
        <v>66.417000000000002</v>
      </c>
      <c r="AF79" s="7">
        <v>10</v>
      </c>
      <c r="AG79" s="7">
        <v>18</v>
      </c>
      <c r="AH79" s="7">
        <v>9.25</v>
      </c>
      <c r="AI79" s="7">
        <v>0</v>
      </c>
      <c r="AJ79" s="7">
        <v>0</v>
      </c>
      <c r="AK79" s="8">
        <v>44115.504942129628</v>
      </c>
      <c r="AL79" s="7">
        <v>8.93</v>
      </c>
      <c r="AM79" s="7">
        <v>100</v>
      </c>
      <c r="AN79" s="7">
        <v>0</v>
      </c>
      <c r="AO79" s="7">
        <v>16.07</v>
      </c>
      <c r="AP79" s="7">
        <v>8.25</v>
      </c>
      <c r="AQ79" s="7">
        <v>0</v>
      </c>
      <c r="AR79" s="7">
        <v>1.47</v>
      </c>
      <c r="AS79" s="4" t="s">
        <v>303</v>
      </c>
      <c r="AT79" s="7">
        <v>0</v>
      </c>
      <c r="AU79" s="4" t="s">
        <v>350</v>
      </c>
      <c r="AV79" s="4" t="s">
        <v>305</v>
      </c>
      <c r="AW79" s="4" t="s">
        <v>292</v>
      </c>
    </row>
    <row r="80" spans="1:49" s="4" customFormat="1" x14ac:dyDescent="0.25">
      <c r="A80" s="4" t="s">
        <v>11207</v>
      </c>
      <c r="B80" s="4" t="s">
        <v>293</v>
      </c>
      <c r="C80" s="4" t="s">
        <v>348</v>
      </c>
      <c r="D80" s="4" t="s">
        <v>349</v>
      </c>
      <c r="F80" s="4" t="s">
        <v>11236</v>
      </c>
      <c r="G80" s="4" t="s">
        <v>11237</v>
      </c>
      <c r="I80" s="4" t="s">
        <v>296</v>
      </c>
      <c r="J80" s="4" t="s">
        <v>297</v>
      </c>
      <c r="K80" s="4" t="s">
        <v>298</v>
      </c>
      <c r="L80" s="4" t="s">
        <v>299</v>
      </c>
      <c r="M80" s="4" t="s">
        <v>300</v>
      </c>
      <c r="N80" s="4" t="s">
        <v>11238</v>
      </c>
      <c r="O80" s="5">
        <v>66.42</v>
      </c>
      <c r="P80" s="6">
        <v>1</v>
      </c>
      <c r="Q80" s="7">
        <v>9.25</v>
      </c>
      <c r="R80" s="7">
        <v>7</v>
      </c>
      <c r="S80" s="4" t="s">
        <v>301</v>
      </c>
      <c r="T80" s="4" t="s">
        <v>302</v>
      </c>
      <c r="U80" s="5">
        <v>79.307000000000002</v>
      </c>
      <c r="V80" s="6">
        <v>0.25</v>
      </c>
      <c r="W80" s="7">
        <v>3</v>
      </c>
      <c r="X80" s="5">
        <v>26.687000000000001</v>
      </c>
      <c r="Y80" s="4" t="s">
        <v>292</v>
      </c>
      <c r="Z80" s="6">
        <v>4</v>
      </c>
      <c r="AA80" s="6">
        <v>1</v>
      </c>
      <c r="AB80" s="5">
        <v>106.748</v>
      </c>
      <c r="AC80" s="6">
        <v>1</v>
      </c>
      <c r="AD80" s="6">
        <v>1</v>
      </c>
      <c r="AE80" s="5">
        <v>106.748</v>
      </c>
      <c r="AF80" s="5">
        <v>106.748</v>
      </c>
      <c r="AG80" s="7">
        <v>7</v>
      </c>
      <c r="AH80" s="7">
        <v>0</v>
      </c>
      <c r="AI80" s="7">
        <v>17</v>
      </c>
      <c r="AJ80" s="7">
        <v>0</v>
      </c>
      <c r="AK80" s="8">
        <v>44115.527418981481</v>
      </c>
      <c r="AL80" s="7">
        <v>1.98</v>
      </c>
      <c r="AM80" s="7">
        <v>100</v>
      </c>
      <c r="AN80" s="7">
        <v>0</v>
      </c>
      <c r="AO80" s="7">
        <v>1.39</v>
      </c>
      <c r="AP80" s="7">
        <v>0</v>
      </c>
      <c r="AQ80" s="7">
        <v>4.0999999999999996</v>
      </c>
      <c r="AR80" s="7">
        <v>0.78</v>
      </c>
      <c r="AS80" s="4" t="s">
        <v>303</v>
      </c>
      <c r="AT80" s="7">
        <v>0</v>
      </c>
      <c r="AU80" s="4" t="s">
        <v>350</v>
      </c>
      <c r="AV80" s="4" t="s">
        <v>305</v>
      </c>
    </row>
    <row r="81" spans="1:49" s="4" customFormat="1" x14ac:dyDescent="0.25">
      <c r="A81" s="4" t="s">
        <v>11201</v>
      </c>
      <c r="B81" s="4" t="s">
        <v>293</v>
      </c>
      <c r="C81" s="4" t="s">
        <v>351</v>
      </c>
      <c r="D81" s="4" t="s">
        <v>352</v>
      </c>
      <c r="F81" s="4" t="s">
        <v>11462</v>
      </c>
      <c r="G81" s="4" t="s">
        <v>11463</v>
      </c>
      <c r="I81" s="4" t="s">
        <v>296</v>
      </c>
      <c r="J81" s="4" t="s">
        <v>297</v>
      </c>
      <c r="K81" s="4" t="s">
        <v>298</v>
      </c>
      <c r="L81" s="4" t="s">
        <v>299</v>
      </c>
      <c r="M81" s="4" t="s">
        <v>300</v>
      </c>
      <c r="N81" s="4" t="s">
        <v>11198</v>
      </c>
      <c r="O81" s="5">
        <v>140.953</v>
      </c>
      <c r="P81" s="6">
        <v>1</v>
      </c>
      <c r="Q81" s="7">
        <v>9.25</v>
      </c>
      <c r="R81" s="7">
        <v>12</v>
      </c>
      <c r="S81" s="4" t="s">
        <v>301</v>
      </c>
      <c r="T81" s="4" t="s">
        <v>302</v>
      </c>
      <c r="U81" s="5">
        <v>178.988</v>
      </c>
      <c r="V81" s="6">
        <v>0.45</v>
      </c>
      <c r="W81" s="7">
        <v>1.5</v>
      </c>
      <c r="X81" s="5">
        <v>64.754999999999995</v>
      </c>
      <c r="Y81" s="4" t="s">
        <v>292</v>
      </c>
      <c r="Z81" s="6">
        <v>1</v>
      </c>
      <c r="AA81" s="6">
        <v>1</v>
      </c>
      <c r="AB81" s="5">
        <v>64.754999999999995</v>
      </c>
      <c r="AC81" s="6">
        <v>1</v>
      </c>
      <c r="AD81" s="6">
        <v>1</v>
      </c>
      <c r="AE81" s="5">
        <v>64.754999999999995</v>
      </c>
      <c r="AF81" s="7">
        <v>10</v>
      </c>
      <c r="AG81" s="7">
        <v>12</v>
      </c>
      <c r="AH81" s="7">
        <v>9.25</v>
      </c>
      <c r="AI81" s="7">
        <v>0</v>
      </c>
      <c r="AJ81" s="7">
        <v>0</v>
      </c>
      <c r="AK81" s="8">
        <v>44115.509479166663</v>
      </c>
      <c r="AL81" s="7">
        <v>8.06</v>
      </c>
      <c r="AM81" s="7">
        <v>100</v>
      </c>
      <c r="AN81" s="7">
        <v>0</v>
      </c>
      <c r="AO81" s="7">
        <v>9.67</v>
      </c>
      <c r="AP81" s="7">
        <v>7.45</v>
      </c>
      <c r="AQ81" s="7">
        <v>0</v>
      </c>
      <c r="AR81" s="7">
        <v>1.33</v>
      </c>
      <c r="AS81" s="4" t="s">
        <v>303</v>
      </c>
      <c r="AT81" s="7">
        <v>0</v>
      </c>
      <c r="AU81" s="4" t="s">
        <v>353</v>
      </c>
      <c r="AV81" s="4" t="s">
        <v>305</v>
      </c>
      <c r="AW81" s="4" t="s">
        <v>292</v>
      </c>
    </row>
    <row r="82" spans="1:49" s="4" customFormat="1" x14ac:dyDescent="0.25">
      <c r="A82" s="4" t="s">
        <v>11199</v>
      </c>
      <c r="B82" s="4" t="s">
        <v>293</v>
      </c>
      <c r="C82" s="4" t="s">
        <v>351</v>
      </c>
      <c r="D82" s="4" t="s">
        <v>352</v>
      </c>
      <c r="F82" s="4" t="s">
        <v>11462</v>
      </c>
      <c r="G82" s="4" t="s">
        <v>11463</v>
      </c>
      <c r="I82" s="4" t="s">
        <v>296</v>
      </c>
      <c r="J82" s="4" t="s">
        <v>297</v>
      </c>
      <c r="K82" s="4" t="s">
        <v>298</v>
      </c>
      <c r="L82" s="4" t="s">
        <v>299</v>
      </c>
      <c r="M82" s="4" t="s">
        <v>300</v>
      </c>
      <c r="N82" s="4" t="s">
        <v>11198</v>
      </c>
      <c r="O82" s="5">
        <v>140.953</v>
      </c>
      <c r="P82" s="6">
        <v>1</v>
      </c>
      <c r="Q82" s="7">
        <v>9.25</v>
      </c>
      <c r="R82" s="7">
        <v>7</v>
      </c>
      <c r="S82" s="4" t="s">
        <v>301</v>
      </c>
      <c r="T82" s="4" t="s">
        <v>302</v>
      </c>
      <c r="U82" s="5">
        <v>168.30199999999999</v>
      </c>
      <c r="V82" s="6">
        <v>0.45</v>
      </c>
      <c r="W82" s="7">
        <v>2</v>
      </c>
      <c r="X82" s="5">
        <v>65.096000000000004</v>
      </c>
      <c r="Y82" s="4" t="s">
        <v>292</v>
      </c>
      <c r="Z82" s="6">
        <v>1</v>
      </c>
      <c r="AA82" s="6">
        <v>1</v>
      </c>
      <c r="AB82" s="5">
        <v>65.096000000000004</v>
      </c>
      <c r="AC82" s="6">
        <v>1</v>
      </c>
      <c r="AD82" s="6">
        <v>1</v>
      </c>
      <c r="AE82" s="5">
        <v>65.096000000000004</v>
      </c>
      <c r="AF82" s="7">
        <v>10</v>
      </c>
      <c r="AG82" s="7">
        <v>7</v>
      </c>
      <c r="AH82" s="7">
        <v>9.25</v>
      </c>
      <c r="AI82" s="7">
        <v>0</v>
      </c>
      <c r="AJ82" s="7">
        <v>0</v>
      </c>
      <c r="AK82" s="8">
        <v>44115.510706018518</v>
      </c>
      <c r="AL82" s="7">
        <v>7.57</v>
      </c>
      <c r="AM82" s="7">
        <v>100</v>
      </c>
      <c r="AN82" s="7">
        <v>0</v>
      </c>
      <c r="AO82" s="7">
        <v>5.3</v>
      </c>
      <c r="AP82" s="7">
        <v>7.01</v>
      </c>
      <c r="AQ82" s="7">
        <v>0</v>
      </c>
      <c r="AR82" s="7">
        <v>1.67</v>
      </c>
      <c r="AS82" s="4" t="s">
        <v>303</v>
      </c>
      <c r="AT82" s="7">
        <v>0</v>
      </c>
      <c r="AU82" s="4" t="s">
        <v>353</v>
      </c>
      <c r="AV82" s="4" t="s">
        <v>305</v>
      </c>
      <c r="AW82" s="4" t="s">
        <v>292</v>
      </c>
    </row>
    <row r="83" spans="1:49" s="4" customFormat="1" x14ac:dyDescent="0.25">
      <c r="A83" s="4" t="s">
        <v>395</v>
      </c>
      <c r="B83" s="4" t="s">
        <v>293</v>
      </c>
      <c r="C83" s="4" t="s">
        <v>351</v>
      </c>
      <c r="D83" s="4" t="s">
        <v>352</v>
      </c>
      <c r="F83" s="4" t="s">
        <v>11462</v>
      </c>
      <c r="G83" s="4" t="s">
        <v>11463</v>
      </c>
      <c r="I83" s="4" t="s">
        <v>296</v>
      </c>
      <c r="J83" s="4" t="s">
        <v>297</v>
      </c>
      <c r="K83" s="4" t="s">
        <v>298</v>
      </c>
      <c r="L83" s="4" t="s">
        <v>299</v>
      </c>
      <c r="M83" s="4" t="s">
        <v>300</v>
      </c>
      <c r="N83" s="4" t="s">
        <v>447</v>
      </c>
      <c r="O83" s="5">
        <v>140.953</v>
      </c>
      <c r="P83" s="6">
        <v>1</v>
      </c>
      <c r="Q83" s="7">
        <v>9.25</v>
      </c>
      <c r="R83" s="7">
        <v>7</v>
      </c>
      <c r="S83" s="4" t="s">
        <v>301</v>
      </c>
      <c r="T83" s="4" t="s">
        <v>302</v>
      </c>
      <c r="U83" s="5">
        <v>168.30199999999999</v>
      </c>
      <c r="V83" s="6">
        <v>0.45</v>
      </c>
      <c r="W83" s="7">
        <v>4</v>
      </c>
      <c r="X83" s="5">
        <v>88.695999999999998</v>
      </c>
      <c r="Y83" s="4" t="s">
        <v>292</v>
      </c>
      <c r="Z83" s="6">
        <v>1</v>
      </c>
      <c r="AA83" s="6">
        <v>0.75263800000000003</v>
      </c>
      <c r="AB83" s="5">
        <v>88.695999999999998</v>
      </c>
      <c r="AC83" s="6">
        <v>1</v>
      </c>
      <c r="AD83" s="6">
        <v>0.75263800000000003</v>
      </c>
      <c r="AE83" s="5">
        <v>88.695999999999998</v>
      </c>
      <c r="AF83" s="7">
        <v>10</v>
      </c>
      <c r="AG83" s="7">
        <v>7</v>
      </c>
      <c r="AH83" s="7">
        <v>9.25</v>
      </c>
      <c r="AI83" s="7">
        <v>17</v>
      </c>
      <c r="AJ83" s="7">
        <v>0</v>
      </c>
      <c r="AK83" s="8">
        <v>44115.510706018518</v>
      </c>
      <c r="AL83" s="7">
        <v>7.57</v>
      </c>
      <c r="AM83" s="7">
        <v>100</v>
      </c>
      <c r="AN83" s="7">
        <v>0</v>
      </c>
      <c r="AO83" s="7">
        <v>5.3</v>
      </c>
      <c r="AP83" s="7">
        <v>7.01</v>
      </c>
      <c r="AQ83" s="7">
        <v>16</v>
      </c>
      <c r="AR83" s="7">
        <v>3.97</v>
      </c>
      <c r="AS83" s="4" t="s">
        <v>303</v>
      </c>
      <c r="AT83" s="7">
        <v>0</v>
      </c>
      <c r="AU83" s="4" t="s">
        <v>353</v>
      </c>
      <c r="AV83" s="4" t="s">
        <v>305</v>
      </c>
      <c r="AW83" s="4" t="s">
        <v>292</v>
      </c>
    </row>
    <row r="84" spans="1:49" s="4" customFormat="1" x14ac:dyDescent="0.25">
      <c r="A84" s="4" t="s">
        <v>11200</v>
      </c>
      <c r="B84" s="4" t="s">
        <v>293</v>
      </c>
      <c r="C84" s="4" t="s">
        <v>351</v>
      </c>
      <c r="D84" s="4" t="s">
        <v>352</v>
      </c>
      <c r="F84" s="4" t="s">
        <v>11462</v>
      </c>
      <c r="G84" s="4" t="s">
        <v>11463</v>
      </c>
      <c r="I84" s="4" t="s">
        <v>296</v>
      </c>
      <c r="J84" s="4" t="s">
        <v>297</v>
      </c>
      <c r="K84" s="4" t="s">
        <v>298</v>
      </c>
      <c r="L84" s="4" t="s">
        <v>299</v>
      </c>
      <c r="M84" s="4" t="s">
        <v>300</v>
      </c>
      <c r="N84" s="4" t="s">
        <v>11198</v>
      </c>
      <c r="O84" s="5">
        <v>140.953</v>
      </c>
      <c r="P84" s="6">
        <v>1</v>
      </c>
      <c r="Q84" s="7">
        <v>9.25</v>
      </c>
      <c r="R84" s="7">
        <v>18</v>
      </c>
      <c r="S84" s="4" t="s">
        <v>301</v>
      </c>
      <c r="T84" s="4" t="s">
        <v>302</v>
      </c>
      <c r="U84" s="5">
        <v>193.75</v>
      </c>
      <c r="V84" s="6">
        <v>0.45</v>
      </c>
      <c r="W84" s="7">
        <v>1.5</v>
      </c>
      <c r="X84" s="5">
        <v>64.858000000000004</v>
      </c>
      <c r="Y84" s="4" t="s">
        <v>292</v>
      </c>
      <c r="Z84" s="6">
        <v>1</v>
      </c>
      <c r="AA84" s="6">
        <v>1</v>
      </c>
      <c r="AB84" s="5">
        <v>64.858000000000004</v>
      </c>
      <c r="AC84" s="6">
        <v>1</v>
      </c>
      <c r="AD84" s="6">
        <v>1</v>
      </c>
      <c r="AE84" s="5">
        <v>64.858000000000004</v>
      </c>
      <c r="AF84" s="7">
        <v>10</v>
      </c>
      <c r="AG84" s="7">
        <v>18</v>
      </c>
      <c r="AH84" s="7">
        <v>9.25</v>
      </c>
      <c r="AI84" s="7">
        <v>0</v>
      </c>
      <c r="AJ84" s="7">
        <v>0</v>
      </c>
      <c r="AK84" s="8">
        <v>44115.504942129628</v>
      </c>
      <c r="AL84" s="7">
        <v>8.7200000000000006</v>
      </c>
      <c r="AM84" s="7">
        <v>100</v>
      </c>
      <c r="AN84" s="7">
        <v>0</v>
      </c>
      <c r="AO84" s="7">
        <v>15.7</v>
      </c>
      <c r="AP84" s="7">
        <v>8.07</v>
      </c>
      <c r="AQ84" s="7">
        <v>0</v>
      </c>
      <c r="AR84" s="7">
        <v>1.44</v>
      </c>
      <c r="AS84" s="4" t="s">
        <v>303</v>
      </c>
      <c r="AT84" s="7">
        <v>0</v>
      </c>
      <c r="AU84" s="4" t="s">
        <v>353</v>
      </c>
      <c r="AV84" s="4" t="s">
        <v>305</v>
      </c>
      <c r="AW84" s="4" t="s">
        <v>292</v>
      </c>
    </row>
    <row r="85" spans="1:49" s="4" customFormat="1" x14ac:dyDescent="0.25">
      <c r="A85" s="4" t="s">
        <v>11207</v>
      </c>
      <c r="B85" s="4" t="s">
        <v>293</v>
      </c>
      <c r="C85" s="4" t="s">
        <v>351</v>
      </c>
      <c r="D85" s="4" t="s">
        <v>352</v>
      </c>
      <c r="F85" s="4" t="s">
        <v>11236</v>
      </c>
      <c r="G85" s="4" t="s">
        <v>11237</v>
      </c>
      <c r="I85" s="4" t="s">
        <v>296</v>
      </c>
      <c r="J85" s="4" t="s">
        <v>297</v>
      </c>
      <c r="K85" s="4" t="s">
        <v>298</v>
      </c>
      <c r="L85" s="4" t="s">
        <v>299</v>
      </c>
      <c r="M85" s="4" t="s">
        <v>300</v>
      </c>
      <c r="N85" s="4" t="s">
        <v>11238</v>
      </c>
      <c r="O85" s="5">
        <v>64.86</v>
      </c>
      <c r="P85" s="6">
        <v>1</v>
      </c>
      <c r="Q85" s="7">
        <v>9.25</v>
      </c>
      <c r="R85" s="7">
        <v>7</v>
      </c>
      <c r="S85" s="4" t="s">
        <v>301</v>
      </c>
      <c r="T85" s="4" t="s">
        <v>302</v>
      </c>
      <c r="U85" s="5">
        <v>77.444999999999993</v>
      </c>
      <c r="V85" s="6">
        <v>0.25</v>
      </c>
      <c r="W85" s="7">
        <v>3</v>
      </c>
      <c r="X85" s="5">
        <v>26.061</v>
      </c>
      <c r="Y85" s="4" t="s">
        <v>292</v>
      </c>
      <c r="Z85" s="6">
        <v>4</v>
      </c>
      <c r="AA85" s="6">
        <v>1</v>
      </c>
      <c r="AB85" s="5">
        <v>104.244</v>
      </c>
      <c r="AC85" s="6">
        <v>1</v>
      </c>
      <c r="AD85" s="6">
        <v>1</v>
      </c>
      <c r="AE85" s="5">
        <v>104.244</v>
      </c>
      <c r="AF85" s="5">
        <v>104.244</v>
      </c>
      <c r="AG85" s="7">
        <v>7</v>
      </c>
      <c r="AH85" s="7">
        <v>0</v>
      </c>
      <c r="AI85" s="7">
        <v>17</v>
      </c>
      <c r="AJ85" s="7">
        <v>0</v>
      </c>
      <c r="AK85" s="8">
        <v>44115.527418981481</v>
      </c>
      <c r="AL85" s="7">
        <v>1.94</v>
      </c>
      <c r="AM85" s="7">
        <v>100</v>
      </c>
      <c r="AN85" s="7">
        <v>0</v>
      </c>
      <c r="AO85" s="7">
        <v>1.35</v>
      </c>
      <c r="AP85" s="7">
        <v>0</v>
      </c>
      <c r="AQ85" s="7">
        <v>4</v>
      </c>
      <c r="AR85" s="7">
        <v>0.76</v>
      </c>
      <c r="AS85" s="4" t="s">
        <v>303</v>
      </c>
      <c r="AT85" s="7">
        <v>0</v>
      </c>
      <c r="AU85" s="4" t="s">
        <v>353</v>
      </c>
      <c r="AV85" s="4" t="s">
        <v>305</v>
      </c>
    </row>
    <row r="86" spans="1:49" s="4" customFormat="1" x14ac:dyDescent="0.25">
      <c r="A86" s="4" t="s">
        <v>11201</v>
      </c>
      <c r="B86" s="4" t="s">
        <v>293</v>
      </c>
      <c r="C86" s="4" t="s">
        <v>354</v>
      </c>
      <c r="D86" s="4" t="s">
        <v>355</v>
      </c>
      <c r="F86" s="4" t="s">
        <v>11462</v>
      </c>
      <c r="G86" s="4" t="s">
        <v>11463</v>
      </c>
      <c r="I86" s="4" t="s">
        <v>296</v>
      </c>
      <c r="J86" s="4" t="s">
        <v>297</v>
      </c>
      <c r="K86" s="4" t="s">
        <v>319</v>
      </c>
      <c r="L86" s="4" t="s">
        <v>299</v>
      </c>
      <c r="M86" s="4" t="s">
        <v>300</v>
      </c>
      <c r="N86" s="4" t="s">
        <v>11198</v>
      </c>
      <c r="O86" s="5">
        <v>41.738999999999997</v>
      </c>
      <c r="P86" s="6">
        <v>1</v>
      </c>
      <c r="Q86" s="7">
        <v>9.25</v>
      </c>
      <c r="R86" s="7">
        <v>12</v>
      </c>
      <c r="S86" s="4" t="s">
        <v>301</v>
      </c>
      <c r="T86" s="4" t="s">
        <v>302</v>
      </c>
      <c r="U86" s="5">
        <v>53.002000000000002</v>
      </c>
      <c r="V86" s="6">
        <v>0.45</v>
      </c>
      <c r="W86" s="7">
        <v>1.5</v>
      </c>
      <c r="X86" s="5">
        <v>19.181000000000001</v>
      </c>
      <c r="Y86" s="4" t="s">
        <v>292</v>
      </c>
      <c r="Z86" s="6">
        <v>1</v>
      </c>
      <c r="AA86" s="6">
        <v>1</v>
      </c>
      <c r="AB86" s="5">
        <v>19.181000000000001</v>
      </c>
      <c r="AC86" s="6">
        <v>1</v>
      </c>
      <c r="AD86" s="6">
        <v>1</v>
      </c>
      <c r="AE86" s="5">
        <v>19.181000000000001</v>
      </c>
      <c r="AF86" s="7">
        <v>10</v>
      </c>
      <c r="AG86" s="7">
        <v>12</v>
      </c>
      <c r="AH86" s="7">
        <v>9.25</v>
      </c>
      <c r="AI86" s="7">
        <v>0</v>
      </c>
      <c r="AJ86" s="7">
        <v>0</v>
      </c>
      <c r="AK86" s="8">
        <v>44115.509479166663</v>
      </c>
      <c r="AL86" s="7">
        <v>2.39</v>
      </c>
      <c r="AM86" s="7">
        <v>100</v>
      </c>
      <c r="AN86" s="7">
        <v>0</v>
      </c>
      <c r="AO86" s="7">
        <v>2.86</v>
      </c>
      <c r="AP86" s="7">
        <v>2.2000000000000002</v>
      </c>
      <c r="AQ86" s="7">
        <v>0</v>
      </c>
      <c r="AR86" s="7">
        <v>0.39</v>
      </c>
      <c r="AS86" s="4" t="s">
        <v>303</v>
      </c>
      <c r="AT86" s="7">
        <v>0</v>
      </c>
      <c r="AU86" s="4" t="s">
        <v>356</v>
      </c>
      <c r="AV86" s="4" t="s">
        <v>305</v>
      </c>
      <c r="AW86" s="4" t="s">
        <v>292</v>
      </c>
    </row>
    <row r="87" spans="1:49" s="4" customFormat="1" x14ac:dyDescent="0.25">
      <c r="A87" s="4" t="s">
        <v>11199</v>
      </c>
      <c r="B87" s="4" t="s">
        <v>293</v>
      </c>
      <c r="C87" s="4" t="s">
        <v>354</v>
      </c>
      <c r="D87" s="4" t="s">
        <v>355</v>
      </c>
      <c r="F87" s="4" t="s">
        <v>11462</v>
      </c>
      <c r="G87" s="4" t="s">
        <v>11463</v>
      </c>
      <c r="I87" s="4" t="s">
        <v>296</v>
      </c>
      <c r="J87" s="4" t="s">
        <v>297</v>
      </c>
      <c r="K87" s="4" t="s">
        <v>319</v>
      </c>
      <c r="L87" s="4" t="s">
        <v>299</v>
      </c>
      <c r="M87" s="4" t="s">
        <v>300</v>
      </c>
      <c r="N87" s="4" t="s">
        <v>11198</v>
      </c>
      <c r="O87" s="5">
        <v>41.737000000000002</v>
      </c>
      <c r="P87" s="6">
        <v>1</v>
      </c>
      <c r="Q87" s="7">
        <v>9.25</v>
      </c>
      <c r="R87" s="7">
        <v>7</v>
      </c>
      <c r="S87" s="4" t="s">
        <v>301</v>
      </c>
      <c r="T87" s="4" t="s">
        <v>302</v>
      </c>
      <c r="U87" s="5">
        <v>49.835000000000001</v>
      </c>
      <c r="V87" s="6">
        <v>0.45</v>
      </c>
      <c r="W87" s="7">
        <v>2</v>
      </c>
      <c r="X87" s="5">
        <v>19.276</v>
      </c>
      <c r="Y87" s="4" t="s">
        <v>292</v>
      </c>
      <c r="Z87" s="6">
        <v>1</v>
      </c>
      <c r="AA87" s="6">
        <v>1</v>
      </c>
      <c r="AB87" s="5">
        <v>19.276</v>
      </c>
      <c r="AC87" s="6">
        <v>1</v>
      </c>
      <c r="AD87" s="6">
        <v>1</v>
      </c>
      <c r="AE87" s="5">
        <v>19.276</v>
      </c>
      <c r="AF87" s="7">
        <v>10</v>
      </c>
      <c r="AG87" s="7">
        <v>7</v>
      </c>
      <c r="AH87" s="7">
        <v>9.25</v>
      </c>
      <c r="AI87" s="7">
        <v>0</v>
      </c>
      <c r="AJ87" s="7">
        <v>0</v>
      </c>
      <c r="AK87" s="8">
        <v>44115.510706018518</v>
      </c>
      <c r="AL87" s="7">
        <v>2.2400000000000002</v>
      </c>
      <c r="AM87" s="7">
        <v>100</v>
      </c>
      <c r="AN87" s="7">
        <v>0</v>
      </c>
      <c r="AO87" s="7">
        <v>1.57</v>
      </c>
      <c r="AP87" s="7">
        <v>2.0699999999999998</v>
      </c>
      <c r="AQ87" s="7">
        <v>0</v>
      </c>
      <c r="AR87" s="7">
        <v>0.49</v>
      </c>
      <c r="AS87" s="4" t="s">
        <v>303</v>
      </c>
      <c r="AT87" s="7">
        <v>0</v>
      </c>
      <c r="AU87" s="4" t="s">
        <v>356</v>
      </c>
      <c r="AV87" s="4" t="s">
        <v>305</v>
      </c>
      <c r="AW87" s="4" t="s">
        <v>292</v>
      </c>
    </row>
    <row r="88" spans="1:49" s="4" customFormat="1" x14ac:dyDescent="0.25">
      <c r="A88" s="4" t="s">
        <v>395</v>
      </c>
      <c r="B88" s="4" t="s">
        <v>293</v>
      </c>
      <c r="C88" s="4" t="s">
        <v>354</v>
      </c>
      <c r="D88" s="4" t="s">
        <v>355</v>
      </c>
      <c r="F88" s="4" t="s">
        <v>11462</v>
      </c>
      <c r="G88" s="4" t="s">
        <v>11463</v>
      </c>
      <c r="I88" s="4" t="s">
        <v>296</v>
      </c>
      <c r="J88" s="4" t="s">
        <v>297</v>
      </c>
      <c r="K88" s="4" t="s">
        <v>319</v>
      </c>
      <c r="L88" s="4" t="s">
        <v>299</v>
      </c>
      <c r="M88" s="4" t="s">
        <v>300</v>
      </c>
      <c r="N88" s="4" t="s">
        <v>447</v>
      </c>
      <c r="O88" s="5">
        <v>41.737000000000002</v>
      </c>
      <c r="P88" s="6">
        <v>1</v>
      </c>
      <c r="Q88" s="7">
        <v>9.25</v>
      </c>
      <c r="R88" s="7">
        <v>7</v>
      </c>
      <c r="S88" s="4" t="s">
        <v>301</v>
      </c>
      <c r="T88" s="4" t="s">
        <v>302</v>
      </c>
      <c r="U88" s="5">
        <v>49.835000000000001</v>
      </c>
      <c r="V88" s="6">
        <v>0.45</v>
      </c>
      <c r="W88" s="7">
        <v>4</v>
      </c>
      <c r="X88" s="5">
        <v>26.276</v>
      </c>
      <c r="Y88" s="4" t="s">
        <v>292</v>
      </c>
      <c r="Z88" s="6">
        <v>1</v>
      </c>
      <c r="AA88" s="6">
        <v>0.75262600000000002</v>
      </c>
      <c r="AB88" s="5">
        <v>26.276</v>
      </c>
      <c r="AC88" s="6">
        <v>1</v>
      </c>
      <c r="AD88" s="6">
        <v>0.75262600000000002</v>
      </c>
      <c r="AE88" s="5">
        <v>26.276</v>
      </c>
      <c r="AF88" s="7">
        <v>10</v>
      </c>
      <c r="AG88" s="7">
        <v>7</v>
      </c>
      <c r="AH88" s="7">
        <v>9.25</v>
      </c>
      <c r="AI88" s="7">
        <v>17</v>
      </c>
      <c r="AJ88" s="7">
        <v>0</v>
      </c>
      <c r="AK88" s="8">
        <v>44115.510717592595</v>
      </c>
      <c r="AL88" s="7">
        <v>2.2400000000000002</v>
      </c>
      <c r="AM88" s="7">
        <v>100</v>
      </c>
      <c r="AN88" s="7">
        <v>0</v>
      </c>
      <c r="AO88" s="7">
        <v>1.57</v>
      </c>
      <c r="AP88" s="7">
        <v>2.0699999999999998</v>
      </c>
      <c r="AQ88" s="7">
        <v>4.74</v>
      </c>
      <c r="AR88" s="7">
        <v>1.18</v>
      </c>
      <c r="AS88" s="4" t="s">
        <v>303</v>
      </c>
      <c r="AT88" s="7">
        <v>0</v>
      </c>
      <c r="AU88" s="4" t="s">
        <v>356</v>
      </c>
      <c r="AV88" s="4" t="s">
        <v>305</v>
      </c>
      <c r="AW88" s="4" t="s">
        <v>292</v>
      </c>
    </row>
    <row r="89" spans="1:49" s="4" customFormat="1" x14ac:dyDescent="0.25">
      <c r="A89" s="4" t="s">
        <v>11200</v>
      </c>
      <c r="B89" s="4" t="s">
        <v>293</v>
      </c>
      <c r="C89" s="4" t="s">
        <v>354</v>
      </c>
      <c r="D89" s="4" t="s">
        <v>355</v>
      </c>
      <c r="F89" s="4" t="s">
        <v>11462</v>
      </c>
      <c r="G89" s="4" t="s">
        <v>11463</v>
      </c>
      <c r="I89" s="4" t="s">
        <v>296</v>
      </c>
      <c r="J89" s="4" t="s">
        <v>297</v>
      </c>
      <c r="K89" s="4" t="s">
        <v>319</v>
      </c>
      <c r="L89" s="4" t="s">
        <v>299</v>
      </c>
      <c r="M89" s="4" t="s">
        <v>300</v>
      </c>
      <c r="N89" s="4" t="s">
        <v>11198</v>
      </c>
      <c r="O89" s="5">
        <v>41.737000000000002</v>
      </c>
      <c r="P89" s="6">
        <v>1</v>
      </c>
      <c r="Q89" s="7">
        <v>9.25</v>
      </c>
      <c r="R89" s="7">
        <v>18</v>
      </c>
      <c r="S89" s="4" t="s">
        <v>301</v>
      </c>
      <c r="T89" s="4" t="s">
        <v>302</v>
      </c>
      <c r="U89" s="5">
        <v>57.37</v>
      </c>
      <c r="V89" s="6">
        <v>0.45</v>
      </c>
      <c r="W89" s="7">
        <v>1.5</v>
      </c>
      <c r="X89" s="5">
        <v>19.207000000000001</v>
      </c>
      <c r="Y89" s="4" t="s">
        <v>292</v>
      </c>
      <c r="Z89" s="6">
        <v>1</v>
      </c>
      <c r="AA89" s="6">
        <v>1</v>
      </c>
      <c r="AB89" s="5">
        <v>19.207000000000001</v>
      </c>
      <c r="AC89" s="6">
        <v>1</v>
      </c>
      <c r="AD89" s="6">
        <v>1</v>
      </c>
      <c r="AE89" s="5">
        <v>19.207000000000001</v>
      </c>
      <c r="AF89" s="7">
        <v>10</v>
      </c>
      <c r="AG89" s="7">
        <v>18</v>
      </c>
      <c r="AH89" s="7">
        <v>9.25</v>
      </c>
      <c r="AI89" s="7">
        <v>0</v>
      </c>
      <c r="AJ89" s="7">
        <v>0</v>
      </c>
      <c r="AK89" s="8">
        <v>44115.504942129628</v>
      </c>
      <c r="AL89" s="7">
        <v>2.58</v>
      </c>
      <c r="AM89" s="7">
        <v>100</v>
      </c>
      <c r="AN89" s="7">
        <v>0</v>
      </c>
      <c r="AO89" s="7">
        <v>4.6500000000000004</v>
      </c>
      <c r="AP89" s="7">
        <v>2.39</v>
      </c>
      <c r="AQ89" s="7">
        <v>0</v>
      </c>
      <c r="AR89" s="7">
        <v>0.43</v>
      </c>
      <c r="AS89" s="4" t="s">
        <v>303</v>
      </c>
      <c r="AT89" s="7">
        <v>0</v>
      </c>
      <c r="AU89" s="4" t="s">
        <v>356</v>
      </c>
      <c r="AV89" s="4" t="s">
        <v>305</v>
      </c>
      <c r="AW89" s="4" t="s">
        <v>292</v>
      </c>
    </row>
    <row r="90" spans="1:49" s="4" customFormat="1" x14ac:dyDescent="0.25">
      <c r="A90" s="4" t="s">
        <v>11207</v>
      </c>
      <c r="B90" s="4" t="s">
        <v>293</v>
      </c>
      <c r="C90" s="4" t="s">
        <v>354</v>
      </c>
      <c r="D90" s="4" t="s">
        <v>355</v>
      </c>
      <c r="F90" s="4" t="s">
        <v>11236</v>
      </c>
      <c r="G90" s="4" t="s">
        <v>11237</v>
      </c>
      <c r="I90" s="4" t="s">
        <v>296</v>
      </c>
      <c r="J90" s="4" t="s">
        <v>297</v>
      </c>
      <c r="K90" s="4" t="s">
        <v>319</v>
      </c>
      <c r="L90" s="4" t="s">
        <v>299</v>
      </c>
      <c r="M90" s="4" t="s">
        <v>300</v>
      </c>
      <c r="N90" s="4" t="s">
        <v>11238</v>
      </c>
      <c r="O90" s="5">
        <v>19.207000000000001</v>
      </c>
      <c r="P90" s="6">
        <v>1</v>
      </c>
      <c r="Q90" s="7">
        <v>9.25</v>
      </c>
      <c r="R90" s="7">
        <v>7</v>
      </c>
      <c r="S90" s="4" t="s">
        <v>301</v>
      </c>
      <c r="T90" s="4" t="s">
        <v>302</v>
      </c>
      <c r="U90" s="5">
        <v>22.934000000000001</v>
      </c>
      <c r="V90" s="6">
        <v>0.25</v>
      </c>
      <c r="W90" s="7">
        <v>3</v>
      </c>
      <c r="X90" s="5">
        <v>7.7039999999999997</v>
      </c>
      <c r="Y90" s="4" t="s">
        <v>292</v>
      </c>
      <c r="Z90" s="6">
        <v>4</v>
      </c>
      <c r="AA90" s="6">
        <v>1</v>
      </c>
      <c r="AB90" s="5">
        <v>30.815999999999999</v>
      </c>
      <c r="AC90" s="6">
        <v>1</v>
      </c>
      <c r="AD90" s="6">
        <v>1</v>
      </c>
      <c r="AE90" s="5">
        <v>30.815999999999999</v>
      </c>
      <c r="AF90" s="5">
        <v>30.815999999999999</v>
      </c>
      <c r="AG90" s="7">
        <v>7</v>
      </c>
      <c r="AH90" s="7">
        <v>0</v>
      </c>
      <c r="AI90" s="7">
        <v>17</v>
      </c>
      <c r="AJ90" s="7">
        <v>0</v>
      </c>
      <c r="AK90" s="8">
        <v>44115.527430555558</v>
      </c>
      <c r="AL90" s="7">
        <v>0.56999999999999995</v>
      </c>
      <c r="AM90" s="7">
        <v>100</v>
      </c>
      <c r="AN90" s="7">
        <v>0</v>
      </c>
      <c r="AO90" s="7">
        <v>0.4</v>
      </c>
      <c r="AP90" s="7">
        <v>0</v>
      </c>
      <c r="AQ90" s="7">
        <v>1.18</v>
      </c>
      <c r="AR90" s="7">
        <v>0.22</v>
      </c>
      <c r="AS90" s="4" t="s">
        <v>303</v>
      </c>
      <c r="AT90" s="7">
        <v>0</v>
      </c>
      <c r="AU90" s="4" t="s">
        <v>356</v>
      </c>
      <c r="AV90" s="4" t="s">
        <v>305</v>
      </c>
    </row>
    <row r="91" spans="1:49" s="4" customFormat="1" x14ac:dyDescent="0.25">
      <c r="A91" s="4" t="s">
        <v>11201</v>
      </c>
      <c r="B91" s="4" t="s">
        <v>293</v>
      </c>
      <c r="C91" s="4" t="s">
        <v>357</v>
      </c>
      <c r="D91" s="4" t="s">
        <v>358</v>
      </c>
      <c r="F91" s="4" t="s">
        <v>11462</v>
      </c>
      <c r="G91" s="4" t="s">
        <v>11463</v>
      </c>
      <c r="I91" s="4" t="s">
        <v>296</v>
      </c>
      <c r="J91" s="4" t="s">
        <v>297</v>
      </c>
      <c r="K91" s="4" t="s">
        <v>319</v>
      </c>
      <c r="L91" s="4" t="s">
        <v>299</v>
      </c>
      <c r="M91" s="4" t="s">
        <v>300</v>
      </c>
      <c r="N91" s="4" t="s">
        <v>11198</v>
      </c>
      <c r="O91" s="5">
        <v>42.173000000000002</v>
      </c>
      <c r="P91" s="6">
        <v>1</v>
      </c>
      <c r="Q91" s="7">
        <v>9.25</v>
      </c>
      <c r="R91" s="7">
        <v>12</v>
      </c>
      <c r="S91" s="4" t="s">
        <v>301</v>
      </c>
      <c r="T91" s="4" t="s">
        <v>302</v>
      </c>
      <c r="U91" s="5">
        <v>53.552999999999997</v>
      </c>
      <c r="V91" s="6">
        <v>0.45</v>
      </c>
      <c r="W91" s="7">
        <v>1.5</v>
      </c>
      <c r="X91" s="5">
        <v>19.379000000000001</v>
      </c>
      <c r="Y91" s="4" t="s">
        <v>292</v>
      </c>
      <c r="Z91" s="6">
        <v>1</v>
      </c>
      <c r="AA91" s="6">
        <v>1</v>
      </c>
      <c r="AB91" s="5">
        <v>19.379000000000001</v>
      </c>
      <c r="AC91" s="6">
        <v>1</v>
      </c>
      <c r="AD91" s="6">
        <v>1</v>
      </c>
      <c r="AE91" s="5">
        <v>19.379000000000001</v>
      </c>
      <c r="AF91" s="7">
        <v>10</v>
      </c>
      <c r="AG91" s="7">
        <v>12</v>
      </c>
      <c r="AH91" s="7">
        <v>9.25</v>
      </c>
      <c r="AI91" s="7">
        <v>0</v>
      </c>
      <c r="AJ91" s="7">
        <v>0</v>
      </c>
      <c r="AK91" s="8">
        <v>44115.509479166663</v>
      </c>
      <c r="AL91" s="7">
        <v>2.41</v>
      </c>
      <c r="AM91" s="7">
        <v>100</v>
      </c>
      <c r="AN91" s="7">
        <v>0</v>
      </c>
      <c r="AO91" s="7">
        <v>2.89</v>
      </c>
      <c r="AP91" s="7">
        <v>2.23</v>
      </c>
      <c r="AQ91" s="7">
        <v>0</v>
      </c>
      <c r="AR91" s="7">
        <v>0.4</v>
      </c>
      <c r="AS91" s="4" t="s">
        <v>303</v>
      </c>
      <c r="AT91" s="7">
        <v>0</v>
      </c>
      <c r="AU91" s="4" t="s">
        <v>359</v>
      </c>
      <c r="AV91" s="4" t="s">
        <v>305</v>
      </c>
      <c r="AW91" s="4" t="s">
        <v>292</v>
      </c>
    </row>
    <row r="92" spans="1:49" s="4" customFormat="1" x14ac:dyDescent="0.25">
      <c r="A92" s="4" t="s">
        <v>11199</v>
      </c>
      <c r="B92" s="4" t="s">
        <v>293</v>
      </c>
      <c r="C92" s="4" t="s">
        <v>357</v>
      </c>
      <c r="D92" s="4" t="s">
        <v>358</v>
      </c>
      <c r="F92" s="4" t="s">
        <v>11462</v>
      </c>
      <c r="G92" s="4" t="s">
        <v>11463</v>
      </c>
      <c r="I92" s="4" t="s">
        <v>296</v>
      </c>
      <c r="J92" s="4" t="s">
        <v>297</v>
      </c>
      <c r="K92" s="4" t="s">
        <v>319</v>
      </c>
      <c r="L92" s="4" t="s">
        <v>299</v>
      </c>
      <c r="M92" s="4" t="s">
        <v>300</v>
      </c>
      <c r="N92" s="4" t="s">
        <v>11198</v>
      </c>
      <c r="O92" s="5">
        <v>42.173000000000002</v>
      </c>
      <c r="P92" s="6">
        <v>1</v>
      </c>
      <c r="Q92" s="7">
        <v>9.25</v>
      </c>
      <c r="R92" s="7">
        <v>7</v>
      </c>
      <c r="S92" s="4" t="s">
        <v>301</v>
      </c>
      <c r="T92" s="4" t="s">
        <v>302</v>
      </c>
      <c r="U92" s="5">
        <v>50.356000000000002</v>
      </c>
      <c r="V92" s="6">
        <v>0.45</v>
      </c>
      <c r="W92" s="7">
        <v>2</v>
      </c>
      <c r="X92" s="5">
        <v>19.48</v>
      </c>
      <c r="Y92" s="4" t="s">
        <v>292</v>
      </c>
      <c r="Z92" s="6">
        <v>1</v>
      </c>
      <c r="AA92" s="6">
        <v>1</v>
      </c>
      <c r="AB92" s="5">
        <v>19.48</v>
      </c>
      <c r="AC92" s="6">
        <v>1</v>
      </c>
      <c r="AD92" s="6">
        <v>1</v>
      </c>
      <c r="AE92" s="5">
        <v>19.48</v>
      </c>
      <c r="AF92" s="7">
        <v>10</v>
      </c>
      <c r="AG92" s="7">
        <v>7</v>
      </c>
      <c r="AH92" s="7">
        <v>9.25</v>
      </c>
      <c r="AI92" s="7">
        <v>0</v>
      </c>
      <c r="AJ92" s="7">
        <v>0</v>
      </c>
      <c r="AK92" s="8">
        <v>44115.510717592595</v>
      </c>
      <c r="AL92" s="7">
        <v>2.27</v>
      </c>
      <c r="AM92" s="7">
        <v>100</v>
      </c>
      <c r="AN92" s="7">
        <v>0</v>
      </c>
      <c r="AO92" s="7">
        <v>1.59</v>
      </c>
      <c r="AP92" s="7">
        <v>2.09</v>
      </c>
      <c r="AQ92" s="7">
        <v>0</v>
      </c>
      <c r="AR92" s="7">
        <v>0.5</v>
      </c>
      <c r="AS92" s="4" t="s">
        <v>303</v>
      </c>
      <c r="AT92" s="7">
        <v>0</v>
      </c>
      <c r="AU92" s="4" t="s">
        <v>359</v>
      </c>
      <c r="AV92" s="4" t="s">
        <v>305</v>
      </c>
      <c r="AW92" s="4" t="s">
        <v>292</v>
      </c>
    </row>
    <row r="93" spans="1:49" s="4" customFormat="1" x14ac:dyDescent="0.25">
      <c r="A93" s="4" t="s">
        <v>395</v>
      </c>
      <c r="B93" s="4" t="s">
        <v>293</v>
      </c>
      <c r="C93" s="4" t="s">
        <v>357</v>
      </c>
      <c r="D93" s="4" t="s">
        <v>358</v>
      </c>
      <c r="F93" s="4" t="s">
        <v>11462</v>
      </c>
      <c r="G93" s="4" t="s">
        <v>11463</v>
      </c>
      <c r="I93" s="4" t="s">
        <v>296</v>
      </c>
      <c r="J93" s="4" t="s">
        <v>297</v>
      </c>
      <c r="K93" s="4" t="s">
        <v>319</v>
      </c>
      <c r="L93" s="4" t="s">
        <v>299</v>
      </c>
      <c r="M93" s="4" t="s">
        <v>300</v>
      </c>
      <c r="N93" s="4" t="s">
        <v>447</v>
      </c>
      <c r="O93" s="5">
        <v>42.173000000000002</v>
      </c>
      <c r="P93" s="6">
        <v>1</v>
      </c>
      <c r="Q93" s="7">
        <v>9.25</v>
      </c>
      <c r="R93" s="7">
        <v>7</v>
      </c>
      <c r="S93" s="4" t="s">
        <v>301</v>
      </c>
      <c r="T93" s="4" t="s">
        <v>302</v>
      </c>
      <c r="U93" s="5">
        <v>50.356000000000002</v>
      </c>
      <c r="V93" s="6">
        <v>0.45</v>
      </c>
      <c r="W93" s="7">
        <v>4</v>
      </c>
      <c r="X93" s="5">
        <v>26.55</v>
      </c>
      <c r="Y93" s="4" t="s">
        <v>292</v>
      </c>
      <c r="Z93" s="6">
        <v>1</v>
      </c>
      <c r="AA93" s="6">
        <v>0.75254200000000004</v>
      </c>
      <c r="AB93" s="5">
        <v>26.55</v>
      </c>
      <c r="AC93" s="6">
        <v>1</v>
      </c>
      <c r="AD93" s="6">
        <v>0.75254200000000004</v>
      </c>
      <c r="AE93" s="5">
        <v>26.55</v>
      </c>
      <c r="AF93" s="7">
        <v>10</v>
      </c>
      <c r="AG93" s="7">
        <v>7</v>
      </c>
      <c r="AH93" s="7">
        <v>9.25</v>
      </c>
      <c r="AI93" s="7">
        <v>17</v>
      </c>
      <c r="AJ93" s="7">
        <v>0</v>
      </c>
      <c r="AK93" s="8">
        <v>44115.510868055557</v>
      </c>
      <c r="AL93" s="7">
        <v>2.27</v>
      </c>
      <c r="AM93" s="7">
        <v>100</v>
      </c>
      <c r="AN93" s="7">
        <v>0</v>
      </c>
      <c r="AO93" s="7">
        <v>1.59</v>
      </c>
      <c r="AP93" s="7">
        <v>2.09</v>
      </c>
      <c r="AQ93" s="7">
        <v>4.79</v>
      </c>
      <c r="AR93" s="7">
        <v>1.19</v>
      </c>
      <c r="AS93" s="4" t="s">
        <v>303</v>
      </c>
      <c r="AT93" s="7">
        <v>0</v>
      </c>
      <c r="AU93" s="4" t="s">
        <v>359</v>
      </c>
      <c r="AV93" s="4" t="s">
        <v>305</v>
      </c>
      <c r="AW93" s="4" t="s">
        <v>292</v>
      </c>
    </row>
    <row r="94" spans="1:49" s="4" customFormat="1" x14ac:dyDescent="0.25">
      <c r="A94" s="4" t="s">
        <v>11200</v>
      </c>
      <c r="B94" s="4" t="s">
        <v>293</v>
      </c>
      <c r="C94" s="4" t="s">
        <v>357</v>
      </c>
      <c r="D94" s="4" t="s">
        <v>358</v>
      </c>
      <c r="F94" s="4" t="s">
        <v>11462</v>
      </c>
      <c r="G94" s="4" t="s">
        <v>11463</v>
      </c>
      <c r="I94" s="4" t="s">
        <v>296</v>
      </c>
      <c r="J94" s="4" t="s">
        <v>297</v>
      </c>
      <c r="K94" s="4" t="s">
        <v>319</v>
      </c>
      <c r="L94" s="4" t="s">
        <v>299</v>
      </c>
      <c r="M94" s="4" t="s">
        <v>300</v>
      </c>
      <c r="N94" s="4" t="s">
        <v>11198</v>
      </c>
      <c r="O94" s="5">
        <v>42.173000000000002</v>
      </c>
      <c r="P94" s="6">
        <v>1</v>
      </c>
      <c r="Q94" s="7">
        <v>9.25</v>
      </c>
      <c r="R94" s="7">
        <v>18</v>
      </c>
      <c r="S94" s="4" t="s">
        <v>301</v>
      </c>
      <c r="T94" s="4" t="s">
        <v>302</v>
      </c>
      <c r="U94" s="5">
        <v>57.97</v>
      </c>
      <c r="V94" s="6">
        <v>0.45</v>
      </c>
      <c r="W94" s="7">
        <v>1.5</v>
      </c>
      <c r="X94" s="5">
        <v>19.407</v>
      </c>
      <c r="Y94" s="4" t="s">
        <v>292</v>
      </c>
      <c r="Z94" s="6">
        <v>1</v>
      </c>
      <c r="AA94" s="6">
        <v>1</v>
      </c>
      <c r="AB94" s="5">
        <v>19.407</v>
      </c>
      <c r="AC94" s="6">
        <v>1</v>
      </c>
      <c r="AD94" s="6">
        <v>1</v>
      </c>
      <c r="AE94" s="5">
        <v>19.407</v>
      </c>
      <c r="AF94" s="7">
        <v>10</v>
      </c>
      <c r="AG94" s="7">
        <v>18</v>
      </c>
      <c r="AH94" s="7">
        <v>9.25</v>
      </c>
      <c r="AI94" s="7">
        <v>0</v>
      </c>
      <c r="AJ94" s="7">
        <v>0</v>
      </c>
      <c r="AK94" s="8">
        <v>44115.504942129628</v>
      </c>
      <c r="AL94" s="7">
        <v>2.61</v>
      </c>
      <c r="AM94" s="7">
        <v>100</v>
      </c>
      <c r="AN94" s="7">
        <v>0</v>
      </c>
      <c r="AO94" s="7">
        <v>4.7</v>
      </c>
      <c r="AP94" s="7">
        <v>2.41</v>
      </c>
      <c r="AQ94" s="7">
        <v>0</v>
      </c>
      <c r="AR94" s="7">
        <v>0.43</v>
      </c>
      <c r="AS94" s="4" t="s">
        <v>303</v>
      </c>
      <c r="AT94" s="7">
        <v>0</v>
      </c>
      <c r="AU94" s="4" t="s">
        <v>359</v>
      </c>
      <c r="AV94" s="4" t="s">
        <v>305</v>
      </c>
      <c r="AW94" s="4" t="s">
        <v>292</v>
      </c>
    </row>
    <row r="95" spans="1:49" s="4" customFormat="1" x14ac:dyDescent="0.25">
      <c r="A95" s="4" t="s">
        <v>11207</v>
      </c>
      <c r="B95" s="4" t="s">
        <v>293</v>
      </c>
      <c r="C95" s="4" t="s">
        <v>357</v>
      </c>
      <c r="D95" s="4" t="s">
        <v>358</v>
      </c>
      <c r="F95" s="4" t="s">
        <v>11236</v>
      </c>
      <c r="G95" s="4" t="s">
        <v>11237</v>
      </c>
      <c r="I95" s="4" t="s">
        <v>296</v>
      </c>
      <c r="J95" s="4" t="s">
        <v>297</v>
      </c>
      <c r="K95" s="4" t="s">
        <v>319</v>
      </c>
      <c r="L95" s="4" t="s">
        <v>299</v>
      </c>
      <c r="M95" s="4" t="s">
        <v>300</v>
      </c>
      <c r="N95" s="4" t="s">
        <v>11238</v>
      </c>
      <c r="O95" s="5">
        <v>19.41</v>
      </c>
      <c r="P95" s="6">
        <v>1</v>
      </c>
      <c r="Q95" s="7">
        <v>9.25</v>
      </c>
      <c r="R95" s="7">
        <v>7</v>
      </c>
      <c r="S95" s="4" t="s">
        <v>301</v>
      </c>
      <c r="T95" s="4" t="s">
        <v>302</v>
      </c>
      <c r="U95" s="5">
        <v>23.175999999999998</v>
      </c>
      <c r="V95" s="6">
        <v>0.25</v>
      </c>
      <c r="W95" s="7">
        <v>3</v>
      </c>
      <c r="X95" s="5">
        <v>7.8040000000000003</v>
      </c>
      <c r="Y95" s="4" t="s">
        <v>292</v>
      </c>
      <c r="Z95" s="6">
        <v>4</v>
      </c>
      <c r="AA95" s="6">
        <v>1</v>
      </c>
      <c r="AB95" s="5">
        <v>31.216000000000001</v>
      </c>
      <c r="AC95" s="6">
        <v>1</v>
      </c>
      <c r="AD95" s="6">
        <v>1</v>
      </c>
      <c r="AE95" s="5">
        <v>31.216000000000001</v>
      </c>
      <c r="AF95" s="5">
        <v>31.216000000000001</v>
      </c>
      <c r="AG95" s="7">
        <v>7</v>
      </c>
      <c r="AH95" s="7">
        <v>0</v>
      </c>
      <c r="AI95" s="7">
        <v>17</v>
      </c>
      <c r="AJ95" s="7">
        <v>0</v>
      </c>
      <c r="AK95" s="8">
        <v>44115.527442129627</v>
      </c>
      <c r="AL95" s="7">
        <v>0.57999999999999996</v>
      </c>
      <c r="AM95" s="7">
        <v>100</v>
      </c>
      <c r="AN95" s="7">
        <v>0</v>
      </c>
      <c r="AO95" s="7">
        <v>0.4</v>
      </c>
      <c r="AP95" s="7">
        <v>0</v>
      </c>
      <c r="AQ95" s="7">
        <v>1.2</v>
      </c>
      <c r="AR95" s="7">
        <v>0.23</v>
      </c>
      <c r="AS95" s="4" t="s">
        <v>303</v>
      </c>
      <c r="AT95" s="7">
        <v>0</v>
      </c>
      <c r="AU95" s="4" t="s">
        <v>359</v>
      </c>
      <c r="AV95" s="4" t="s">
        <v>305</v>
      </c>
    </row>
    <row r="96" spans="1:49" s="4" customFormat="1" x14ac:dyDescent="0.25">
      <c r="A96" s="4" t="s">
        <v>11201</v>
      </c>
      <c r="B96" s="4" t="s">
        <v>293</v>
      </c>
      <c r="C96" s="4" t="s">
        <v>360</v>
      </c>
      <c r="D96" s="4" t="s">
        <v>361</v>
      </c>
      <c r="F96" s="4" t="s">
        <v>11462</v>
      </c>
      <c r="G96" s="4" t="s">
        <v>11463</v>
      </c>
      <c r="I96" s="4" t="s">
        <v>296</v>
      </c>
      <c r="J96" s="4" t="s">
        <v>297</v>
      </c>
      <c r="K96" s="4" t="s">
        <v>298</v>
      </c>
      <c r="L96" s="4" t="s">
        <v>322</v>
      </c>
      <c r="M96" s="4" t="s">
        <v>300</v>
      </c>
      <c r="N96" s="4" t="s">
        <v>11198</v>
      </c>
      <c r="O96" s="5">
        <v>146.87799999999999</v>
      </c>
      <c r="P96" s="6">
        <v>1</v>
      </c>
      <c r="Q96" s="7">
        <v>9.25</v>
      </c>
      <c r="R96" s="7">
        <v>12</v>
      </c>
      <c r="S96" s="4" t="s">
        <v>301</v>
      </c>
      <c r="T96" s="4" t="s">
        <v>302</v>
      </c>
      <c r="U96" s="5">
        <v>186.512</v>
      </c>
      <c r="V96" s="6">
        <v>0.45</v>
      </c>
      <c r="W96" s="7">
        <v>1.5</v>
      </c>
      <c r="X96" s="5">
        <v>67.48</v>
      </c>
      <c r="Y96" s="4" t="s">
        <v>292</v>
      </c>
      <c r="Z96" s="6">
        <v>1</v>
      </c>
      <c r="AA96" s="6">
        <v>1</v>
      </c>
      <c r="AB96" s="5">
        <v>67.48</v>
      </c>
      <c r="AC96" s="6">
        <v>1</v>
      </c>
      <c r="AD96" s="6">
        <v>1</v>
      </c>
      <c r="AE96" s="5">
        <v>67.48</v>
      </c>
      <c r="AF96" s="7">
        <v>10</v>
      </c>
      <c r="AG96" s="7">
        <v>12</v>
      </c>
      <c r="AH96" s="7">
        <v>9.25</v>
      </c>
      <c r="AI96" s="7">
        <v>0</v>
      </c>
      <c r="AJ96" s="7">
        <v>0</v>
      </c>
      <c r="AK96" s="8">
        <v>44115.509502314817</v>
      </c>
      <c r="AL96" s="7">
        <v>8.39</v>
      </c>
      <c r="AM96" s="7">
        <v>100</v>
      </c>
      <c r="AN96" s="7">
        <v>0</v>
      </c>
      <c r="AO96" s="7">
        <v>10.07</v>
      </c>
      <c r="AP96" s="7">
        <v>7.76</v>
      </c>
      <c r="AQ96" s="7">
        <v>0</v>
      </c>
      <c r="AR96" s="7">
        <v>1.38</v>
      </c>
      <c r="AS96" s="4" t="s">
        <v>303</v>
      </c>
      <c r="AT96" s="7">
        <v>0</v>
      </c>
      <c r="AU96" s="4" t="s">
        <v>362</v>
      </c>
      <c r="AV96" s="4" t="s">
        <v>305</v>
      </c>
      <c r="AW96" s="4" t="s">
        <v>292</v>
      </c>
    </row>
    <row r="97" spans="1:49" s="4" customFormat="1" x14ac:dyDescent="0.25">
      <c r="A97" s="4" t="s">
        <v>11199</v>
      </c>
      <c r="B97" s="4" t="s">
        <v>293</v>
      </c>
      <c r="C97" s="4" t="s">
        <v>360</v>
      </c>
      <c r="D97" s="4" t="s">
        <v>361</v>
      </c>
      <c r="F97" s="4" t="s">
        <v>11462</v>
      </c>
      <c r="G97" s="4" t="s">
        <v>11463</v>
      </c>
      <c r="I97" s="4" t="s">
        <v>296</v>
      </c>
      <c r="J97" s="4" t="s">
        <v>297</v>
      </c>
      <c r="K97" s="4" t="s">
        <v>298</v>
      </c>
      <c r="L97" s="4" t="s">
        <v>322</v>
      </c>
      <c r="M97" s="4" t="s">
        <v>300</v>
      </c>
      <c r="N97" s="4" t="s">
        <v>11198</v>
      </c>
      <c r="O97" s="5">
        <v>146.875</v>
      </c>
      <c r="P97" s="6">
        <v>1</v>
      </c>
      <c r="Q97" s="7">
        <v>9.25</v>
      </c>
      <c r="R97" s="7">
        <v>7</v>
      </c>
      <c r="S97" s="4" t="s">
        <v>301</v>
      </c>
      <c r="T97" s="4" t="s">
        <v>302</v>
      </c>
      <c r="U97" s="5">
        <v>175.37299999999999</v>
      </c>
      <c r="V97" s="6">
        <v>0.45</v>
      </c>
      <c r="W97" s="7">
        <v>2</v>
      </c>
      <c r="X97" s="5">
        <v>67.837999999999994</v>
      </c>
      <c r="Y97" s="4" t="s">
        <v>292</v>
      </c>
      <c r="Z97" s="6">
        <v>1</v>
      </c>
      <c r="AA97" s="6">
        <v>1</v>
      </c>
      <c r="AB97" s="5">
        <v>67.837999999999994</v>
      </c>
      <c r="AC97" s="6">
        <v>1</v>
      </c>
      <c r="AD97" s="6">
        <v>1</v>
      </c>
      <c r="AE97" s="5">
        <v>67.837999999999994</v>
      </c>
      <c r="AF97" s="7">
        <v>10</v>
      </c>
      <c r="AG97" s="7">
        <v>7</v>
      </c>
      <c r="AH97" s="7">
        <v>9.25</v>
      </c>
      <c r="AI97" s="7">
        <v>0</v>
      </c>
      <c r="AJ97" s="7">
        <v>0</v>
      </c>
      <c r="AK97" s="8">
        <v>44115.510868055557</v>
      </c>
      <c r="AL97" s="7">
        <v>7.89</v>
      </c>
      <c r="AM97" s="7">
        <v>100</v>
      </c>
      <c r="AN97" s="7">
        <v>0</v>
      </c>
      <c r="AO97" s="7">
        <v>5.52</v>
      </c>
      <c r="AP97" s="7">
        <v>7.3</v>
      </c>
      <c r="AQ97" s="7">
        <v>0</v>
      </c>
      <c r="AR97" s="7">
        <v>1.74</v>
      </c>
      <c r="AS97" s="4" t="s">
        <v>303</v>
      </c>
      <c r="AT97" s="7">
        <v>0</v>
      </c>
      <c r="AU97" s="4" t="s">
        <v>362</v>
      </c>
      <c r="AV97" s="4" t="s">
        <v>305</v>
      </c>
      <c r="AW97" s="4" t="s">
        <v>292</v>
      </c>
    </row>
    <row r="98" spans="1:49" s="4" customFormat="1" x14ac:dyDescent="0.25">
      <c r="A98" s="4" t="s">
        <v>395</v>
      </c>
      <c r="B98" s="4" t="s">
        <v>293</v>
      </c>
      <c r="C98" s="4" t="s">
        <v>360</v>
      </c>
      <c r="D98" s="4" t="s">
        <v>361</v>
      </c>
      <c r="F98" s="4" t="s">
        <v>11462</v>
      </c>
      <c r="G98" s="4" t="s">
        <v>11463</v>
      </c>
      <c r="I98" s="4" t="s">
        <v>296</v>
      </c>
      <c r="J98" s="4" t="s">
        <v>297</v>
      </c>
      <c r="K98" s="4" t="s">
        <v>298</v>
      </c>
      <c r="L98" s="4" t="s">
        <v>322</v>
      </c>
      <c r="M98" s="4" t="s">
        <v>300</v>
      </c>
      <c r="N98" s="4" t="s">
        <v>447</v>
      </c>
      <c r="O98" s="5">
        <v>146.875</v>
      </c>
      <c r="P98" s="6">
        <v>1</v>
      </c>
      <c r="Q98" s="7">
        <v>9.25</v>
      </c>
      <c r="R98" s="7">
        <v>7</v>
      </c>
      <c r="S98" s="4" t="s">
        <v>301</v>
      </c>
      <c r="T98" s="4" t="s">
        <v>302</v>
      </c>
      <c r="U98" s="5">
        <v>175.37299999999999</v>
      </c>
      <c r="V98" s="6">
        <v>0.45</v>
      </c>
      <c r="W98" s="7">
        <v>4</v>
      </c>
      <c r="X98" s="5">
        <v>92.427999999999997</v>
      </c>
      <c r="Y98" s="4" t="s">
        <v>292</v>
      </c>
      <c r="Z98" s="6">
        <v>1</v>
      </c>
      <c r="AA98" s="6">
        <v>0.75267200000000001</v>
      </c>
      <c r="AB98" s="5">
        <v>92.427999999999997</v>
      </c>
      <c r="AC98" s="6">
        <v>1</v>
      </c>
      <c r="AD98" s="6">
        <v>0.75267200000000001</v>
      </c>
      <c r="AE98" s="5">
        <v>92.427999999999997</v>
      </c>
      <c r="AF98" s="7">
        <v>10</v>
      </c>
      <c r="AG98" s="7">
        <v>7</v>
      </c>
      <c r="AH98" s="7">
        <v>9.25</v>
      </c>
      <c r="AI98" s="7">
        <v>17</v>
      </c>
      <c r="AJ98" s="7">
        <v>0</v>
      </c>
      <c r="AK98" s="8">
        <v>44115.510879629626</v>
      </c>
      <c r="AL98" s="7">
        <v>7.89</v>
      </c>
      <c r="AM98" s="7">
        <v>100</v>
      </c>
      <c r="AN98" s="7">
        <v>0</v>
      </c>
      <c r="AO98" s="7">
        <v>5.52</v>
      </c>
      <c r="AP98" s="7">
        <v>7.3</v>
      </c>
      <c r="AQ98" s="7">
        <v>16.670000000000002</v>
      </c>
      <c r="AR98" s="7">
        <v>4.1399999999999997</v>
      </c>
      <c r="AS98" s="4" t="s">
        <v>303</v>
      </c>
      <c r="AT98" s="7">
        <v>0</v>
      </c>
      <c r="AU98" s="4" t="s">
        <v>362</v>
      </c>
      <c r="AV98" s="4" t="s">
        <v>305</v>
      </c>
      <c r="AW98" s="4" t="s">
        <v>292</v>
      </c>
    </row>
    <row r="99" spans="1:49" s="4" customFormat="1" x14ac:dyDescent="0.25">
      <c r="A99" s="4" t="s">
        <v>11200</v>
      </c>
      <c r="B99" s="4" t="s">
        <v>293</v>
      </c>
      <c r="C99" s="4" t="s">
        <v>360</v>
      </c>
      <c r="D99" s="4" t="s">
        <v>361</v>
      </c>
      <c r="F99" s="4" t="s">
        <v>11462</v>
      </c>
      <c r="G99" s="4" t="s">
        <v>11463</v>
      </c>
      <c r="I99" s="4" t="s">
        <v>296</v>
      </c>
      <c r="J99" s="4" t="s">
        <v>297</v>
      </c>
      <c r="K99" s="4" t="s">
        <v>298</v>
      </c>
      <c r="L99" s="4" t="s">
        <v>322</v>
      </c>
      <c r="M99" s="4" t="s">
        <v>300</v>
      </c>
      <c r="N99" s="4" t="s">
        <v>11198</v>
      </c>
      <c r="O99" s="5">
        <v>146.875</v>
      </c>
      <c r="P99" s="6">
        <v>1</v>
      </c>
      <c r="Q99" s="7">
        <v>9.25</v>
      </c>
      <c r="R99" s="7">
        <v>18</v>
      </c>
      <c r="S99" s="4" t="s">
        <v>301</v>
      </c>
      <c r="T99" s="4" t="s">
        <v>302</v>
      </c>
      <c r="U99" s="5">
        <v>201.89</v>
      </c>
      <c r="V99" s="6">
        <v>0.45</v>
      </c>
      <c r="W99" s="7">
        <v>1.5</v>
      </c>
      <c r="X99" s="5">
        <v>67.600999999999999</v>
      </c>
      <c r="Y99" s="4" t="s">
        <v>292</v>
      </c>
      <c r="Z99" s="6">
        <v>1</v>
      </c>
      <c r="AA99" s="6">
        <v>1</v>
      </c>
      <c r="AB99" s="5">
        <v>67.600999999999999</v>
      </c>
      <c r="AC99" s="6">
        <v>1</v>
      </c>
      <c r="AD99" s="6">
        <v>1</v>
      </c>
      <c r="AE99" s="5">
        <v>67.600999999999999</v>
      </c>
      <c r="AF99" s="7">
        <v>10</v>
      </c>
      <c r="AG99" s="7">
        <v>18</v>
      </c>
      <c r="AH99" s="7">
        <v>9.25</v>
      </c>
      <c r="AI99" s="7">
        <v>0</v>
      </c>
      <c r="AJ99" s="7">
        <v>0</v>
      </c>
      <c r="AK99" s="8">
        <v>44115.504976851851</v>
      </c>
      <c r="AL99" s="7">
        <v>9.09</v>
      </c>
      <c r="AM99" s="7">
        <v>100</v>
      </c>
      <c r="AN99" s="7">
        <v>0</v>
      </c>
      <c r="AO99" s="7">
        <v>16.350000000000001</v>
      </c>
      <c r="AP99" s="7">
        <v>8.4</v>
      </c>
      <c r="AQ99" s="7">
        <v>0</v>
      </c>
      <c r="AR99" s="7">
        <v>1.5</v>
      </c>
      <c r="AS99" s="4" t="s">
        <v>303</v>
      </c>
      <c r="AT99" s="7">
        <v>0</v>
      </c>
      <c r="AU99" s="4" t="s">
        <v>362</v>
      </c>
      <c r="AV99" s="4" t="s">
        <v>305</v>
      </c>
      <c r="AW99" s="4" t="s">
        <v>292</v>
      </c>
    </row>
    <row r="100" spans="1:49" s="4" customFormat="1" x14ac:dyDescent="0.25">
      <c r="A100" s="4" t="s">
        <v>11207</v>
      </c>
      <c r="B100" s="4" t="s">
        <v>293</v>
      </c>
      <c r="C100" s="4" t="s">
        <v>360</v>
      </c>
      <c r="D100" s="4" t="s">
        <v>361</v>
      </c>
      <c r="F100" s="4" t="s">
        <v>11236</v>
      </c>
      <c r="G100" s="4" t="s">
        <v>11237</v>
      </c>
      <c r="I100" s="4" t="s">
        <v>296</v>
      </c>
      <c r="J100" s="4" t="s">
        <v>297</v>
      </c>
      <c r="K100" s="4" t="s">
        <v>298</v>
      </c>
      <c r="L100" s="4" t="s">
        <v>322</v>
      </c>
      <c r="M100" s="4" t="s">
        <v>300</v>
      </c>
      <c r="N100" s="4" t="s">
        <v>11238</v>
      </c>
      <c r="O100" s="5">
        <v>67.599999999999994</v>
      </c>
      <c r="P100" s="6">
        <v>1</v>
      </c>
      <c r="Q100" s="7">
        <v>9.25</v>
      </c>
      <c r="R100" s="7">
        <v>7</v>
      </c>
      <c r="S100" s="4" t="s">
        <v>301</v>
      </c>
      <c r="T100" s="4" t="s">
        <v>302</v>
      </c>
      <c r="U100" s="5">
        <v>80.715999999999994</v>
      </c>
      <c r="V100" s="6">
        <v>0.25</v>
      </c>
      <c r="W100" s="7">
        <v>3</v>
      </c>
      <c r="X100" s="5">
        <v>27.158999999999999</v>
      </c>
      <c r="Y100" s="4" t="s">
        <v>292</v>
      </c>
      <c r="Z100" s="6">
        <v>4</v>
      </c>
      <c r="AA100" s="6">
        <v>1</v>
      </c>
      <c r="AB100" s="5">
        <v>108.636</v>
      </c>
      <c r="AC100" s="6">
        <v>1</v>
      </c>
      <c r="AD100" s="6">
        <v>1</v>
      </c>
      <c r="AE100" s="5">
        <v>108.636</v>
      </c>
      <c r="AF100" s="5">
        <v>108.636</v>
      </c>
      <c r="AG100" s="7">
        <v>7</v>
      </c>
      <c r="AH100" s="7">
        <v>0</v>
      </c>
      <c r="AI100" s="7">
        <v>17</v>
      </c>
      <c r="AJ100" s="7">
        <v>0</v>
      </c>
      <c r="AK100" s="8">
        <v>44115.527465277781</v>
      </c>
      <c r="AL100" s="7">
        <v>2.02</v>
      </c>
      <c r="AM100" s="7">
        <v>100</v>
      </c>
      <c r="AN100" s="7">
        <v>0</v>
      </c>
      <c r="AO100" s="7">
        <v>1.41</v>
      </c>
      <c r="AP100" s="7">
        <v>0</v>
      </c>
      <c r="AQ100" s="7">
        <v>4.17</v>
      </c>
      <c r="AR100" s="7">
        <v>0.79</v>
      </c>
      <c r="AS100" s="4" t="s">
        <v>303</v>
      </c>
      <c r="AT100" s="7">
        <v>0</v>
      </c>
      <c r="AU100" s="4" t="s">
        <v>362</v>
      </c>
      <c r="AV100" s="4" t="s">
        <v>305</v>
      </c>
    </row>
    <row r="101" spans="1:49" s="4" customFormat="1" x14ac:dyDescent="0.25">
      <c r="A101" s="4" t="s">
        <v>11201</v>
      </c>
      <c r="B101" s="4" t="s">
        <v>293</v>
      </c>
      <c r="C101" s="4" t="s">
        <v>363</v>
      </c>
      <c r="D101" s="4" t="s">
        <v>364</v>
      </c>
      <c r="F101" s="4" t="s">
        <v>11462</v>
      </c>
      <c r="G101" s="4" t="s">
        <v>11463</v>
      </c>
      <c r="I101" s="4" t="s">
        <v>296</v>
      </c>
      <c r="J101" s="4" t="s">
        <v>297</v>
      </c>
      <c r="K101" s="4" t="s">
        <v>319</v>
      </c>
      <c r="L101" s="4" t="s">
        <v>322</v>
      </c>
      <c r="M101" s="4" t="s">
        <v>300</v>
      </c>
      <c r="N101" s="4" t="s">
        <v>11198</v>
      </c>
      <c r="O101" s="5">
        <v>24.75</v>
      </c>
      <c r="P101" s="6">
        <v>1</v>
      </c>
      <c r="Q101" s="7">
        <v>9.25</v>
      </c>
      <c r="R101" s="7">
        <v>12</v>
      </c>
      <c r="S101" s="4" t="s">
        <v>301</v>
      </c>
      <c r="T101" s="4" t="s">
        <v>302</v>
      </c>
      <c r="U101" s="5">
        <v>31.428999999999998</v>
      </c>
      <c r="V101" s="6">
        <v>0.45</v>
      </c>
      <c r="W101" s="7">
        <v>1.5</v>
      </c>
      <c r="X101" s="5">
        <v>11.372999999999999</v>
      </c>
      <c r="Y101" s="4" t="s">
        <v>292</v>
      </c>
      <c r="Z101" s="6">
        <v>1</v>
      </c>
      <c r="AA101" s="6">
        <v>1</v>
      </c>
      <c r="AB101" s="5">
        <v>11.372999999999999</v>
      </c>
      <c r="AC101" s="6">
        <v>1</v>
      </c>
      <c r="AD101" s="6">
        <v>1</v>
      </c>
      <c r="AE101" s="5">
        <v>11.372999999999999</v>
      </c>
      <c r="AF101" s="7">
        <v>10</v>
      </c>
      <c r="AG101" s="7">
        <v>12</v>
      </c>
      <c r="AH101" s="7">
        <v>9.25</v>
      </c>
      <c r="AI101" s="7">
        <v>0</v>
      </c>
      <c r="AJ101" s="7">
        <v>0</v>
      </c>
      <c r="AK101" s="8">
        <v>44115.50953703704</v>
      </c>
      <c r="AL101" s="7">
        <v>1.41</v>
      </c>
      <c r="AM101" s="7">
        <v>100</v>
      </c>
      <c r="AN101" s="7">
        <v>0</v>
      </c>
      <c r="AO101" s="7">
        <v>1.7</v>
      </c>
      <c r="AP101" s="7">
        <v>1.3</v>
      </c>
      <c r="AQ101" s="7">
        <v>0</v>
      </c>
      <c r="AR101" s="7">
        <v>0.23</v>
      </c>
      <c r="AS101" s="4" t="s">
        <v>303</v>
      </c>
      <c r="AT101" s="7">
        <v>0</v>
      </c>
      <c r="AU101" s="4" t="s">
        <v>365</v>
      </c>
      <c r="AV101" s="4" t="s">
        <v>305</v>
      </c>
      <c r="AW101" s="4" t="s">
        <v>292</v>
      </c>
    </row>
    <row r="102" spans="1:49" s="4" customFormat="1" x14ac:dyDescent="0.25">
      <c r="A102" s="4" t="s">
        <v>11199</v>
      </c>
      <c r="B102" s="4" t="s">
        <v>293</v>
      </c>
      <c r="C102" s="4" t="s">
        <v>363</v>
      </c>
      <c r="D102" s="4" t="s">
        <v>364</v>
      </c>
      <c r="F102" s="4" t="s">
        <v>11462</v>
      </c>
      <c r="G102" s="4" t="s">
        <v>11463</v>
      </c>
      <c r="I102" s="4" t="s">
        <v>296</v>
      </c>
      <c r="J102" s="4" t="s">
        <v>297</v>
      </c>
      <c r="K102" s="4" t="s">
        <v>319</v>
      </c>
      <c r="L102" s="4" t="s">
        <v>322</v>
      </c>
      <c r="M102" s="4" t="s">
        <v>300</v>
      </c>
      <c r="N102" s="4" t="s">
        <v>11198</v>
      </c>
      <c r="O102" s="5">
        <v>24.75</v>
      </c>
      <c r="P102" s="6">
        <v>1</v>
      </c>
      <c r="Q102" s="7">
        <v>9.25</v>
      </c>
      <c r="R102" s="7">
        <v>7</v>
      </c>
      <c r="S102" s="4" t="s">
        <v>301</v>
      </c>
      <c r="T102" s="4" t="s">
        <v>302</v>
      </c>
      <c r="U102" s="5">
        <v>29.552</v>
      </c>
      <c r="V102" s="6">
        <v>0.45</v>
      </c>
      <c r="W102" s="7">
        <v>2</v>
      </c>
      <c r="X102" s="5">
        <v>11.428000000000001</v>
      </c>
      <c r="Y102" s="4" t="s">
        <v>292</v>
      </c>
      <c r="Z102" s="6">
        <v>1</v>
      </c>
      <c r="AA102" s="6">
        <v>1</v>
      </c>
      <c r="AB102" s="5">
        <v>11.428000000000001</v>
      </c>
      <c r="AC102" s="6">
        <v>1</v>
      </c>
      <c r="AD102" s="6">
        <v>1</v>
      </c>
      <c r="AE102" s="5">
        <v>11.428000000000001</v>
      </c>
      <c r="AF102" s="7">
        <v>10</v>
      </c>
      <c r="AG102" s="7">
        <v>7</v>
      </c>
      <c r="AH102" s="7">
        <v>9.25</v>
      </c>
      <c r="AI102" s="7">
        <v>0</v>
      </c>
      <c r="AJ102" s="7">
        <v>0</v>
      </c>
      <c r="AK102" s="8">
        <v>44115.510960648149</v>
      </c>
      <c r="AL102" s="7">
        <v>1.33</v>
      </c>
      <c r="AM102" s="7">
        <v>100</v>
      </c>
      <c r="AN102" s="7">
        <v>0</v>
      </c>
      <c r="AO102" s="7">
        <v>0.93</v>
      </c>
      <c r="AP102" s="7">
        <v>1.23</v>
      </c>
      <c r="AQ102" s="7">
        <v>0</v>
      </c>
      <c r="AR102" s="7">
        <v>0.28999999999999998</v>
      </c>
      <c r="AS102" s="4" t="s">
        <v>303</v>
      </c>
      <c r="AT102" s="7">
        <v>0</v>
      </c>
      <c r="AU102" s="4" t="s">
        <v>365</v>
      </c>
      <c r="AV102" s="4" t="s">
        <v>305</v>
      </c>
      <c r="AW102" s="4" t="s">
        <v>292</v>
      </c>
    </row>
    <row r="103" spans="1:49" s="4" customFormat="1" x14ac:dyDescent="0.25">
      <c r="A103" s="4" t="s">
        <v>395</v>
      </c>
      <c r="B103" s="4" t="s">
        <v>293</v>
      </c>
      <c r="C103" s="4" t="s">
        <v>363</v>
      </c>
      <c r="D103" s="4" t="s">
        <v>364</v>
      </c>
      <c r="F103" s="4" t="s">
        <v>11462</v>
      </c>
      <c r="G103" s="4" t="s">
        <v>11463</v>
      </c>
      <c r="I103" s="4" t="s">
        <v>296</v>
      </c>
      <c r="J103" s="4" t="s">
        <v>297</v>
      </c>
      <c r="K103" s="4" t="s">
        <v>319</v>
      </c>
      <c r="L103" s="4" t="s">
        <v>322</v>
      </c>
      <c r="M103" s="4" t="s">
        <v>300</v>
      </c>
      <c r="N103" s="4" t="s">
        <v>447</v>
      </c>
      <c r="O103" s="5">
        <v>24.75</v>
      </c>
      <c r="P103" s="6">
        <v>1</v>
      </c>
      <c r="Q103" s="7">
        <v>9.25</v>
      </c>
      <c r="R103" s="7">
        <v>7</v>
      </c>
      <c r="S103" s="4" t="s">
        <v>301</v>
      </c>
      <c r="T103" s="4" t="s">
        <v>302</v>
      </c>
      <c r="U103" s="5">
        <v>29.552</v>
      </c>
      <c r="V103" s="6">
        <v>0.45</v>
      </c>
      <c r="W103" s="7">
        <v>4</v>
      </c>
      <c r="X103" s="5">
        <v>15.577999999999999</v>
      </c>
      <c r="Y103" s="4" t="s">
        <v>292</v>
      </c>
      <c r="Z103" s="6">
        <v>1</v>
      </c>
      <c r="AA103" s="6">
        <v>0.752857</v>
      </c>
      <c r="AB103" s="5">
        <v>15.577999999999999</v>
      </c>
      <c r="AC103" s="6">
        <v>1</v>
      </c>
      <c r="AD103" s="6">
        <v>0.752857</v>
      </c>
      <c r="AE103" s="5">
        <v>15.577999999999999</v>
      </c>
      <c r="AF103" s="7">
        <v>10</v>
      </c>
      <c r="AG103" s="7">
        <v>7</v>
      </c>
      <c r="AH103" s="7">
        <v>9.25</v>
      </c>
      <c r="AI103" s="7">
        <v>17</v>
      </c>
      <c r="AJ103" s="7">
        <v>0</v>
      </c>
      <c r="AK103" s="8">
        <v>44115.510960648149</v>
      </c>
      <c r="AL103" s="7">
        <v>1.33</v>
      </c>
      <c r="AM103" s="7">
        <v>100</v>
      </c>
      <c r="AN103" s="7">
        <v>0</v>
      </c>
      <c r="AO103" s="7">
        <v>0.93</v>
      </c>
      <c r="AP103" s="7">
        <v>1.23</v>
      </c>
      <c r="AQ103" s="7">
        <v>2.81</v>
      </c>
      <c r="AR103" s="7">
        <v>0.7</v>
      </c>
      <c r="AS103" s="4" t="s">
        <v>303</v>
      </c>
      <c r="AT103" s="7">
        <v>0</v>
      </c>
      <c r="AU103" s="4" t="s">
        <v>365</v>
      </c>
      <c r="AV103" s="4" t="s">
        <v>305</v>
      </c>
      <c r="AW103" s="4" t="s">
        <v>292</v>
      </c>
    </row>
    <row r="104" spans="1:49" s="4" customFormat="1" x14ac:dyDescent="0.25">
      <c r="A104" s="4" t="s">
        <v>11200</v>
      </c>
      <c r="B104" s="4" t="s">
        <v>293</v>
      </c>
      <c r="C104" s="4" t="s">
        <v>363</v>
      </c>
      <c r="D104" s="4" t="s">
        <v>364</v>
      </c>
      <c r="F104" s="4" t="s">
        <v>11462</v>
      </c>
      <c r="G104" s="4" t="s">
        <v>11463</v>
      </c>
      <c r="I104" s="4" t="s">
        <v>296</v>
      </c>
      <c r="J104" s="4" t="s">
        <v>297</v>
      </c>
      <c r="K104" s="4" t="s">
        <v>319</v>
      </c>
      <c r="L104" s="4" t="s">
        <v>322</v>
      </c>
      <c r="M104" s="4" t="s">
        <v>300</v>
      </c>
      <c r="N104" s="4" t="s">
        <v>11198</v>
      </c>
      <c r="O104" s="5">
        <v>24.75</v>
      </c>
      <c r="P104" s="6">
        <v>1</v>
      </c>
      <c r="Q104" s="7">
        <v>9.25</v>
      </c>
      <c r="R104" s="7">
        <v>18</v>
      </c>
      <c r="S104" s="4" t="s">
        <v>301</v>
      </c>
      <c r="T104" s="4" t="s">
        <v>302</v>
      </c>
      <c r="U104" s="5">
        <v>34.021000000000001</v>
      </c>
      <c r="V104" s="6">
        <v>0.45</v>
      </c>
      <c r="W104" s="7">
        <v>1.5</v>
      </c>
      <c r="X104" s="5">
        <v>11.398999999999999</v>
      </c>
      <c r="Y104" s="4" t="s">
        <v>292</v>
      </c>
      <c r="Z104" s="6">
        <v>1</v>
      </c>
      <c r="AA104" s="6">
        <v>1</v>
      </c>
      <c r="AB104" s="5">
        <v>11.398999999999999</v>
      </c>
      <c r="AC104" s="6">
        <v>1</v>
      </c>
      <c r="AD104" s="6">
        <v>1</v>
      </c>
      <c r="AE104" s="5">
        <v>11.398999999999999</v>
      </c>
      <c r="AF104" s="7">
        <v>10</v>
      </c>
      <c r="AG104" s="7">
        <v>18</v>
      </c>
      <c r="AH104" s="7">
        <v>9.25</v>
      </c>
      <c r="AI104" s="7">
        <v>0</v>
      </c>
      <c r="AJ104" s="7">
        <v>0</v>
      </c>
      <c r="AK104" s="8">
        <v>44115.505011574074</v>
      </c>
      <c r="AL104" s="7">
        <v>1.53</v>
      </c>
      <c r="AM104" s="7">
        <v>100</v>
      </c>
      <c r="AN104" s="7">
        <v>0</v>
      </c>
      <c r="AO104" s="7">
        <v>2.75</v>
      </c>
      <c r="AP104" s="7">
        <v>1.41</v>
      </c>
      <c r="AQ104" s="7">
        <v>0</v>
      </c>
      <c r="AR104" s="7">
        <v>0.25</v>
      </c>
      <c r="AS104" s="4" t="s">
        <v>303</v>
      </c>
      <c r="AT104" s="7">
        <v>0</v>
      </c>
      <c r="AU104" s="4" t="s">
        <v>365</v>
      </c>
      <c r="AV104" s="4" t="s">
        <v>305</v>
      </c>
      <c r="AW104" s="4" t="s">
        <v>292</v>
      </c>
    </row>
    <row r="105" spans="1:49" s="4" customFormat="1" x14ac:dyDescent="0.25">
      <c r="A105" s="4" t="s">
        <v>11207</v>
      </c>
      <c r="B105" s="4" t="s">
        <v>293</v>
      </c>
      <c r="C105" s="4" t="s">
        <v>363</v>
      </c>
      <c r="D105" s="4" t="s">
        <v>364</v>
      </c>
      <c r="F105" s="4" t="s">
        <v>11236</v>
      </c>
      <c r="G105" s="4" t="s">
        <v>11237</v>
      </c>
      <c r="I105" s="4" t="s">
        <v>296</v>
      </c>
      <c r="J105" s="4" t="s">
        <v>297</v>
      </c>
      <c r="K105" s="4" t="s">
        <v>319</v>
      </c>
      <c r="L105" s="4" t="s">
        <v>322</v>
      </c>
      <c r="M105" s="4" t="s">
        <v>300</v>
      </c>
      <c r="N105" s="4" t="s">
        <v>11238</v>
      </c>
      <c r="O105" s="5">
        <v>11.4</v>
      </c>
      <c r="P105" s="6">
        <v>1</v>
      </c>
      <c r="Q105" s="7">
        <v>9.25</v>
      </c>
      <c r="R105" s="7">
        <v>7</v>
      </c>
      <c r="S105" s="4" t="s">
        <v>301</v>
      </c>
      <c r="T105" s="4" t="s">
        <v>302</v>
      </c>
      <c r="U105" s="5">
        <v>13.612</v>
      </c>
      <c r="V105" s="6">
        <v>0.25</v>
      </c>
      <c r="W105" s="7">
        <v>3</v>
      </c>
      <c r="X105" s="5">
        <v>4.5730000000000004</v>
      </c>
      <c r="Y105" s="4" t="s">
        <v>292</v>
      </c>
      <c r="Z105" s="6">
        <v>4</v>
      </c>
      <c r="AA105" s="6">
        <v>1</v>
      </c>
      <c r="AB105" s="5">
        <v>18.292000000000002</v>
      </c>
      <c r="AC105" s="6">
        <v>1</v>
      </c>
      <c r="AD105" s="6">
        <v>1</v>
      </c>
      <c r="AE105" s="5">
        <v>18.292000000000002</v>
      </c>
      <c r="AF105" s="5">
        <v>18.292000000000002</v>
      </c>
      <c r="AG105" s="7">
        <v>7</v>
      </c>
      <c r="AH105" s="7">
        <v>0</v>
      </c>
      <c r="AI105" s="7">
        <v>17</v>
      </c>
      <c r="AJ105" s="7">
        <v>0</v>
      </c>
      <c r="AK105" s="8">
        <v>44115.527488425927</v>
      </c>
      <c r="AL105" s="7">
        <v>0.34</v>
      </c>
      <c r="AM105" s="7">
        <v>100</v>
      </c>
      <c r="AN105" s="7">
        <v>0</v>
      </c>
      <c r="AO105" s="7">
        <v>0.24</v>
      </c>
      <c r="AP105" s="7">
        <v>0</v>
      </c>
      <c r="AQ105" s="7">
        <v>0.7</v>
      </c>
      <c r="AR105" s="7">
        <v>0.13</v>
      </c>
      <c r="AS105" s="4" t="s">
        <v>303</v>
      </c>
      <c r="AT105" s="7">
        <v>0</v>
      </c>
      <c r="AU105" s="4" t="s">
        <v>365</v>
      </c>
      <c r="AV105" s="4" t="s">
        <v>305</v>
      </c>
    </row>
    <row r="106" spans="1:49" s="4" customFormat="1" x14ac:dyDescent="0.25">
      <c r="A106" s="4" t="s">
        <v>11201</v>
      </c>
      <c r="B106" s="4" t="s">
        <v>293</v>
      </c>
      <c r="C106" s="4" t="s">
        <v>366</v>
      </c>
      <c r="D106" s="4" t="s">
        <v>367</v>
      </c>
      <c r="F106" s="4" t="s">
        <v>11462</v>
      </c>
      <c r="G106" s="4" t="s">
        <v>11463</v>
      </c>
      <c r="I106" s="4" t="s">
        <v>296</v>
      </c>
      <c r="J106" s="4" t="s">
        <v>297</v>
      </c>
      <c r="K106" s="4" t="s">
        <v>368</v>
      </c>
      <c r="L106" s="4" t="s">
        <v>299</v>
      </c>
      <c r="M106" s="4" t="s">
        <v>300</v>
      </c>
      <c r="N106" s="4" t="s">
        <v>11198</v>
      </c>
      <c r="O106" s="5">
        <v>28.852</v>
      </c>
      <c r="P106" s="6">
        <v>1</v>
      </c>
      <c r="Q106" s="7">
        <v>9.25</v>
      </c>
      <c r="R106" s="7">
        <v>12</v>
      </c>
      <c r="S106" s="4" t="s">
        <v>301</v>
      </c>
      <c r="T106" s="4" t="s">
        <v>302</v>
      </c>
      <c r="U106" s="5">
        <v>36.637</v>
      </c>
      <c r="V106" s="6">
        <v>0.45</v>
      </c>
      <c r="W106" s="7">
        <v>1.5</v>
      </c>
      <c r="X106" s="5">
        <v>13.257</v>
      </c>
      <c r="Y106" s="4" t="s">
        <v>292</v>
      </c>
      <c r="Z106" s="6">
        <v>1</v>
      </c>
      <c r="AA106" s="6">
        <v>1</v>
      </c>
      <c r="AB106" s="5">
        <v>13.257</v>
      </c>
      <c r="AC106" s="6">
        <v>1</v>
      </c>
      <c r="AD106" s="6">
        <v>1</v>
      </c>
      <c r="AE106" s="5">
        <v>13.257</v>
      </c>
      <c r="AF106" s="7">
        <v>10</v>
      </c>
      <c r="AG106" s="7">
        <v>12</v>
      </c>
      <c r="AH106" s="7">
        <v>9.25</v>
      </c>
      <c r="AI106" s="7">
        <v>0</v>
      </c>
      <c r="AJ106" s="7">
        <v>0</v>
      </c>
      <c r="AK106" s="8">
        <v>44115.50953703704</v>
      </c>
      <c r="AL106" s="7">
        <v>1.65</v>
      </c>
      <c r="AM106" s="7">
        <v>100</v>
      </c>
      <c r="AN106" s="7">
        <v>0</v>
      </c>
      <c r="AO106" s="7">
        <v>1.98</v>
      </c>
      <c r="AP106" s="7">
        <v>1.52</v>
      </c>
      <c r="AQ106" s="7">
        <v>0</v>
      </c>
      <c r="AR106" s="7">
        <v>0.27</v>
      </c>
      <c r="AS106" s="4" t="s">
        <v>303</v>
      </c>
      <c r="AT106" s="7">
        <v>0</v>
      </c>
      <c r="AU106" s="4" t="s">
        <v>369</v>
      </c>
      <c r="AV106" s="4" t="s">
        <v>305</v>
      </c>
      <c r="AW106" s="4" t="s">
        <v>292</v>
      </c>
    </row>
    <row r="107" spans="1:49" s="4" customFormat="1" x14ac:dyDescent="0.25">
      <c r="A107" s="4" t="s">
        <v>11199</v>
      </c>
      <c r="B107" s="4" t="s">
        <v>293</v>
      </c>
      <c r="C107" s="4" t="s">
        <v>366</v>
      </c>
      <c r="D107" s="4" t="s">
        <v>367</v>
      </c>
      <c r="F107" s="4" t="s">
        <v>11462</v>
      </c>
      <c r="G107" s="4" t="s">
        <v>11463</v>
      </c>
      <c r="I107" s="4" t="s">
        <v>296</v>
      </c>
      <c r="J107" s="4" t="s">
        <v>297</v>
      </c>
      <c r="K107" s="4" t="s">
        <v>368</v>
      </c>
      <c r="L107" s="4" t="s">
        <v>299</v>
      </c>
      <c r="M107" s="4" t="s">
        <v>300</v>
      </c>
      <c r="N107" s="4" t="s">
        <v>11198</v>
      </c>
      <c r="O107" s="5">
        <v>28.853000000000002</v>
      </c>
      <c r="P107" s="6">
        <v>1</v>
      </c>
      <c r="Q107" s="7">
        <v>9.25</v>
      </c>
      <c r="R107" s="7">
        <v>7</v>
      </c>
      <c r="S107" s="4" t="s">
        <v>301</v>
      </c>
      <c r="T107" s="4" t="s">
        <v>302</v>
      </c>
      <c r="U107" s="5">
        <v>34.451000000000001</v>
      </c>
      <c r="V107" s="6">
        <v>0.45</v>
      </c>
      <c r="W107" s="7">
        <v>2</v>
      </c>
      <c r="X107" s="5">
        <v>13.323</v>
      </c>
      <c r="Y107" s="4" t="s">
        <v>292</v>
      </c>
      <c r="Z107" s="6">
        <v>1</v>
      </c>
      <c r="AA107" s="6">
        <v>1</v>
      </c>
      <c r="AB107" s="5">
        <v>13.323</v>
      </c>
      <c r="AC107" s="6">
        <v>1</v>
      </c>
      <c r="AD107" s="6">
        <v>1</v>
      </c>
      <c r="AE107" s="5">
        <v>13.323</v>
      </c>
      <c r="AF107" s="7">
        <v>10</v>
      </c>
      <c r="AG107" s="7">
        <v>7</v>
      </c>
      <c r="AH107" s="7">
        <v>9.25</v>
      </c>
      <c r="AI107" s="7">
        <v>0</v>
      </c>
      <c r="AJ107" s="7">
        <v>0</v>
      </c>
      <c r="AK107" s="8">
        <v>44115.510960648149</v>
      </c>
      <c r="AL107" s="7">
        <v>1.55</v>
      </c>
      <c r="AM107" s="7">
        <v>100</v>
      </c>
      <c r="AN107" s="7">
        <v>0</v>
      </c>
      <c r="AO107" s="7">
        <v>1.08</v>
      </c>
      <c r="AP107" s="7">
        <v>1.44</v>
      </c>
      <c r="AQ107" s="7">
        <v>0</v>
      </c>
      <c r="AR107" s="7">
        <v>0.34</v>
      </c>
      <c r="AS107" s="4" t="s">
        <v>303</v>
      </c>
      <c r="AT107" s="7">
        <v>0</v>
      </c>
      <c r="AU107" s="4" t="s">
        <v>369</v>
      </c>
      <c r="AV107" s="4" t="s">
        <v>305</v>
      </c>
      <c r="AW107" s="4" t="s">
        <v>292</v>
      </c>
    </row>
    <row r="108" spans="1:49" s="4" customFormat="1" x14ac:dyDescent="0.25">
      <c r="A108" s="4" t="s">
        <v>395</v>
      </c>
      <c r="B108" s="4" t="s">
        <v>293</v>
      </c>
      <c r="C108" s="4" t="s">
        <v>366</v>
      </c>
      <c r="D108" s="4" t="s">
        <v>367</v>
      </c>
      <c r="F108" s="4" t="s">
        <v>11462</v>
      </c>
      <c r="G108" s="4" t="s">
        <v>11463</v>
      </c>
      <c r="I108" s="4" t="s">
        <v>296</v>
      </c>
      <c r="J108" s="4" t="s">
        <v>297</v>
      </c>
      <c r="K108" s="4" t="s">
        <v>368</v>
      </c>
      <c r="L108" s="4" t="s">
        <v>299</v>
      </c>
      <c r="M108" s="4" t="s">
        <v>300</v>
      </c>
      <c r="N108" s="4" t="s">
        <v>447</v>
      </c>
      <c r="O108" s="5">
        <v>28.853000000000002</v>
      </c>
      <c r="P108" s="6">
        <v>1</v>
      </c>
      <c r="Q108" s="7">
        <v>9.25</v>
      </c>
      <c r="R108" s="7">
        <v>7</v>
      </c>
      <c r="S108" s="4" t="s">
        <v>301</v>
      </c>
      <c r="T108" s="4" t="s">
        <v>302</v>
      </c>
      <c r="U108" s="5">
        <v>34.451000000000001</v>
      </c>
      <c r="V108" s="6">
        <v>0.45</v>
      </c>
      <c r="W108" s="7">
        <v>4</v>
      </c>
      <c r="X108" s="5">
        <v>18.143000000000001</v>
      </c>
      <c r="Y108" s="4" t="s">
        <v>292</v>
      </c>
      <c r="Z108" s="6">
        <v>1</v>
      </c>
      <c r="AA108" s="6">
        <v>0.75307299999999999</v>
      </c>
      <c r="AB108" s="5">
        <v>18.143000000000001</v>
      </c>
      <c r="AC108" s="6">
        <v>1</v>
      </c>
      <c r="AD108" s="6">
        <v>0.75307299999999999</v>
      </c>
      <c r="AE108" s="5">
        <v>18.143000000000001</v>
      </c>
      <c r="AF108" s="7">
        <v>10</v>
      </c>
      <c r="AG108" s="7">
        <v>7</v>
      </c>
      <c r="AH108" s="7">
        <v>9.25</v>
      </c>
      <c r="AI108" s="7">
        <v>17</v>
      </c>
      <c r="AJ108" s="7">
        <v>0</v>
      </c>
      <c r="AK108" s="8">
        <v>44115.510960648149</v>
      </c>
      <c r="AL108" s="7">
        <v>1.55</v>
      </c>
      <c r="AM108" s="7">
        <v>100</v>
      </c>
      <c r="AN108" s="7">
        <v>0</v>
      </c>
      <c r="AO108" s="7">
        <v>1.08</v>
      </c>
      <c r="AP108" s="7">
        <v>1.44</v>
      </c>
      <c r="AQ108" s="7">
        <v>3.27</v>
      </c>
      <c r="AR108" s="7">
        <v>0.81</v>
      </c>
      <c r="AS108" s="4" t="s">
        <v>303</v>
      </c>
      <c r="AT108" s="7">
        <v>0</v>
      </c>
      <c r="AU108" s="4" t="s">
        <v>369</v>
      </c>
      <c r="AV108" s="4" t="s">
        <v>305</v>
      </c>
      <c r="AW108" s="4" t="s">
        <v>292</v>
      </c>
    </row>
    <row r="109" spans="1:49" s="4" customFormat="1" x14ac:dyDescent="0.25">
      <c r="A109" s="4" t="s">
        <v>11200</v>
      </c>
      <c r="B109" s="4" t="s">
        <v>293</v>
      </c>
      <c r="C109" s="4" t="s">
        <v>366</v>
      </c>
      <c r="D109" s="4" t="s">
        <v>367</v>
      </c>
      <c r="F109" s="4" t="s">
        <v>11462</v>
      </c>
      <c r="G109" s="4" t="s">
        <v>11463</v>
      </c>
      <c r="I109" s="4" t="s">
        <v>296</v>
      </c>
      <c r="J109" s="4" t="s">
        <v>297</v>
      </c>
      <c r="K109" s="4" t="s">
        <v>368</v>
      </c>
      <c r="L109" s="4" t="s">
        <v>299</v>
      </c>
      <c r="M109" s="4" t="s">
        <v>300</v>
      </c>
      <c r="N109" s="4" t="s">
        <v>11198</v>
      </c>
      <c r="O109" s="5">
        <v>28.853000000000002</v>
      </c>
      <c r="P109" s="6">
        <v>1</v>
      </c>
      <c r="Q109" s="7">
        <v>9.25</v>
      </c>
      <c r="R109" s="7">
        <v>18</v>
      </c>
      <c r="S109" s="4" t="s">
        <v>301</v>
      </c>
      <c r="T109" s="4" t="s">
        <v>302</v>
      </c>
      <c r="U109" s="5">
        <v>39.659999999999997</v>
      </c>
      <c r="V109" s="6">
        <v>0.45</v>
      </c>
      <c r="W109" s="7">
        <v>1.5</v>
      </c>
      <c r="X109" s="5">
        <v>13.276999999999999</v>
      </c>
      <c r="Y109" s="4" t="s">
        <v>292</v>
      </c>
      <c r="Z109" s="6">
        <v>1</v>
      </c>
      <c r="AA109" s="6">
        <v>1</v>
      </c>
      <c r="AB109" s="5">
        <v>13.276999999999999</v>
      </c>
      <c r="AC109" s="6">
        <v>1</v>
      </c>
      <c r="AD109" s="6">
        <v>1</v>
      </c>
      <c r="AE109" s="5">
        <v>13.276999999999999</v>
      </c>
      <c r="AF109" s="7">
        <v>10</v>
      </c>
      <c r="AG109" s="7">
        <v>18</v>
      </c>
      <c r="AH109" s="7">
        <v>9.25</v>
      </c>
      <c r="AI109" s="7">
        <v>0</v>
      </c>
      <c r="AJ109" s="7">
        <v>0</v>
      </c>
      <c r="AK109" s="8">
        <v>44115.505023148151</v>
      </c>
      <c r="AL109" s="7">
        <v>1.79</v>
      </c>
      <c r="AM109" s="7">
        <v>100</v>
      </c>
      <c r="AN109" s="7">
        <v>0</v>
      </c>
      <c r="AO109" s="7">
        <v>3.21</v>
      </c>
      <c r="AP109" s="7">
        <v>1.65</v>
      </c>
      <c r="AQ109" s="7">
        <v>0</v>
      </c>
      <c r="AR109" s="7">
        <v>0.28999999999999998</v>
      </c>
      <c r="AS109" s="4" t="s">
        <v>303</v>
      </c>
      <c r="AT109" s="7">
        <v>0</v>
      </c>
      <c r="AU109" s="4" t="s">
        <v>369</v>
      </c>
      <c r="AV109" s="4" t="s">
        <v>305</v>
      </c>
      <c r="AW109" s="4" t="s">
        <v>292</v>
      </c>
    </row>
    <row r="110" spans="1:49" s="4" customFormat="1" x14ac:dyDescent="0.25">
      <c r="A110" s="4" t="s">
        <v>11207</v>
      </c>
      <c r="B110" s="4" t="s">
        <v>293</v>
      </c>
      <c r="C110" s="4" t="s">
        <v>366</v>
      </c>
      <c r="D110" s="4" t="s">
        <v>367</v>
      </c>
      <c r="F110" s="4" t="s">
        <v>11236</v>
      </c>
      <c r="G110" s="4" t="s">
        <v>11237</v>
      </c>
      <c r="I110" s="4" t="s">
        <v>296</v>
      </c>
      <c r="J110" s="4" t="s">
        <v>297</v>
      </c>
      <c r="K110" s="4" t="s">
        <v>368</v>
      </c>
      <c r="L110" s="4" t="s">
        <v>299</v>
      </c>
      <c r="M110" s="4" t="s">
        <v>300</v>
      </c>
      <c r="N110" s="4" t="s">
        <v>11238</v>
      </c>
      <c r="O110" s="5">
        <v>13.28</v>
      </c>
      <c r="P110" s="6">
        <v>1</v>
      </c>
      <c r="Q110" s="7">
        <v>9.25</v>
      </c>
      <c r="R110" s="7">
        <v>7</v>
      </c>
      <c r="S110" s="4" t="s">
        <v>301</v>
      </c>
      <c r="T110" s="4" t="s">
        <v>302</v>
      </c>
      <c r="U110" s="5">
        <v>15.856999999999999</v>
      </c>
      <c r="V110" s="6">
        <v>0.25</v>
      </c>
      <c r="W110" s="7">
        <v>3</v>
      </c>
      <c r="X110" s="5">
        <v>5.3440000000000003</v>
      </c>
      <c r="Y110" s="4" t="s">
        <v>292</v>
      </c>
      <c r="Z110" s="6">
        <v>4</v>
      </c>
      <c r="AA110" s="6">
        <v>1</v>
      </c>
      <c r="AB110" s="5">
        <v>21.376000000000001</v>
      </c>
      <c r="AC110" s="6">
        <v>1</v>
      </c>
      <c r="AD110" s="6">
        <v>1</v>
      </c>
      <c r="AE110" s="5">
        <v>21.376000000000001</v>
      </c>
      <c r="AF110" s="5">
        <v>21.376000000000001</v>
      </c>
      <c r="AG110" s="7">
        <v>7</v>
      </c>
      <c r="AH110" s="7">
        <v>0</v>
      </c>
      <c r="AI110" s="7">
        <v>17</v>
      </c>
      <c r="AJ110" s="7">
        <v>0</v>
      </c>
      <c r="AK110" s="8">
        <v>44115.527499999997</v>
      </c>
      <c r="AL110" s="7">
        <v>0.4</v>
      </c>
      <c r="AM110" s="7">
        <v>100</v>
      </c>
      <c r="AN110" s="7">
        <v>0</v>
      </c>
      <c r="AO110" s="7">
        <v>0.28000000000000003</v>
      </c>
      <c r="AP110" s="7">
        <v>0</v>
      </c>
      <c r="AQ110" s="7">
        <v>0.82</v>
      </c>
      <c r="AR110" s="7">
        <v>0.16</v>
      </c>
      <c r="AS110" s="4" t="s">
        <v>303</v>
      </c>
      <c r="AT110" s="7">
        <v>0</v>
      </c>
      <c r="AU110" s="4" t="s">
        <v>369</v>
      </c>
      <c r="AV110" s="4" t="s">
        <v>305</v>
      </c>
    </row>
    <row r="111" spans="1:49" s="4" customFormat="1" x14ac:dyDescent="0.25">
      <c r="A111" s="4" t="s">
        <v>11201</v>
      </c>
      <c r="B111" s="4" t="s">
        <v>293</v>
      </c>
      <c r="C111" s="4" t="s">
        <v>370</v>
      </c>
      <c r="D111" s="4" t="s">
        <v>371</v>
      </c>
      <c r="F111" s="4" t="s">
        <v>11462</v>
      </c>
      <c r="G111" s="4" t="s">
        <v>11463</v>
      </c>
      <c r="I111" s="4" t="s">
        <v>296</v>
      </c>
      <c r="J111" s="4" t="s">
        <v>297</v>
      </c>
      <c r="K111" s="4" t="s">
        <v>368</v>
      </c>
      <c r="L111" s="4" t="s">
        <v>299</v>
      </c>
      <c r="M111" s="4" t="s">
        <v>300</v>
      </c>
      <c r="N111" s="4" t="s">
        <v>11198</v>
      </c>
      <c r="O111" s="5">
        <v>48.131999999999998</v>
      </c>
      <c r="P111" s="6">
        <v>1</v>
      </c>
      <c r="Q111" s="7">
        <v>9.25</v>
      </c>
      <c r="R111" s="7">
        <v>12</v>
      </c>
      <c r="S111" s="4" t="s">
        <v>301</v>
      </c>
      <c r="T111" s="4" t="s">
        <v>302</v>
      </c>
      <c r="U111" s="5">
        <v>61.12</v>
      </c>
      <c r="V111" s="6">
        <v>0.45</v>
      </c>
      <c r="W111" s="7">
        <v>1.5</v>
      </c>
      <c r="X111" s="5">
        <v>22.114000000000001</v>
      </c>
      <c r="Y111" s="4" t="s">
        <v>292</v>
      </c>
      <c r="Z111" s="6">
        <v>1</v>
      </c>
      <c r="AA111" s="6">
        <v>1</v>
      </c>
      <c r="AB111" s="5">
        <v>22.114000000000001</v>
      </c>
      <c r="AC111" s="6">
        <v>1</v>
      </c>
      <c r="AD111" s="6">
        <v>1</v>
      </c>
      <c r="AE111" s="5">
        <v>22.114000000000001</v>
      </c>
      <c r="AF111" s="7">
        <v>10</v>
      </c>
      <c r="AG111" s="7">
        <v>12</v>
      </c>
      <c r="AH111" s="7">
        <v>9.25</v>
      </c>
      <c r="AI111" s="7">
        <v>0</v>
      </c>
      <c r="AJ111" s="7">
        <v>0</v>
      </c>
      <c r="AK111" s="8">
        <v>44115.50953703704</v>
      </c>
      <c r="AL111" s="7">
        <v>2.75</v>
      </c>
      <c r="AM111" s="7">
        <v>100</v>
      </c>
      <c r="AN111" s="7">
        <v>0</v>
      </c>
      <c r="AO111" s="7">
        <v>3.3</v>
      </c>
      <c r="AP111" s="7">
        <v>2.54</v>
      </c>
      <c r="AQ111" s="7">
        <v>0</v>
      </c>
      <c r="AR111" s="7">
        <v>0.45</v>
      </c>
      <c r="AS111" s="4" t="s">
        <v>303</v>
      </c>
      <c r="AT111" s="7">
        <v>0</v>
      </c>
      <c r="AU111" s="4" t="s">
        <v>372</v>
      </c>
      <c r="AV111" s="4" t="s">
        <v>305</v>
      </c>
      <c r="AW111" s="4" t="s">
        <v>292</v>
      </c>
    </row>
    <row r="112" spans="1:49" s="4" customFormat="1" x14ac:dyDescent="0.25">
      <c r="A112" s="4" t="s">
        <v>11199</v>
      </c>
      <c r="B112" s="4" t="s">
        <v>293</v>
      </c>
      <c r="C112" s="4" t="s">
        <v>370</v>
      </c>
      <c r="D112" s="4" t="s">
        <v>371</v>
      </c>
      <c r="F112" s="4" t="s">
        <v>11462</v>
      </c>
      <c r="G112" s="4" t="s">
        <v>11463</v>
      </c>
      <c r="I112" s="4" t="s">
        <v>296</v>
      </c>
      <c r="J112" s="4" t="s">
        <v>297</v>
      </c>
      <c r="K112" s="4" t="s">
        <v>368</v>
      </c>
      <c r="L112" s="4" t="s">
        <v>299</v>
      </c>
      <c r="M112" s="4" t="s">
        <v>300</v>
      </c>
      <c r="N112" s="4" t="s">
        <v>11198</v>
      </c>
      <c r="O112" s="5">
        <v>48.131</v>
      </c>
      <c r="P112" s="6">
        <v>1</v>
      </c>
      <c r="Q112" s="7">
        <v>9.25</v>
      </c>
      <c r="R112" s="7">
        <v>7</v>
      </c>
      <c r="S112" s="4" t="s">
        <v>301</v>
      </c>
      <c r="T112" s="4" t="s">
        <v>302</v>
      </c>
      <c r="U112" s="5">
        <v>57.47</v>
      </c>
      <c r="V112" s="6">
        <v>0.45</v>
      </c>
      <c r="W112" s="7">
        <v>2</v>
      </c>
      <c r="X112" s="5">
        <v>22.222000000000001</v>
      </c>
      <c r="Y112" s="4" t="s">
        <v>292</v>
      </c>
      <c r="Z112" s="6">
        <v>1</v>
      </c>
      <c r="AA112" s="6">
        <v>1</v>
      </c>
      <c r="AB112" s="5">
        <v>22.222000000000001</v>
      </c>
      <c r="AC112" s="6">
        <v>1</v>
      </c>
      <c r="AD112" s="6">
        <v>1</v>
      </c>
      <c r="AE112" s="5">
        <v>22.222000000000001</v>
      </c>
      <c r="AF112" s="7">
        <v>10</v>
      </c>
      <c r="AG112" s="7">
        <v>7</v>
      </c>
      <c r="AH112" s="7">
        <v>9.25</v>
      </c>
      <c r="AI112" s="7">
        <v>0</v>
      </c>
      <c r="AJ112" s="7">
        <v>0</v>
      </c>
      <c r="AK112" s="8">
        <v>44115.510995370372</v>
      </c>
      <c r="AL112" s="7">
        <v>2.59</v>
      </c>
      <c r="AM112" s="7">
        <v>100</v>
      </c>
      <c r="AN112" s="7">
        <v>0</v>
      </c>
      <c r="AO112" s="7">
        <v>1.81</v>
      </c>
      <c r="AP112" s="7">
        <v>2.4</v>
      </c>
      <c r="AQ112" s="7">
        <v>0</v>
      </c>
      <c r="AR112" s="7">
        <v>0.56999999999999995</v>
      </c>
      <c r="AS112" s="4" t="s">
        <v>303</v>
      </c>
      <c r="AT112" s="7">
        <v>0</v>
      </c>
      <c r="AU112" s="4" t="s">
        <v>372</v>
      </c>
      <c r="AV112" s="4" t="s">
        <v>305</v>
      </c>
      <c r="AW112" s="4" t="s">
        <v>292</v>
      </c>
    </row>
    <row r="113" spans="1:49" s="4" customFormat="1" x14ac:dyDescent="0.25">
      <c r="A113" s="4" t="s">
        <v>395</v>
      </c>
      <c r="B113" s="4" t="s">
        <v>293</v>
      </c>
      <c r="C113" s="4" t="s">
        <v>370</v>
      </c>
      <c r="D113" s="4" t="s">
        <v>371</v>
      </c>
      <c r="F113" s="4" t="s">
        <v>11462</v>
      </c>
      <c r="G113" s="4" t="s">
        <v>11463</v>
      </c>
      <c r="I113" s="4" t="s">
        <v>296</v>
      </c>
      <c r="J113" s="4" t="s">
        <v>297</v>
      </c>
      <c r="K113" s="4" t="s">
        <v>368</v>
      </c>
      <c r="L113" s="4" t="s">
        <v>299</v>
      </c>
      <c r="M113" s="4" t="s">
        <v>300</v>
      </c>
      <c r="N113" s="4" t="s">
        <v>447</v>
      </c>
      <c r="O113" s="5">
        <v>48.131</v>
      </c>
      <c r="P113" s="6">
        <v>1</v>
      </c>
      <c r="Q113" s="7">
        <v>9.25</v>
      </c>
      <c r="R113" s="7">
        <v>7</v>
      </c>
      <c r="S113" s="4" t="s">
        <v>301</v>
      </c>
      <c r="T113" s="4" t="s">
        <v>302</v>
      </c>
      <c r="U113" s="5">
        <v>57.47</v>
      </c>
      <c r="V113" s="6">
        <v>0.45</v>
      </c>
      <c r="W113" s="7">
        <v>4</v>
      </c>
      <c r="X113" s="5">
        <v>30.282</v>
      </c>
      <c r="Y113" s="4" t="s">
        <v>292</v>
      </c>
      <c r="Z113" s="6">
        <v>1</v>
      </c>
      <c r="AA113" s="6">
        <v>0.75265800000000005</v>
      </c>
      <c r="AB113" s="5">
        <v>30.282</v>
      </c>
      <c r="AC113" s="6">
        <v>1</v>
      </c>
      <c r="AD113" s="6">
        <v>0.75265800000000005</v>
      </c>
      <c r="AE113" s="5">
        <v>30.282</v>
      </c>
      <c r="AF113" s="7">
        <v>10</v>
      </c>
      <c r="AG113" s="7">
        <v>7</v>
      </c>
      <c r="AH113" s="7">
        <v>9.25</v>
      </c>
      <c r="AI113" s="7">
        <v>17</v>
      </c>
      <c r="AJ113" s="7">
        <v>0</v>
      </c>
      <c r="AK113" s="8">
        <v>44115.510995370372</v>
      </c>
      <c r="AL113" s="7">
        <v>2.59</v>
      </c>
      <c r="AM113" s="7">
        <v>100</v>
      </c>
      <c r="AN113" s="7">
        <v>0</v>
      </c>
      <c r="AO113" s="7">
        <v>1.81</v>
      </c>
      <c r="AP113" s="7">
        <v>2.4</v>
      </c>
      <c r="AQ113" s="7">
        <v>5.46</v>
      </c>
      <c r="AR113" s="7">
        <v>1.36</v>
      </c>
      <c r="AS113" s="4" t="s">
        <v>303</v>
      </c>
      <c r="AT113" s="7">
        <v>0</v>
      </c>
      <c r="AU113" s="4" t="s">
        <v>372</v>
      </c>
      <c r="AV113" s="4" t="s">
        <v>305</v>
      </c>
      <c r="AW113" s="4" t="s">
        <v>292</v>
      </c>
    </row>
    <row r="114" spans="1:49" s="4" customFormat="1" x14ac:dyDescent="0.25">
      <c r="A114" s="4" t="s">
        <v>11200</v>
      </c>
      <c r="B114" s="4" t="s">
        <v>293</v>
      </c>
      <c r="C114" s="4" t="s">
        <v>370</v>
      </c>
      <c r="D114" s="4" t="s">
        <v>371</v>
      </c>
      <c r="F114" s="4" t="s">
        <v>11462</v>
      </c>
      <c r="G114" s="4" t="s">
        <v>11463</v>
      </c>
      <c r="I114" s="4" t="s">
        <v>296</v>
      </c>
      <c r="J114" s="4" t="s">
        <v>297</v>
      </c>
      <c r="K114" s="4" t="s">
        <v>368</v>
      </c>
      <c r="L114" s="4" t="s">
        <v>299</v>
      </c>
      <c r="M114" s="4" t="s">
        <v>300</v>
      </c>
      <c r="N114" s="4" t="s">
        <v>11198</v>
      </c>
      <c r="O114" s="5">
        <v>48.131</v>
      </c>
      <c r="P114" s="6">
        <v>1</v>
      </c>
      <c r="Q114" s="7">
        <v>9.25</v>
      </c>
      <c r="R114" s="7">
        <v>18</v>
      </c>
      <c r="S114" s="4" t="s">
        <v>301</v>
      </c>
      <c r="T114" s="4" t="s">
        <v>302</v>
      </c>
      <c r="U114" s="5">
        <v>66.159000000000006</v>
      </c>
      <c r="V114" s="6">
        <v>0.45</v>
      </c>
      <c r="W114" s="7">
        <v>1.5</v>
      </c>
      <c r="X114" s="5">
        <v>22.152000000000001</v>
      </c>
      <c r="Y114" s="4" t="s">
        <v>292</v>
      </c>
      <c r="Z114" s="6">
        <v>1</v>
      </c>
      <c r="AA114" s="6">
        <v>1</v>
      </c>
      <c r="AB114" s="5">
        <v>22.152000000000001</v>
      </c>
      <c r="AC114" s="6">
        <v>1</v>
      </c>
      <c r="AD114" s="6">
        <v>1</v>
      </c>
      <c r="AE114" s="5">
        <v>22.152000000000001</v>
      </c>
      <c r="AF114" s="7">
        <v>10</v>
      </c>
      <c r="AG114" s="7">
        <v>18</v>
      </c>
      <c r="AH114" s="7">
        <v>9.25</v>
      </c>
      <c r="AI114" s="7">
        <v>0</v>
      </c>
      <c r="AJ114" s="7">
        <v>0</v>
      </c>
      <c r="AK114" s="8">
        <v>44115.505023148151</v>
      </c>
      <c r="AL114" s="7">
        <v>2.98</v>
      </c>
      <c r="AM114" s="7">
        <v>100</v>
      </c>
      <c r="AN114" s="7">
        <v>0</v>
      </c>
      <c r="AO114" s="7">
        <v>5.36</v>
      </c>
      <c r="AP114" s="7">
        <v>2.75</v>
      </c>
      <c r="AQ114" s="7">
        <v>0</v>
      </c>
      <c r="AR114" s="7">
        <v>0.49</v>
      </c>
      <c r="AS114" s="4" t="s">
        <v>303</v>
      </c>
      <c r="AT114" s="7">
        <v>0</v>
      </c>
      <c r="AU114" s="4" t="s">
        <v>372</v>
      </c>
      <c r="AV114" s="4" t="s">
        <v>305</v>
      </c>
      <c r="AW114" s="4" t="s">
        <v>292</v>
      </c>
    </row>
    <row r="115" spans="1:49" s="4" customFormat="1" x14ac:dyDescent="0.25">
      <c r="A115" s="4" t="s">
        <v>11207</v>
      </c>
      <c r="B115" s="4" t="s">
        <v>293</v>
      </c>
      <c r="C115" s="4" t="s">
        <v>370</v>
      </c>
      <c r="D115" s="4" t="s">
        <v>371</v>
      </c>
      <c r="F115" s="4" t="s">
        <v>11236</v>
      </c>
      <c r="G115" s="4" t="s">
        <v>11237</v>
      </c>
      <c r="I115" s="4" t="s">
        <v>296</v>
      </c>
      <c r="J115" s="4" t="s">
        <v>297</v>
      </c>
      <c r="K115" s="4" t="s">
        <v>368</v>
      </c>
      <c r="L115" s="4" t="s">
        <v>299</v>
      </c>
      <c r="M115" s="4" t="s">
        <v>300</v>
      </c>
      <c r="N115" s="4" t="s">
        <v>11238</v>
      </c>
      <c r="O115" s="5">
        <v>22.15</v>
      </c>
      <c r="P115" s="6">
        <v>1</v>
      </c>
      <c r="Q115" s="7">
        <v>9.25</v>
      </c>
      <c r="R115" s="7">
        <v>7</v>
      </c>
      <c r="S115" s="4" t="s">
        <v>301</v>
      </c>
      <c r="T115" s="4" t="s">
        <v>302</v>
      </c>
      <c r="U115" s="5">
        <v>26.448</v>
      </c>
      <c r="V115" s="6">
        <v>0.25</v>
      </c>
      <c r="W115" s="7">
        <v>3</v>
      </c>
      <c r="X115" s="5">
        <v>8.9019999999999992</v>
      </c>
      <c r="Y115" s="4" t="s">
        <v>292</v>
      </c>
      <c r="Z115" s="6">
        <v>4</v>
      </c>
      <c r="AA115" s="6">
        <v>1</v>
      </c>
      <c r="AB115" s="5">
        <v>35.607999999999997</v>
      </c>
      <c r="AC115" s="6">
        <v>1</v>
      </c>
      <c r="AD115" s="6">
        <v>1</v>
      </c>
      <c r="AE115" s="5">
        <v>35.607999999999997</v>
      </c>
      <c r="AF115" s="5">
        <v>35.607999999999997</v>
      </c>
      <c r="AG115" s="7">
        <v>7</v>
      </c>
      <c r="AH115" s="7">
        <v>0</v>
      </c>
      <c r="AI115" s="7">
        <v>17</v>
      </c>
      <c r="AJ115" s="7">
        <v>0</v>
      </c>
      <c r="AK115" s="8">
        <v>44115.527511574073</v>
      </c>
      <c r="AL115" s="7">
        <v>0.66</v>
      </c>
      <c r="AM115" s="7">
        <v>100</v>
      </c>
      <c r="AN115" s="7">
        <v>0</v>
      </c>
      <c r="AO115" s="7">
        <v>0.46</v>
      </c>
      <c r="AP115" s="7">
        <v>0</v>
      </c>
      <c r="AQ115" s="7">
        <v>1.37</v>
      </c>
      <c r="AR115" s="7">
        <v>0.26</v>
      </c>
      <c r="AS115" s="4" t="s">
        <v>303</v>
      </c>
      <c r="AT115" s="7">
        <v>0</v>
      </c>
      <c r="AU115" s="4" t="s">
        <v>372</v>
      </c>
      <c r="AV115" s="4" t="s">
        <v>305</v>
      </c>
    </row>
    <row r="116" spans="1:49" s="4" customFormat="1" x14ac:dyDescent="0.25">
      <c r="A116" s="4" t="s">
        <v>11201</v>
      </c>
      <c r="B116" s="4" t="s">
        <v>293</v>
      </c>
      <c r="C116" s="4" t="s">
        <v>373</v>
      </c>
      <c r="D116" s="4" t="s">
        <v>374</v>
      </c>
      <c r="F116" s="4" t="s">
        <v>11462</v>
      </c>
      <c r="G116" s="4" t="s">
        <v>11463</v>
      </c>
      <c r="I116" s="4" t="s">
        <v>296</v>
      </c>
      <c r="J116" s="4" t="s">
        <v>297</v>
      </c>
      <c r="K116" s="4" t="s">
        <v>375</v>
      </c>
      <c r="L116" s="4" t="s">
        <v>299</v>
      </c>
      <c r="M116" s="4" t="s">
        <v>300</v>
      </c>
      <c r="N116" s="4" t="s">
        <v>11198</v>
      </c>
      <c r="O116" s="5">
        <v>27.896000000000001</v>
      </c>
      <c r="P116" s="6">
        <v>1</v>
      </c>
      <c r="Q116" s="7">
        <v>9.25</v>
      </c>
      <c r="R116" s="7">
        <v>12</v>
      </c>
      <c r="S116" s="4" t="s">
        <v>301</v>
      </c>
      <c r="T116" s="4" t="s">
        <v>302</v>
      </c>
      <c r="U116" s="5">
        <v>35.423000000000002</v>
      </c>
      <c r="V116" s="6">
        <v>0.45</v>
      </c>
      <c r="W116" s="7">
        <v>1.5</v>
      </c>
      <c r="X116" s="5">
        <v>12.82</v>
      </c>
      <c r="Y116" s="4" t="s">
        <v>292</v>
      </c>
      <c r="Z116" s="6">
        <v>1</v>
      </c>
      <c r="AA116" s="6">
        <v>1</v>
      </c>
      <c r="AB116" s="5">
        <v>12.82</v>
      </c>
      <c r="AC116" s="6">
        <v>1</v>
      </c>
      <c r="AD116" s="6">
        <v>1</v>
      </c>
      <c r="AE116" s="5">
        <v>12.82</v>
      </c>
      <c r="AF116" s="7">
        <v>10</v>
      </c>
      <c r="AG116" s="7">
        <v>12</v>
      </c>
      <c r="AH116" s="7">
        <v>9.25</v>
      </c>
      <c r="AI116" s="7">
        <v>0</v>
      </c>
      <c r="AJ116" s="7">
        <v>0</v>
      </c>
      <c r="AK116" s="8">
        <v>44115.509583333333</v>
      </c>
      <c r="AL116" s="7">
        <v>1.59</v>
      </c>
      <c r="AM116" s="7">
        <v>100</v>
      </c>
      <c r="AN116" s="7">
        <v>0</v>
      </c>
      <c r="AO116" s="7">
        <v>1.91</v>
      </c>
      <c r="AP116" s="7">
        <v>1.47</v>
      </c>
      <c r="AQ116" s="7">
        <v>0</v>
      </c>
      <c r="AR116" s="7">
        <v>0.26</v>
      </c>
      <c r="AS116" s="4" t="s">
        <v>303</v>
      </c>
      <c r="AT116" s="7">
        <v>0</v>
      </c>
      <c r="AU116" s="4" t="s">
        <v>376</v>
      </c>
      <c r="AV116" s="4" t="s">
        <v>305</v>
      </c>
      <c r="AW116" s="4" t="s">
        <v>292</v>
      </c>
    </row>
    <row r="117" spans="1:49" s="4" customFormat="1" x14ac:dyDescent="0.25">
      <c r="A117" s="4" t="s">
        <v>11199</v>
      </c>
      <c r="B117" s="4" t="s">
        <v>293</v>
      </c>
      <c r="C117" s="4" t="s">
        <v>373</v>
      </c>
      <c r="D117" s="4" t="s">
        <v>374</v>
      </c>
      <c r="F117" s="4" t="s">
        <v>11462</v>
      </c>
      <c r="G117" s="4" t="s">
        <v>11463</v>
      </c>
      <c r="I117" s="4" t="s">
        <v>296</v>
      </c>
      <c r="J117" s="4" t="s">
        <v>297</v>
      </c>
      <c r="K117" s="4" t="s">
        <v>375</v>
      </c>
      <c r="L117" s="4" t="s">
        <v>299</v>
      </c>
      <c r="M117" s="4" t="s">
        <v>300</v>
      </c>
      <c r="N117" s="4" t="s">
        <v>11198</v>
      </c>
      <c r="O117" s="5">
        <v>27.9</v>
      </c>
      <c r="P117" s="6">
        <v>1</v>
      </c>
      <c r="Q117" s="7">
        <v>9.25</v>
      </c>
      <c r="R117" s="7">
        <v>7</v>
      </c>
      <c r="S117" s="4" t="s">
        <v>301</v>
      </c>
      <c r="T117" s="4" t="s">
        <v>302</v>
      </c>
      <c r="U117" s="5">
        <v>33.313000000000002</v>
      </c>
      <c r="V117" s="6">
        <v>0.45</v>
      </c>
      <c r="W117" s="7">
        <v>2</v>
      </c>
      <c r="X117" s="5">
        <v>12.881</v>
      </c>
      <c r="Y117" s="4" t="s">
        <v>292</v>
      </c>
      <c r="Z117" s="6">
        <v>1</v>
      </c>
      <c r="AA117" s="6">
        <v>1</v>
      </c>
      <c r="AB117" s="5">
        <v>12.881</v>
      </c>
      <c r="AC117" s="6">
        <v>1</v>
      </c>
      <c r="AD117" s="6">
        <v>1</v>
      </c>
      <c r="AE117" s="5">
        <v>12.881</v>
      </c>
      <c r="AF117" s="7">
        <v>10</v>
      </c>
      <c r="AG117" s="7">
        <v>7</v>
      </c>
      <c r="AH117" s="7">
        <v>9.25</v>
      </c>
      <c r="AI117" s="7">
        <v>0</v>
      </c>
      <c r="AJ117" s="7">
        <v>0</v>
      </c>
      <c r="AK117" s="8">
        <v>44115.511076388888</v>
      </c>
      <c r="AL117" s="7">
        <v>1.5</v>
      </c>
      <c r="AM117" s="7">
        <v>100</v>
      </c>
      <c r="AN117" s="7">
        <v>0</v>
      </c>
      <c r="AO117" s="7">
        <v>1.05</v>
      </c>
      <c r="AP117" s="7">
        <v>1.39</v>
      </c>
      <c r="AQ117" s="7">
        <v>0</v>
      </c>
      <c r="AR117" s="7">
        <v>0.33</v>
      </c>
      <c r="AS117" s="4" t="s">
        <v>303</v>
      </c>
      <c r="AT117" s="7">
        <v>0</v>
      </c>
      <c r="AU117" s="4" t="s">
        <v>376</v>
      </c>
      <c r="AV117" s="4" t="s">
        <v>305</v>
      </c>
      <c r="AW117" s="4" t="s">
        <v>292</v>
      </c>
    </row>
    <row r="118" spans="1:49" s="4" customFormat="1" x14ac:dyDescent="0.25">
      <c r="A118" s="4" t="s">
        <v>395</v>
      </c>
      <c r="B118" s="4" t="s">
        <v>293</v>
      </c>
      <c r="C118" s="4" t="s">
        <v>373</v>
      </c>
      <c r="D118" s="4" t="s">
        <v>374</v>
      </c>
      <c r="F118" s="4" t="s">
        <v>11462</v>
      </c>
      <c r="G118" s="4" t="s">
        <v>11463</v>
      </c>
      <c r="I118" s="4" t="s">
        <v>296</v>
      </c>
      <c r="J118" s="4" t="s">
        <v>297</v>
      </c>
      <c r="K118" s="4" t="s">
        <v>375</v>
      </c>
      <c r="L118" s="4" t="s">
        <v>299</v>
      </c>
      <c r="M118" s="4" t="s">
        <v>300</v>
      </c>
      <c r="N118" s="4" t="s">
        <v>447</v>
      </c>
      <c r="O118" s="5">
        <v>27.9</v>
      </c>
      <c r="P118" s="6">
        <v>1</v>
      </c>
      <c r="Q118" s="7">
        <v>9.25</v>
      </c>
      <c r="R118" s="7">
        <v>7</v>
      </c>
      <c r="S118" s="4" t="s">
        <v>301</v>
      </c>
      <c r="T118" s="4" t="s">
        <v>302</v>
      </c>
      <c r="U118" s="5">
        <v>33.313000000000002</v>
      </c>
      <c r="V118" s="6">
        <v>0.45</v>
      </c>
      <c r="W118" s="7">
        <v>4</v>
      </c>
      <c r="X118" s="5">
        <v>17.561</v>
      </c>
      <c r="Y118" s="4" t="s">
        <v>292</v>
      </c>
      <c r="Z118" s="6">
        <v>1</v>
      </c>
      <c r="AA118" s="6">
        <v>0.75229199999999996</v>
      </c>
      <c r="AB118" s="5">
        <v>17.561</v>
      </c>
      <c r="AC118" s="6">
        <v>1</v>
      </c>
      <c r="AD118" s="6">
        <v>0.75229199999999996</v>
      </c>
      <c r="AE118" s="5">
        <v>17.561</v>
      </c>
      <c r="AF118" s="7">
        <v>10</v>
      </c>
      <c r="AG118" s="7">
        <v>7</v>
      </c>
      <c r="AH118" s="7">
        <v>9.25</v>
      </c>
      <c r="AI118" s="7">
        <v>17</v>
      </c>
      <c r="AJ118" s="7">
        <v>0</v>
      </c>
      <c r="AK118" s="8">
        <v>44115.511076388888</v>
      </c>
      <c r="AL118" s="7">
        <v>1.5</v>
      </c>
      <c r="AM118" s="7">
        <v>100</v>
      </c>
      <c r="AN118" s="7">
        <v>0</v>
      </c>
      <c r="AO118" s="7">
        <v>1.05</v>
      </c>
      <c r="AP118" s="7">
        <v>1.39</v>
      </c>
      <c r="AQ118" s="7">
        <v>3.17</v>
      </c>
      <c r="AR118" s="7">
        <v>0.79</v>
      </c>
      <c r="AS118" s="4" t="s">
        <v>303</v>
      </c>
      <c r="AT118" s="7">
        <v>0</v>
      </c>
      <c r="AU118" s="4" t="s">
        <v>376</v>
      </c>
      <c r="AV118" s="4" t="s">
        <v>305</v>
      </c>
      <c r="AW118" s="4" t="s">
        <v>292</v>
      </c>
    </row>
    <row r="119" spans="1:49" s="4" customFormat="1" x14ac:dyDescent="0.25">
      <c r="A119" s="4" t="s">
        <v>11200</v>
      </c>
      <c r="B119" s="4" t="s">
        <v>293</v>
      </c>
      <c r="C119" s="4" t="s">
        <v>373</v>
      </c>
      <c r="D119" s="4" t="s">
        <v>374</v>
      </c>
      <c r="F119" s="4" t="s">
        <v>11462</v>
      </c>
      <c r="G119" s="4" t="s">
        <v>11463</v>
      </c>
      <c r="I119" s="4" t="s">
        <v>296</v>
      </c>
      <c r="J119" s="4" t="s">
        <v>297</v>
      </c>
      <c r="K119" s="4" t="s">
        <v>375</v>
      </c>
      <c r="L119" s="4" t="s">
        <v>299</v>
      </c>
      <c r="M119" s="4" t="s">
        <v>300</v>
      </c>
      <c r="N119" s="4" t="s">
        <v>11198</v>
      </c>
      <c r="O119" s="5">
        <v>27.9</v>
      </c>
      <c r="P119" s="6">
        <v>1</v>
      </c>
      <c r="Q119" s="7">
        <v>9.25</v>
      </c>
      <c r="R119" s="7">
        <v>18</v>
      </c>
      <c r="S119" s="4" t="s">
        <v>301</v>
      </c>
      <c r="T119" s="4" t="s">
        <v>302</v>
      </c>
      <c r="U119" s="5">
        <v>38.350999999999999</v>
      </c>
      <c r="V119" s="6">
        <v>0.45</v>
      </c>
      <c r="W119" s="7">
        <v>1.5</v>
      </c>
      <c r="X119" s="5">
        <v>12.837999999999999</v>
      </c>
      <c r="Y119" s="4" t="s">
        <v>292</v>
      </c>
      <c r="Z119" s="6">
        <v>1</v>
      </c>
      <c r="AA119" s="6">
        <v>1</v>
      </c>
      <c r="AB119" s="5">
        <v>12.837999999999999</v>
      </c>
      <c r="AC119" s="6">
        <v>1</v>
      </c>
      <c r="AD119" s="6">
        <v>1</v>
      </c>
      <c r="AE119" s="5">
        <v>12.837999999999999</v>
      </c>
      <c r="AF119" s="7">
        <v>10</v>
      </c>
      <c r="AG119" s="7">
        <v>18</v>
      </c>
      <c r="AH119" s="7">
        <v>9.25</v>
      </c>
      <c r="AI119" s="7">
        <v>0</v>
      </c>
      <c r="AJ119" s="7">
        <v>0</v>
      </c>
      <c r="AK119" s="8">
        <v>44115.505057870374</v>
      </c>
      <c r="AL119" s="7">
        <v>1.73</v>
      </c>
      <c r="AM119" s="7">
        <v>100</v>
      </c>
      <c r="AN119" s="7">
        <v>0</v>
      </c>
      <c r="AO119" s="7">
        <v>3.11</v>
      </c>
      <c r="AP119" s="7">
        <v>1.59</v>
      </c>
      <c r="AQ119" s="7">
        <v>0</v>
      </c>
      <c r="AR119" s="7">
        <v>0.28000000000000003</v>
      </c>
      <c r="AS119" s="4" t="s">
        <v>303</v>
      </c>
      <c r="AT119" s="7">
        <v>0</v>
      </c>
      <c r="AU119" s="4" t="s">
        <v>376</v>
      </c>
      <c r="AV119" s="4" t="s">
        <v>305</v>
      </c>
      <c r="AW119" s="4" t="s">
        <v>292</v>
      </c>
    </row>
    <row r="120" spans="1:49" s="4" customFormat="1" x14ac:dyDescent="0.25">
      <c r="A120" s="4" t="s">
        <v>11207</v>
      </c>
      <c r="B120" s="4" t="s">
        <v>293</v>
      </c>
      <c r="C120" s="4" t="s">
        <v>373</v>
      </c>
      <c r="D120" s="4" t="s">
        <v>374</v>
      </c>
      <c r="F120" s="4" t="s">
        <v>11236</v>
      </c>
      <c r="G120" s="4" t="s">
        <v>11237</v>
      </c>
      <c r="I120" s="4" t="s">
        <v>296</v>
      </c>
      <c r="J120" s="4" t="s">
        <v>297</v>
      </c>
      <c r="K120" s="4" t="s">
        <v>375</v>
      </c>
      <c r="L120" s="4" t="s">
        <v>299</v>
      </c>
      <c r="M120" s="4" t="s">
        <v>300</v>
      </c>
      <c r="N120" s="4" t="s">
        <v>11238</v>
      </c>
      <c r="O120" s="5">
        <v>12.84</v>
      </c>
      <c r="P120" s="6">
        <v>1</v>
      </c>
      <c r="Q120" s="7">
        <v>9.25</v>
      </c>
      <c r="R120" s="7">
        <v>7</v>
      </c>
      <c r="S120" s="4" t="s">
        <v>301</v>
      </c>
      <c r="T120" s="4" t="s">
        <v>302</v>
      </c>
      <c r="U120" s="5">
        <v>15.331</v>
      </c>
      <c r="V120" s="6">
        <v>0.25</v>
      </c>
      <c r="W120" s="7">
        <v>3</v>
      </c>
      <c r="X120" s="5">
        <v>5.1529999999999996</v>
      </c>
      <c r="Y120" s="4" t="s">
        <v>292</v>
      </c>
      <c r="Z120" s="6">
        <v>4</v>
      </c>
      <c r="AA120" s="6">
        <v>1</v>
      </c>
      <c r="AB120" s="5">
        <v>20.611999999999998</v>
      </c>
      <c r="AC120" s="6">
        <v>1</v>
      </c>
      <c r="AD120" s="6">
        <v>1</v>
      </c>
      <c r="AE120" s="5">
        <v>20.611999999999998</v>
      </c>
      <c r="AF120" s="5">
        <v>20.611999999999998</v>
      </c>
      <c r="AG120" s="7">
        <v>7</v>
      </c>
      <c r="AH120" s="7">
        <v>0</v>
      </c>
      <c r="AI120" s="7">
        <v>17</v>
      </c>
      <c r="AJ120" s="7">
        <v>0</v>
      </c>
      <c r="AK120" s="8">
        <v>44115.527557870373</v>
      </c>
      <c r="AL120" s="7">
        <v>0.38</v>
      </c>
      <c r="AM120" s="7">
        <v>100</v>
      </c>
      <c r="AN120" s="7">
        <v>0</v>
      </c>
      <c r="AO120" s="7">
        <v>0.27</v>
      </c>
      <c r="AP120" s="7">
        <v>0</v>
      </c>
      <c r="AQ120" s="7">
        <v>0.79</v>
      </c>
      <c r="AR120" s="7">
        <v>0.15</v>
      </c>
      <c r="AS120" s="4" t="s">
        <v>303</v>
      </c>
      <c r="AT120" s="7">
        <v>0</v>
      </c>
      <c r="AU120" s="4" t="s">
        <v>376</v>
      </c>
      <c r="AV120" s="4" t="s">
        <v>305</v>
      </c>
    </row>
    <row r="121" spans="1:49" s="4" customFormat="1" x14ac:dyDescent="0.25">
      <c r="A121" s="4" t="s">
        <v>11201</v>
      </c>
      <c r="B121" s="4" t="s">
        <v>293</v>
      </c>
      <c r="C121" s="4" t="s">
        <v>377</v>
      </c>
      <c r="D121" s="4" t="s">
        <v>378</v>
      </c>
      <c r="F121" s="4" t="s">
        <v>11462</v>
      </c>
      <c r="G121" s="4" t="s">
        <v>11463</v>
      </c>
      <c r="I121" s="4" t="s">
        <v>296</v>
      </c>
      <c r="J121" s="4" t="s">
        <v>297</v>
      </c>
      <c r="K121" s="4" t="s">
        <v>319</v>
      </c>
      <c r="L121" s="4" t="s">
        <v>299</v>
      </c>
      <c r="M121" s="4" t="s">
        <v>300</v>
      </c>
      <c r="N121" s="4" t="s">
        <v>11198</v>
      </c>
      <c r="O121" s="5">
        <v>46.042999999999999</v>
      </c>
      <c r="P121" s="6">
        <v>1</v>
      </c>
      <c r="Q121" s="7">
        <v>9.25</v>
      </c>
      <c r="R121" s="7">
        <v>12</v>
      </c>
      <c r="S121" s="4" t="s">
        <v>301</v>
      </c>
      <c r="T121" s="4" t="s">
        <v>302</v>
      </c>
      <c r="U121" s="5">
        <v>58.466999999999999</v>
      </c>
      <c r="V121" s="6">
        <v>0.45</v>
      </c>
      <c r="W121" s="7">
        <v>1.5</v>
      </c>
      <c r="X121" s="5">
        <v>21.15</v>
      </c>
      <c r="Y121" s="4" t="s">
        <v>292</v>
      </c>
      <c r="Z121" s="6">
        <v>1</v>
      </c>
      <c r="AA121" s="6">
        <v>1</v>
      </c>
      <c r="AB121" s="5">
        <v>21.15</v>
      </c>
      <c r="AC121" s="6">
        <v>1</v>
      </c>
      <c r="AD121" s="6">
        <v>1</v>
      </c>
      <c r="AE121" s="5">
        <v>21.15</v>
      </c>
      <c r="AF121" s="7">
        <v>10</v>
      </c>
      <c r="AG121" s="7">
        <v>12</v>
      </c>
      <c r="AH121" s="7">
        <v>9.25</v>
      </c>
      <c r="AI121" s="7">
        <v>0</v>
      </c>
      <c r="AJ121" s="7">
        <v>0</v>
      </c>
      <c r="AK121" s="8">
        <v>44115.509583333333</v>
      </c>
      <c r="AL121" s="7">
        <v>2.63</v>
      </c>
      <c r="AM121" s="7">
        <v>100</v>
      </c>
      <c r="AN121" s="7">
        <v>0</v>
      </c>
      <c r="AO121" s="7">
        <v>3.16</v>
      </c>
      <c r="AP121" s="7">
        <v>2.4300000000000002</v>
      </c>
      <c r="AQ121" s="7">
        <v>0</v>
      </c>
      <c r="AR121" s="7">
        <v>0.43</v>
      </c>
      <c r="AS121" s="4" t="s">
        <v>303</v>
      </c>
      <c r="AT121" s="7">
        <v>0</v>
      </c>
      <c r="AU121" s="4" t="s">
        <v>379</v>
      </c>
      <c r="AV121" s="4" t="s">
        <v>305</v>
      </c>
      <c r="AW121" s="4" t="s">
        <v>292</v>
      </c>
    </row>
    <row r="122" spans="1:49" s="4" customFormat="1" x14ac:dyDescent="0.25">
      <c r="A122" s="4" t="s">
        <v>11199</v>
      </c>
      <c r="B122" s="4" t="s">
        <v>293</v>
      </c>
      <c r="C122" s="4" t="s">
        <v>377</v>
      </c>
      <c r="D122" s="4" t="s">
        <v>378</v>
      </c>
      <c r="F122" s="4" t="s">
        <v>11462</v>
      </c>
      <c r="G122" s="4" t="s">
        <v>11463</v>
      </c>
      <c r="I122" s="4" t="s">
        <v>296</v>
      </c>
      <c r="J122" s="4" t="s">
        <v>297</v>
      </c>
      <c r="K122" s="4" t="s">
        <v>319</v>
      </c>
      <c r="L122" s="4" t="s">
        <v>299</v>
      </c>
      <c r="M122" s="4" t="s">
        <v>300</v>
      </c>
      <c r="N122" s="4" t="s">
        <v>11198</v>
      </c>
      <c r="O122" s="5">
        <v>46.042999999999999</v>
      </c>
      <c r="P122" s="6">
        <v>1</v>
      </c>
      <c r="Q122" s="7">
        <v>9.25</v>
      </c>
      <c r="R122" s="7">
        <v>7</v>
      </c>
      <c r="S122" s="4" t="s">
        <v>301</v>
      </c>
      <c r="T122" s="4" t="s">
        <v>302</v>
      </c>
      <c r="U122" s="5">
        <v>54.976999999999997</v>
      </c>
      <c r="V122" s="6">
        <v>0.45</v>
      </c>
      <c r="W122" s="7">
        <v>2</v>
      </c>
      <c r="X122" s="5">
        <v>21.26</v>
      </c>
      <c r="Y122" s="4" t="s">
        <v>292</v>
      </c>
      <c r="Z122" s="6">
        <v>1</v>
      </c>
      <c r="AA122" s="6">
        <v>1</v>
      </c>
      <c r="AB122" s="5">
        <v>21.26</v>
      </c>
      <c r="AC122" s="6">
        <v>1</v>
      </c>
      <c r="AD122" s="6">
        <v>1</v>
      </c>
      <c r="AE122" s="5">
        <v>21.26</v>
      </c>
      <c r="AF122" s="7">
        <v>10</v>
      </c>
      <c r="AG122" s="7">
        <v>7</v>
      </c>
      <c r="AH122" s="7">
        <v>9.25</v>
      </c>
      <c r="AI122" s="7">
        <v>0</v>
      </c>
      <c r="AJ122" s="7">
        <v>0</v>
      </c>
      <c r="AK122" s="8">
        <v>44115.511076388888</v>
      </c>
      <c r="AL122" s="7">
        <v>2.4700000000000002</v>
      </c>
      <c r="AM122" s="7">
        <v>100</v>
      </c>
      <c r="AN122" s="7">
        <v>0</v>
      </c>
      <c r="AO122" s="7">
        <v>1.73</v>
      </c>
      <c r="AP122" s="7">
        <v>2.29</v>
      </c>
      <c r="AQ122" s="7">
        <v>0</v>
      </c>
      <c r="AR122" s="7">
        <v>0.54</v>
      </c>
      <c r="AS122" s="4" t="s">
        <v>303</v>
      </c>
      <c r="AT122" s="7">
        <v>0</v>
      </c>
      <c r="AU122" s="4" t="s">
        <v>379</v>
      </c>
      <c r="AV122" s="4" t="s">
        <v>305</v>
      </c>
      <c r="AW122" s="4" t="s">
        <v>292</v>
      </c>
    </row>
    <row r="123" spans="1:49" s="4" customFormat="1" x14ac:dyDescent="0.25">
      <c r="A123" s="4" t="s">
        <v>395</v>
      </c>
      <c r="B123" s="4" t="s">
        <v>293</v>
      </c>
      <c r="C123" s="4" t="s">
        <v>377</v>
      </c>
      <c r="D123" s="4" t="s">
        <v>378</v>
      </c>
      <c r="F123" s="4" t="s">
        <v>11462</v>
      </c>
      <c r="G123" s="4" t="s">
        <v>11463</v>
      </c>
      <c r="I123" s="4" t="s">
        <v>296</v>
      </c>
      <c r="J123" s="4" t="s">
        <v>297</v>
      </c>
      <c r="K123" s="4" t="s">
        <v>319</v>
      </c>
      <c r="L123" s="4" t="s">
        <v>299</v>
      </c>
      <c r="M123" s="4" t="s">
        <v>300</v>
      </c>
      <c r="N123" s="4" t="s">
        <v>447</v>
      </c>
      <c r="O123" s="5">
        <v>46.042999999999999</v>
      </c>
      <c r="P123" s="6">
        <v>1</v>
      </c>
      <c r="Q123" s="7">
        <v>9.25</v>
      </c>
      <c r="R123" s="7">
        <v>7</v>
      </c>
      <c r="S123" s="4" t="s">
        <v>301</v>
      </c>
      <c r="T123" s="4" t="s">
        <v>302</v>
      </c>
      <c r="U123" s="5">
        <v>54.976999999999997</v>
      </c>
      <c r="V123" s="6">
        <v>0.45</v>
      </c>
      <c r="W123" s="7">
        <v>4</v>
      </c>
      <c r="X123" s="5">
        <v>28.98</v>
      </c>
      <c r="Y123" s="4" t="s">
        <v>292</v>
      </c>
      <c r="Z123" s="6">
        <v>1</v>
      </c>
      <c r="AA123" s="6">
        <v>0.75258800000000003</v>
      </c>
      <c r="AB123" s="5">
        <v>28.98</v>
      </c>
      <c r="AC123" s="6">
        <v>1</v>
      </c>
      <c r="AD123" s="6">
        <v>0.75258800000000003</v>
      </c>
      <c r="AE123" s="5">
        <v>28.98</v>
      </c>
      <c r="AF123" s="7">
        <v>10</v>
      </c>
      <c r="AG123" s="7">
        <v>7</v>
      </c>
      <c r="AH123" s="7">
        <v>9.25</v>
      </c>
      <c r="AI123" s="7">
        <v>17</v>
      </c>
      <c r="AJ123" s="7">
        <v>0</v>
      </c>
      <c r="AK123" s="8">
        <v>44115.511087962965</v>
      </c>
      <c r="AL123" s="7">
        <v>2.4700000000000002</v>
      </c>
      <c r="AM123" s="7">
        <v>100</v>
      </c>
      <c r="AN123" s="7">
        <v>0</v>
      </c>
      <c r="AO123" s="7">
        <v>1.73</v>
      </c>
      <c r="AP123" s="7">
        <v>2.29</v>
      </c>
      <c r="AQ123" s="7">
        <v>5.23</v>
      </c>
      <c r="AR123" s="7">
        <v>1.3</v>
      </c>
      <c r="AS123" s="4" t="s">
        <v>303</v>
      </c>
      <c r="AT123" s="7">
        <v>0</v>
      </c>
      <c r="AU123" s="4" t="s">
        <v>379</v>
      </c>
      <c r="AV123" s="4" t="s">
        <v>305</v>
      </c>
      <c r="AW123" s="4" t="s">
        <v>292</v>
      </c>
    </row>
    <row r="124" spans="1:49" s="4" customFormat="1" x14ac:dyDescent="0.25">
      <c r="A124" s="4" t="s">
        <v>11200</v>
      </c>
      <c r="B124" s="4" t="s">
        <v>293</v>
      </c>
      <c r="C124" s="4" t="s">
        <v>377</v>
      </c>
      <c r="D124" s="4" t="s">
        <v>378</v>
      </c>
      <c r="F124" s="4" t="s">
        <v>11462</v>
      </c>
      <c r="G124" s="4" t="s">
        <v>11463</v>
      </c>
      <c r="I124" s="4" t="s">
        <v>296</v>
      </c>
      <c r="J124" s="4" t="s">
        <v>297</v>
      </c>
      <c r="K124" s="4" t="s">
        <v>319</v>
      </c>
      <c r="L124" s="4" t="s">
        <v>299</v>
      </c>
      <c r="M124" s="4" t="s">
        <v>300</v>
      </c>
      <c r="N124" s="4" t="s">
        <v>11198</v>
      </c>
      <c r="O124" s="5">
        <v>46.042999999999999</v>
      </c>
      <c r="P124" s="6">
        <v>1</v>
      </c>
      <c r="Q124" s="7">
        <v>9.25</v>
      </c>
      <c r="R124" s="7">
        <v>18</v>
      </c>
      <c r="S124" s="4" t="s">
        <v>301</v>
      </c>
      <c r="T124" s="4" t="s">
        <v>302</v>
      </c>
      <c r="U124" s="5">
        <v>63.289000000000001</v>
      </c>
      <c r="V124" s="6">
        <v>0.45</v>
      </c>
      <c r="W124" s="7">
        <v>1.5</v>
      </c>
      <c r="X124" s="5">
        <v>21.19</v>
      </c>
      <c r="Y124" s="4" t="s">
        <v>292</v>
      </c>
      <c r="Z124" s="6">
        <v>1</v>
      </c>
      <c r="AA124" s="6">
        <v>1</v>
      </c>
      <c r="AB124" s="5">
        <v>21.19</v>
      </c>
      <c r="AC124" s="6">
        <v>1</v>
      </c>
      <c r="AD124" s="6">
        <v>1</v>
      </c>
      <c r="AE124" s="5">
        <v>21.19</v>
      </c>
      <c r="AF124" s="7">
        <v>10</v>
      </c>
      <c r="AG124" s="7">
        <v>18</v>
      </c>
      <c r="AH124" s="7">
        <v>9.25</v>
      </c>
      <c r="AI124" s="7">
        <v>0</v>
      </c>
      <c r="AJ124" s="7">
        <v>0</v>
      </c>
      <c r="AK124" s="8">
        <v>44115.505069444444</v>
      </c>
      <c r="AL124" s="7">
        <v>2.85</v>
      </c>
      <c r="AM124" s="7">
        <v>100</v>
      </c>
      <c r="AN124" s="7">
        <v>0</v>
      </c>
      <c r="AO124" s="7">
        <v>5.13</v>
      </c>
      <c r="AP124" s="7">
        <v>2.63</v>
      </c>
      <c r="AQ124" s="7">
        <v>0</v>
      </c>
      <c r="AR124" s="7">
        <v>0.47</v>
      </c>
      <c r="AS124" s="4" t="s">
        <v>303</v>
      </c>
      <c r="AT124" s="7">
        <v>0</v>
      </c>
      <c r="AU124" s="4" t="s">
        <v>379</v>
      </c>
      <c r="AV124" s="4" t="s">
        <v>305</v>
      </c>
      <c r="AW124" s="4" t="s">
        <v>292</v>
      </c>
    </row>
    <row r="125" spans="1:49" s="4" customFormat="1" x14ac:dyDescent="0.25">
      <c r="A125" s="4" t="s">
        <v>11207</v>
      </c>
      <c r="B125" s="4" t="s">
        <v>293</v>
      </c>
      <c r="C125" s="4" t="s">
        <v>377</v>
      </c>
      <c r="D125" s="4" t="s">
        <v>378</v>
      </c>
      <c r="F125" s="4" t="s">
        <v>11236</v>
      </c>
      <c r="G125" s="4" t="s">
        <v>11237</v>
      </c>
      <c r="I125" s="4" t="s">
        <v>296</v>
      </c>
      <c r="J125" s="4" t="s">
        <v>297</v>
      </c>
      <c r="K125" s="4" t="s">
        <v>319</v>
      </c>
      <c r="L125" s="4" t="s">
        <v>299</v>
      </c>
      <c r="M125" s="4" t="s">
        <v>300</v>
      </c>
      <c r="N125" s="4" t="s">
        <v>11238</v>
      </c>
      <c r="O125" s="5">
        <v>21.19</v>
      </c>
      <c r="P125" s="6">
        <v>1</v>
      </c>
      <c r="Q125" s="7">
        <v>9.25</v>
      </c>
      <c r="R125" s="7">
        <v>7</v>
      </c>
      <c r="S125" s="4" t="s">
        <v>301</v>
      </c>
      <c r="T125" s="4" t="s">
        <v>302</v>
      </c>
      <c r="U125" s="5">
        <v>25.300999999999998</v>
      </c>
      <c r="V125" s="6">
        <v>0.25</v>
      </c>
      <c r="W125" s="7">
        <v>3</v>
      </c>
      <c r="X125" s="5">
        <v>8.5150000000000006</v>
      </c>
      <c r="Y125" s="4" t="s">
        <v>292</v>
      </c>
      <c r="Z125" s="6">
        <v>4</v>
      </c>
      <c r="AA125" s="6">
        <v>1</v>
      </c>
      <c r="AB125" s="5">
        <v>34.06</v>
      </c>
      <c r="AC125" s="6">
        <v>1</v>
      </c>
      <c r="AD125" s="6">
        <v>1</v>
      </c>
      <c r="AE125" s="5">
        <v>34.06</v>
      </c>
      <c r="AF125" s="5">
        <v>34.06</v>
      </c>
      <c r="AG125" s="7">
        <v>7</v>
      </c>
      <c r="AH125" s="7">
        <v>0</v>
      </c>
      <c r="AI125" s="7">
        <v>17</v>
      </c>
      <c r="AJ125" s="7">
        <v>0</v>
      </c>
      <c r="AK125" s="8">
        <v>44115.527569444443</v>
      </c>
      <c r="AL125" s="7">
        <v>0.63</v>
      </c>
      <c r="AM125" s="7">
        <v>100</v>
      </c>
      <c r="AN125" s="7">
        <v>0</v>
      </c>
      <c r="AO125" s="7">
        <v>0.44</v>
      </c>
      <c r="AP125" s="7">
        <v>0</v>
      </c>
      <c r="AQ125" s="7">
        <v>1.31</v>
      </c>
      <c r="AR125" s="7">
        <v>0.25</v>
      </c>
      <c r="AS125" s="4" t="s">
        <v>303</v>
      </c>
      <c r="AT125" s="7">
        <v>0</v>
      </c>
      <c r="AU125" s="4" t="s">
        <v>379</v>
      </c>
      <c r="AV125" s="4" t="s">
        <v>305</v>
      </c>
    </row>
    <row r="126" spans="1:49" s="4" customFormat="1" x14ac:dyDescent="0.25">
      <c r="A126" s="4" t="s">
        <v>11201</v>
      </c>
      <c r="B126" s="4" t="s">
        <v>293</v>
      </c>
      <c r="C126" s="4" t="s">
        <v>380</v>
      </c>
      <c r="D126" s="4" t="s">
        <v>381</v>
      </c>
      <c r="F126" s="4" t="s">
        <v>11462</v>
      </c>
      <c r="G126" s="4" t="s">
        <v>11463</v>
      </c>
      <c r="I126" s="4" t="s">
        <v>296</v>
      </c>
      <c r="J126" s="4" t="s">
        <v>297</v>
      </c>
      <c r="K126" s="4" t="s">
        <v>319</v>
      </c>
      <c r="L126" s="4" t="s">
        <v>299</v>
      </c>
      <c r="M126" s="4" t="s">
        <v>300</v>
      </c>
      <c r="N126" s="4" t="s">
        <v>11198</v>
      </c>
      <c r="O126" s="5">
        <v>50.277999999999999</v>
      </c>
      <c r="P126" s="6">
        <v>1</v>
      </c>
      <c r="Q126" s="7">
        <v>9.25</v>
      </c>
      <c r="R126" s="7">
        <v>12</v>
      </c>
      <c r="S126" s="4" t="s">
        <v>301</v>
      </c>
      <c r="T126" s="4" t="s">
        <v>302</v>
      </c>
      <c r="U126" s="5">
        <v>63.844999999999999</v>
      </c>
      <c r="V126" s="6">
        <v>0.45</v>
      </c>
      <c r="W126" s="7">
        <v>1.5</v>
      </c>
      <c r="X126" s="5">
        <v>23.1</v>
      </c>
      <c r="Y126" s="4" t="s">
        <v>292</v>
      </c>
      <c r="Z126" s="6">
        <v>1</v>
      </c>
      <c r="AA126" s="6">
        <v>1</v>
      </c>
      <c r="AB126" s="5">
        <v>23.1</v>
      </c>
      <c r="AC126" s="6">
        <v>1</v>
      </c>
      <c r="AD126" s="6">
        <v>1</v>
      </c>
      <c r="AE126" s="5">
        <v>23.1</v>
      </c>
      <c r="AF126" s="7">
        <v>10</v>
      </c>
      <c r="AG126" s="7">
        <v>12</v>
      </c>
      <c r="AH126" s="7">
        <v>9.25</v>
      </c>
      <c r="AI126" s="7">
        <v>0</v>
      </c>
      <c r="AJ126" s="7">
        <v>0</v>
      </c>
      <c r="AK126" s="8">
        <v>44115.509583333333</v>
      </c>
      <c r="AL126" s="7">
        <v>2.87</v>
      </c>
      <c r="AM126" s="7">
        <v>100</v>
      </c>
      <c r="AN126" s="7">
        <v>0</v>
      </c>
      <c r="AO126" s="7">
        <v>3.45</v>
      </c>
      <c r="AP126" s="7">
        <v>2.65</v>
      </c>
      <c r="AQ126" s="7">
        <v>0</v>
      </c>
      <c r="AR126" s="7">
        <v>0.47</v>
      </c>
      <c r="AS126" s="4" t="s">
        <v>303</v>
      </c>
      <c r="AT126" s="7">
        <v>0</v>
      </c>
      <c r="AU126" s="4" t="s">
        <v>382</v>
      </c>
      <c r="AV126" s="4" t="s">
        <v>305</v>
      </c>
      <c r="AW126" s="4" t="s">
        <v>292</v>
      </c>
    </row>
    <row r="127" spans="1:49" s="4" customFormat="1" x14ac:dyDescent="0.25">
      <c r="A127" s="4" t="s">
        <v>11199</v>
      </c>
      <c r="B127" s="4" t="s">
        <v>293</v>
      </c>
      <c r="C127" s="4" t="s">
        <v>380</v>
      </c>
      <c r="D127" s="4" t="s">
        <v>381</v>
      </c>
      <c r="F127" s="4" t="s">
        <v>11462</v>
      </c>
      <c r="G127" s="4" t="s">
        <v>11463</v>
      </c>
      <c r="I127" s="4" t="s">
        <v>296</v>
      </c>
      <c r="J127" s="4" t="s">
        <v>297</v>
      </c>
      <c r="K127" s="4" t="s">
        <v>319</v>
      </c>
      <c r="L127" s="4" t="s">
        <v>299</v>
      </c>
      <c r="M127" s="4" t="s">
        <v>300</v>
      </c>
      <c r="N127" s="4" t="s">
        <v>11198</v>
      </c>
      <c r="O127" s="5">
        <v>50.277999999999999</v>
      </c>
      <c r="P127" s="6">
        <v>1</v>
      </c>
      <c r="Q127" s="7">
        <v>9.25</v>
      </c>
      <c r="R127" s="7">
        <v>7</v>
      </c>
      <c r="S127" s="4" t="s">
        <v>301</v>
      </c>
      <c r="T127" s="4" t="s">
        <v>302</v>
      </c>
      <c r="U127" s="5">
        <v>60.033000000000001</v>
      </c>
      <c r="V127" s="6">
        <v>0.45</v>
      </c>
      <c r="W127" s="7">
        <v>2</v>
      </c>
      <c r="X127" s="5">
        <v>23.215</v>
      </c>
      <c r="Y127" s="4" t="s">
        <v>292</v>
      </c>
      <c r="Z127" s="6">
        <v>1</v>
      </c>
      <c r="AA127" s="6">
        <v>1</v>
      </c>
      <c r="AB127" s="5">
        <v>23.215</v>
      </c>
      <c r="AC127" s="6">
        <v>1</v>
      </c>
      <c r="AD127" s="6">
        <v>1</v>
      </c>
      <c r="AE127" s="5">
        <v>23.215</v>
      </c>
      <c r="AF127" s="7">
        <v>10</v>
      </c>
      <c r="AG127" s="7">
        <v>7</v>
      </c>
      <c r="AH127" s="7">
        <v>9.25</v>
      </c>
      <c r="AI127" s="7">
        <v>0</v>
      </c>
      <c r="AJ127" s="7">
        <v>0</v>
      </c>
      <c r="AK127" s="8">
        <v>44115.511122685188</v>
      </c>
      <c r="AL127" s="7">
        <v>2.7</v>
      </c>
      <c r="AM127" s="7">
        <v>100</v>
      </c>
      <c r="AN127" s="7">
        <v>0</v>
      </c>
      <c r="AO127" s="7">
        <v>1.89</v>
      </c>
      <c r="AP127" s="7">
        <v>2.5</v>
      </c>
      <c r="AQ127" s="7">
        <v>0</v>
      </c>
      <c r="AR127" s="7">
        <v>0.59</v>
      </c>
      <c r="AS127" s="4" t="s">
        <v>303</v>
      </c>
      <c r="AT127" s="7">
        <v>0</v>
      </c>
      <c r="AU127" s="4" t="s">
        <v>382</v>
      </c>
      <c r="AV127" s="4" t="s">
        <v>305</v>
      </c>
      <c r="AW127" s="4" t="s">
        <v>292</v>
      </c>
    </row>
    <row r="128" spans="1:49" s="4" customFormat="1" x14ac:dyDescent="0.25">
      <c r="A128" s="4" t="s">
        <v>395</v>
      </c>
      <c r="B128" s="4" t="s">
        <v>293</v>
      </c>
      <c r="C128" s="4" t="s">
        <v>380</v>
      </c>
      <c r="D128" s="4" t="s">
        <v>381</v>
      </c>
      <c r="F128" s="4" t="s">
        <v>11462</v>
      </c>
      <c r="G128" s="4" t="s">
        <v>11463</v>
      </c>
      <c r="I128" s="4" t="s">
        <v>296</v>
      </c>
      <c r="J128" s="4" t="s">
        <v>297</v>
      </c>
      <c r="K128" s="4" t="s">
        <v>319</v>
      </c>
      <c r="L128" s="4" t="s">
        <v>299</v>
      </c>
      <c r="M128" s="4" t="s">
        <v>300</v>
      </c>
      <c r="N128" s="4" t="s">
        <v>447</v>
      </c>
      <c r="O128" s="5">
        <v>50.277999999999999</v>
      </c>
      <c r="P128" s="6">
        <v>1</v>
      </c>
      <c r="Q128" s="7">
        <v>9.25</v>
      </c>
      <c r="R128" s="7">
        <v>7</v>
      </c>
      <c r="S128" s="4" t="s">
        <v>301</v>
      </c>
      <c r="T128" s="4" t="s">
        <v>302</v>
      </c>
      <c r="U128" s="5">
        <v>60.033000000000001</v>
      </c>
      <c r="V128" s="6">
        <v>0.45</v>
      </c>
      <c r="W128" s="7">
        <v>4</v>
      </c>
      <c r="X128" s="5">
        <v>31.645</v>
      </c>
      <c r="Y128" s="4" t="s">
        <v>292</v>
      </c>
      <c r="Z128" s="6">
        <v>1</v>
      </c>
      <c r="AA128" s="6">
        <v>0.75256800000000001</v>
      </c>
      <c r="AB128" s="5">
        <v>31.645</v>
      </c>
      <c r="AC128" s="6">
        <v>1</v>
      </c>
      <c r="AD128" s="6">
        <v>0.75256800000000001</v>
      </c>
      <c r="AE128" s="5">
        <v>31.645</v>
      </c>
      <c r="AF128" s="7">
        <v>10</v>
      </c>
      <c r="AG128" s="7">
        <v>7</v>
      </c>
      <c r="AH128" s="7">
        <v>9.25</v>
      </c>
      <c r="AI128" s="7">
        <v>17</v>
      </c>
      <c r="AJ128" s="7">
        <v>0</v>
      </c>
      <c r="AK128" s="8">
        <v>44115.511122685188</v>
      </c>
      <c r="AL128" s="7">
        <v>2.7</v>
      </c>
      <c r="AM128" s="7">
        <v>100</v>
      </c>
      <c r="AN128" s="7">
        <v>0</v>
      </c>
      <c r="AO128" s="7">
        <v>1.89</v>
      </c>
      <c r="AP128" s="7">
        <v>2.5</v>
      </c>
      <c r="AQ128" s="7">
        <v>5.71</v>
      </c>
      <c r="AR128" s="7">
        <v>1.42</v>
      </c>
      <c r="AS128" s="4" t="s">
        <v>303</v>
      </c>
      <c r="AT128" s="7">
        <v>0</v>
      </c>
      <c r="AU128" s="4" t="s">
        <v>382</v>
      </c>
      <c r="AV128" s="4" t="s">
        <v>305</v>
      </c>
      <c r="AW128" s="4" t="s">
        <v>292</v>
      </c>
    </row>
    <row r="129" spans="1:49" s="4" customFormat="1" x14ac:dyDescent="0.25">
      <c r="A129" s="4" t="s">
        <v>11200</v>
      </c>
      <c r="B129" s="4" t="s">
        <v>293</v>
      </c>
      <c r="C129" s="4" t="s">
        <v>380</v>
      </c>
      <c r="D129" s="4" t="s">
        <v>381</v>
      </c>
      <c r="F129" s="4" t="s">
        <v>11462</v>
      </c>
      <c r="G129" s="4" t="s">
        <v>11463</v>
      </c>
      <c r="I129" s="4" t="s">
        <v>296</v>
      </c>
      <c r="J129" s="4" t="s">
        <v>297</v>
      </c>
      <c r="K129" s="4" t="s">
        <v>319</v>
      </c>
      <c r="L129" s="4" t="s">
        <v>299</v>
      </c>
      <c r="M129" s="4" t="s">
        <v>300</v>
      </c>
      <c r="N129" s="4" t="s">
        <v>11198</v>
      </c>
      <c r="O129" s="5">
        <v>50.277999999999999</v>
      </c>
      <c r="P129" s="6">
        <v>1</v>
      </c>
      <c r="Q129" s="7">
        <v>9.25</v>
      </c>
      <c r="R129" s="7">
        <v>18</v>
      </c>
      <c r="S129" s="4" t="s">
        <v>301</v>
      </c>
      <c r="T129" s="4" t="s">
        <v>302</v>
      </c>
      <c r="U129" s="5">
        <v>69.111000000000004</v>
      </c>
      <c r="V129" s="6">
        <v>0.45</v>
      </c>
      <c r="W129" s="7">
        <v>1.5</v>
      </c>
      <c r="X129" s="5">
        <v>23.14</v>
      </c>
      <c r="Y129" s="4" t="s">
        <v>292</v>
      </c>
      <c r="Z129" s="6">
        <v>1</v>
      </c>
      <c r="AA129" s="6">
        <v>1</v>
      </c>
      <c r="AB129" s="5">
        <v>23.14</v>
      </c>
      <c r="AC129" s="6">
        <v>1</v>
      </c>
      <c r="AD129" s="6">
        <v>1</v>
      </c>
      <c r="AE129" s="5">
        <v>23.14</v>
      </c>
      <c r="AF129" s="7">
        <v>10</v>
      </c>
      <c r="AG129" s="7">
        <v>18</v>
      </c>
      <c r="AH129" s="7">
        <v>9.25</v>
      </c>
      <c r="AI129" s="7">
        <v>0</v>
      </c>
      <c r="AJ129" s="7">
        <v>0</v>
      </c>
      <c r="AK129" s="8">
        <v>44115.505069444444</v>
      </c>
      <c r="AL129" s="7">
        <v>3.11</v>
      </c>
      <c r="AM129" s="7">
        <v>100</v>
      </c>
      <c r="AN129" s="7">
        <v>0</v>
      </c>
      <c r="AO129" s="7">
        <v>5.6</v>
      </c>
      <c r="AP129" s="7">
        <v>2.87</v>
      </c>
      <c r="AQ129" s="7">
        <v>0</v>
      </c>
      <c r="AR129" s="7">
        <v>0.51</v>
      </c>
      <c r="AS129" s="4" t="s">
        <v>303</v>
      </c>
      <c r="AT129" s="7">
        <v>0</v>
      </c>
      <c r="AU129" s="4" t="s">
        <v>382</v>
      </c>
      <c r="AV129" s="4" t="s">
        <v>305</v>
      </c>
      <c r="AW129" s="4" t="s">
        <v>292</v>
      </c>
    </row>
    <row r="130" spans="1:49" s="4" customFormat="1" x14ac:dyDescent="0.25">
      <c r="A130" s="4" t="s">
        <v>11207</v>
      </c>
      <c r="B130" s="4" t="s">
        <v>293</v>
      </c>
      <c r="C130" s="4" t="s">
        <v>380</v>
      </c>
      <c r="D130" s="4" t="s">
        <v>381</v>
      </c>
      <c r="F130" s="4" t="s">
        <v>11236</v>
      </c>
      <c r="G130" s="4" t="s">
        <v>11237</v>
      </c>
      <c r="I130" s="4" t="s">
        <v>296</v>
      </c>
      <c r="J130" s="4" t="s">
        <v>297</v>
      </c>
      <c r="K130" s="4" t="s">
        <v>319</v>
      </c>
      <c r="L130" s="4" t="s">
        <v>299</v>
      </c>
      <c r="M130" s="4" t="s">
        <v>300</v>
      </c>
      <c r="N130" s="4" t="s">
        <v>11238</v>
      </c>
      <c r="O130" s="5">
        <v>23.14</v>
      </c>
      <c r="P130" s="6">
        <v>1</v>
      </c>
      <c r="Q130" s="7">
        <v>9.25</v>
      </c>
      <c r="R130" s="7">
        <v>7</v>
      </c>
      <c r="S130" s="4" t="s">
        <v>301</v>
      </c>
      <c r="T130" s="4" t="s">
        <v>302</v>
      </c>
      <c r="U130" s="5">
        <v>27.63</v>
      </c>
      <c r="V130" s="6">
        <v>0.25</v>
      </c>
      <c r="W130" s="7">
        <v>3</v>
      </c>
      <c r="X130" s="5">
        <v>9.298</v>
      </c>
      <c r="Y130" s="4" t="s">
        <v>292</v>
      </c>
      <c r="Z130" s="6">
        <v>4</v>
      </c>
      <c r="AA130" s="6">
        <v>1</v>
      </c>
      <c r="AB130" s="5">
        <v>37.192</v>
      </c>
      <c r="AC130" s="6">
        <v>1</v>
      </c>
      <c r="AD130" s="6">
        <v>1</v>
      </c>
      <c r="AE130" s="5">
        <v>37.192</v>
      </c>
      <c r="AF130" s="5">
        <v>37.192</v>
      </c>
      <c r="AG130" s="7">
        <v>7</v>
      </c>
      <c r="AH130" s="7">
        <v>0</v>
      </c>
      <c r="AI130" s="7">
        <v>17</v>
      </c>
      <c r="AJ130" s="7">
        <v>0</v>
      </c>
      <c r="AK130" s="8">
        <v>44115.527581018519</v>
      </c>
      <c r="AL130" s="7">
        <v>0.69</v>
      </c>
      <c r="AM130" s="7">
        <v>100</v>
      </c>
      <c r="AN130" s="7">
        <v>0</v>
      </c>
      <c r="AO130" s="7">
        <v>0.48</v>
      </c>
      <c r="AP130" s="7">
        <v>0</v>
      </c>
      <c r="AQ130" s="7">
        <v>1.43</v>
      </c>
      <c r="AR130" s="7">
        <v>0.27</v>
      </c>
      <c r="AS130" s="4" t="s">
        <v>303</v>
      </c>
      <c r="AT130" s="7">
        <v>0</v>
      </c>
      <c r="AU130" s="4" t="s">
        <v>382</v>
      </c>
      <c r="AV130" s="4" t="s">
        <v>305</v>
      </c>
    </row>
    <row r="131" spans="1:49" s="4" customFormat="1" x14ac:dyDescent="0.25">
      <c r="A131" s="4" t="s">
        <v>11201</v>
      </c>
      <c r="B131" s="4" t="s">
        <v>293</v>
      </c>
      <c r="C131" s="4" t="s">
        <v>383</v>
      </c>
      <c r="D131" s="4" t="s">
        <v>384</v>
      </c>
      <c r="F131" s="4" t="s">
        <v>11462</v>
      </c>
      <c r="G131" s="4" t="s">
        <v>11463</v>
      </c>
      <c r="I131" s="4" t="s">
        <v>296</v>
      </c>
      <c r="J131" s="4" t="s">
        <v>297</v>
      </c>
      <c r="K131" s="4" t="s">
        <v>368</v>
      </c>
      <c r="L131" s="4" t="s">
        <v>299</v>
      </c>
      <c r="M131" s="4" t="s">
        <v>300</v>
      </c>
      <c r="N131" s="4" t="s">
        <v>11198</v>
      </c>
      <c r="O131" s="5">
        <v>48.834000000000003</v>
      </c>
      <c r="P131" s="6">
        <v>1</v>
      </c>
      <c r="Q131" s="7">
        <v>9.25</v>
      </c>
      <c r="R131" s="7">
        <v>12</v>
      </c>
      <c r="S131" s="4" t="s">
        <v>301</v>
      </c>
      <c r="T131" s="4" t="s">
        <v>302</v>
      </c>
      <c r="U131" s="5">
        <v>62.011000000000003</v>
      </c>
      <c r="V131" s="6">
        <v>0.45</v>
      </c>
      <c r="W131" s="7">
        <v>1.5</v>
      </c>
      <c r="X131" s="5">
        <v>22.434999999999999</v>
      </c>
      <c r="Y131" s="4" t="s">
        <v>292</v>
      </c>
      <c r="Z131" s="6">
        <v>1</v>
      </c>
      <c r="AA131" s="6">
        <v>1</v>
      </c>
      <c r="AB131" s="5">
        <v>22.434999999999999</v>
      </c>
      <c r="AC131" s="6">
        <v>1</v>
      </c>
      <c r="AD131" s="6">
        <v>1</v>
      </c>
      <c r="AE131" s="5">
        <v>22.434999999999999</v>
      </c>
      <c r="AF131" s="7">
        <v>10</v>
      </c>
      <c r="AG131" s="7">
        <v>12</v>
      </c>
      <c r="AH131" s="7">
        <v>9.25</v>
      </c>
      <c r="AI131" s="7">
        <v>0</v>
      </c>
      <c r="AJ131" s="7">
        <v>0</v>
      </c>
      <c r="AK131" s="8">
        <v>44115.509583333333</v>
      </c>
      <c r="AL131" s="7">
        <v>2.79</v>
      </c>
      <c r="AM131" s="7">
        <v>100</v>
      </c>
      <c r="AN131" s="7">
        <v>0</v>
      </c>
      <c r="AO131" s="7">
        <v>3.35</v>
      </c>
      <c r="AP131" s="7">
        <v>2.58</v>
      </c>
      <c r="AQ131" s="7">
        <v>0</v>
      </c>
      <c r="AR131" s="7">
        <v>0.46</v>
      </c>
      <c r="AS131" s="4" t="s">
        <v>303</v>
      </c>
      <c r="AT131" s="7">
        <v>0</v>
      </c>
      <c r="AU131" s="4" t="s">
        <v>385</v>
      </c>
      <c r="AV131" s="4" t="s">
        <v>305</v>
      </c>
      <c r="AW131" s="4" t="s">
        <v>292</v>
      </c>
    </row>
    <row r="132" spans="1:49" s="4" customFormat="1" x14ac:dyDescent="0.25">
      <c r="A132" s="4" t="s">
        <v>11199</v>
      </c>
      <c r="B132" s="4" t="s">
        <v>293</v>
      </c>
      <c r="C132" s="4" t="s">
        <v>383</v>
      </c>
      <c r="D132" s="4" t="s">
        <v>384</v>
      </c>
      <c r="F132" s="4" t="s">
        <v>11462</v>
      </c>
      <c r="G132" s="4" t="s">
        <v>11463</v>
      </c>
      <c r="I132" s="4" t="s">
        <v>296</v>
      </c>
      <c r="J132" s="4" t="s">
        <v>297</v>
      </c>
      <c r="K132" s="4" t="s">
        <v>368</v>
      </c>
      <c r="L132" s="4" t="s">
        <v>299</v>
      </c>
      <c r="M132" s="4" t="s">
        <v>300</v>
      </c>
      <c r="N132" s="4" t="s">
        <v>11198</v>
      </c>
      <c r="O132" s="5">
        <v>48.837000000000003</v>
      </c>
      <c r="P132" s="6">
        <v>1</v>
      </c>
      <c r="Q132" s="7">
        <v>9.25</v>
      </c>
      <c r="R132" s="7">
        <v>7</v>
      </c>
      <c r="S132" s="4" t="s">
        <v>301</v>
      </c>
      <c r="T132" s="4" t="s">
        <v>302</v>
      </c>
      <c r="U132" s="5">
        <v>58.313000000000002</v>
      </c>
      <c r="V132" s="6">
        <v>0.45</v>
      </c>
      <c r="W132" s="7">
        <v>2</v>
      </c>
      <c r="X132" s="5">
        <v>22.561</v>
      </c>
      <c r="Y132" s="4" t="s">
        <v>292</v>
      </c>
      <c r="Z132" s="6">
        <v>1</v>
      </c>
      <c r="AA132" s="6">
        <v>1</v>
      </c>
      <c r="AB132" s="5">
        <v>22.561</v>
      </c>
      <c r="AC132" s="6">
        <v>1</v>
      </c>
      <c r="AD132" s="6">
        <v>1</v>
      </c>
      <c r="AE132" s="5">
        <v>22.561</v>
      </c>
      <c r="AF132" s="7">
        <v>10</v>
      </c>
      <c r="AG132" s="7">
        <v>7</v>
      </c>
      <c r="AH132" s="7">
        <v>9.25</v>
      </c>
      <c r="AI132" s="7">
        <v>0</v>
      </c>
      <c r="AJ132" s="7">
        <v>0</v>
      </c>
      <c r="AK132" s="8">
        <v>44115.511122685188</v>
      </c>
      <c r="AL132" s="7">
        <v>2.62</v>
      </c>
      <c r="AM132" s="7">
        <v>100</v>
      </c>
      <c r="AN132" s="7">
        <v>0</v>
      </c>
      <c r="AO132" s="7">
        <v>1.84</v>
      </c>
      <c r="AP132" s="7">
        <v>2.42</v>
      </c>
      <c r="AQ132" s="7">
        <v>0</v>
      </c>
      <c r="AR132" s="7">
        <v>0.57999999999999996</v>
      </c>
      <c r="AS132" s="4" t="s">
        <v>303</v>
      </c>
      <c r="AT132" s="7">
        <v>0</v>
      </c>
      <c r="AU132" s="4" t="s">
        <v>385</v>
      </c>
      <c r="AV132" s="4" t="s">
        <v>305</v>
      </c>
      <c r="AW132" s="4" t="s">
        <v>292</v>
      </c>
    </row>
    <row r="133" spans="1:49" s="4" customFormat="1" x14ac:dyDescent="0.25">
      <c r="A133" s="4" t="s">
        <v>395</v>
      </c>
      <c r="B133" s="4" t="s">
        <v>293</v>
      </c>
      <c r="C133" s="4" t="s">
        <v>383</v>
      </c>
      <c r="D133" s="4" t="s">
        <v>384</v>
      </c>
      <c r="F133" s="4" t="s">
        <v>11462</v>
      </c>
      <c r="G133" s="4" t="s">
        <v>11463</v>
      </c>
      <c r="I133" s="4" t="s">
        <v>296</v>
      </c>
      <c r="J133" s="4" t="s">
        <v>297</v>
      </c>
      <c r="K133" s="4" t="s">
        <v>368</v>
      </c>
      <c r="L133" s="4" t="s">
        <v>299</v>
      </c>
      <c r="M133" s="4" t="s">
        <v>300</v>
      </c>
      <c r="N133" s="4" t="s">
        <v>447</v>
      </c>
      <c r="O133" s="5">
        <v>48.837000000000003</v>
      </c>
      <c r="P133" s="6">
        <v>1</v>
      </c>
      <c r="Q133" s="7">
        <v>9.25</v>
      </c>
      <c r="R133" s="7">
        <v>7</v>
      </c>
      <c r="S133" s="4" t="s">
        <v>301</v>
      </c>
      <c r="T133" s="4" t="s">
        <v>302</v>
      </c>
      <c r="U133" s="5">
        <v>58.313000000000002</v>
      </c>
      <c r="V133" s="6">
        <v>0.45</v>
      </c>
      <c r="W133" s="7">
        <v>4</v>
      </c>
      <c r="X133" s="5">
        <v>30.741</v>
      </c>
      <c r="Y133" s="4" t="s">
        <v>292</v>
      </c>
      <c r="Z133" s="6">
        <v>1</v>
      </c>
      <c r="AA133" s="6">
        <v>0.75244800000000001</v>
      </c>
      <c r="AB133" s="5">
        <v>30.741</v>
      </c>
      <c r="AC133" s="6">
        <v>1</v>
      </c>
      <c r="AD133" s="6">
        <v>0.75244800000000001</v>
      </c>
      <c r="AE133" s="5">
        <v>30.741</v>
      </c>
      <c r="AF133" s="7">
        <v>10</v>
      </c>
      <c r="AG133" s="7">
        <v>7</v>
      </c>
      <c r="AH133" s="7">
        <v>9.25</v>
      </c>
      <c r="AI133" s="7">
        <v>17</v>
      </c>
      <c r="AJ133" s="7">
        <v>0</v>
      </c>
      <c r="AK133" s="8">
        <v>44115.511122685188</v>
      </c>
      <c r="AL133" s="7">
        <v>2.62</v>
      </c>
      <c r="AM133" s="7">
        <v>100</v>
      </c>
      <c r="AN133" s="7">
        <v>0</v>
      </c>
      <c r="AO133" s="7">
        <v>1.84</v>
      </c>
      <c r="AP133" s="7">
        <v>2.42</v>
      </c>
      <c r="AQ133" s="7">
        <v>5.54</v>
      </c>
      <c r="AR133" s="7">
        <v>1.38</v>
      </c>
      <c r="AS133" s="4" t="s">
        <v>303</v>
      </c>
      <c r="AT133" s="7">
        <v>0</v>
      </c>
      <c r="AU133" s="4" t="s">
        <v>385</v>
      </c>
      <c r="AV133" s="4" t="s">
        <v>305</v>
      </c>
      <c r="AW133" s="4" t="s">
        <v>292</v>
      </c>
    </row>
    <row r="134" spans="1:49" s="4" customFormat="1" x14ac:dyDescent="0.25">
      <c r="A134" s="4" t="s">
        <v>11200</v>
      </c>
      <c r="B134" s="4" t="s">
        <v>293</v>
      </c>
      <c r="C134" s="4" t="s">
        <v>383</v>
      </c>
      <c r="D134" s="4" t="s">
        <v>384</v>
      </c>
      <c r="F134" s="4" t="s">
        <v>11462</v>
      </c>
      <c r="G134" s="4" t="s">
        <v>11463</v>
      </c>
      <c r="I134" s="4" t="s">
        <v>296</v>
      </c>
      <c r="J134" s="4" t="s">
        <v>297</v>
      </c>
      <c r="K134" s="4" t="s">
        <v>368</v>
      </c>
      <c r="L134" s="4" t="s">
        <v>299</v>
      </c>
      <c r="M134" s="4" t="s">
        <v>300</v>
      </c>
      <c r="N134" s="4" t="s">
        <v>11198</v>
      </c>
      <c r="O134" s="5">
        <v>48.837000000000003</v>
      </c>
      <c r="P134" s="6">
        <v>1</v>
      </c>
      <c r="Q134" s="7">
        <v>9.25</v>
      </c>
      <c r="R134" s="7">
        <v>18</v>
      </c>
      <c r="S134" s="4" t="s">
        <v>301</v>
      </c>
      <c r="T134" s="4" t="s">
        <v>302</v>
      </c>
      <c r="U134" s="5">
        <v>67.13</v>
      </c>
      <c r="V134" s="6">
        <v>0.45</v>
      </c>
      <c r="W134" s="7">
        <v>1.5</v>
      </c>
      <c r="X134" s="5">
        <v>22.469000000000001</v>
      </c>
      <c r="Y134" s="4" t="s">
        <v>292</v>
      </c>
      <c r="Z134" s="6">
        <v>1</v>
      </c>
      <c r="AA134" s="6">
        <v>1</v>
      </c>
      <c r="AB134" s="5">
        <v>22.469000000000001</v>
      </c>
      <c r="AC134" s="6">
        <v>1</v>
      </c>
      <c r="AD134" s="6">
        <v>1</v>
      </c>
      <c r="AE134" s="5">
        <v>22.469000000000001</v>
      </c>
      <c r="AF134" s="7">
        <v>10</v>
      </c>
      <c r="AG134" s="7">
        <v>18</v>
      </c>
      <c r="AH134" s="7">
        <v>9.25</v>
      </c>
      <c r="AI134" s="7">
        <v>0</v>
      </c>
      <c r="AJ134" s="7">
        <v>0</v>
      </c>
      <c r="AK134" s="8">
        <v>44115.505069444444</v>
      </c>
      <c r="AL134" s="7">
        <v>3.02</v>
      </c>
      <c r="AM134" s="7">
        <v>100</v>
      </c>
      <c r="AN134" s="7">
        <v>0</v>
      </c>
      <c r="AO134" s="7">
        <v>5.44</v>
      </c>
      <c r="AP134" s="7">
        <v>2.8</v>
      </c>
      <c r="AQ134" s="7">
        <v>0</v>
      </c>
      <c r="AR134" s="7">
        <v>0.5</v>
      </c>
      <c r="AS134" s="4" t="s">
        <v>303</v>
      </c>
      <c r="AT134" s="7">
        <v>0</v>
      </c>
      <c r="AU134" s="4" t="s">
        <v>385</v>
      </c>
      <c r="AV134" s="4" t="s">
        <v>305</v>
      </c>
      <c r="AW134" s="4" t="s">
        <v>292</v>
      </c>
    </row>
    <row r="135" spans="1:49" s="4" customFormat="1" x14ac:dyDescent="0.25">
      <c r="A135" s="4" t="s">
        <v>11207</v>
      </c>
      <c r="B135" s="4" t="s">
        <v>293</v>
      </c>
      <c r="C135" s="4" t="s">
        <v>383</v>
      </c>
      <c r="D135" s="4" t="s">
        <v>384</v>
      </c>
      <c r="F135" s="4" t="s">
        <v>11236</v>
      </c>
      <c r="G135" s="4" t="s">
        <v>11237</v>
      </c>
      <c r="I135" s="4" t="s">
        <v>296</v>
      </c>
      <c r="J135" s="4" t="s">
        <v>297</v>
      </c>
      <c r="K135" s="4" t="s">
        <v>368</v>
      </c>
      <c r="L135" s="4" t="s">
        <v>299</v>
      </c>
      <c r="M135" s="4" t="s">
        <v>300</v>
      </c>
      <c r="N135" s="4" t="s">
        <v>11238</v>
      </c>
      <c r="O135" s="5">
        <v>22.47</v>
      </c>
      <c r="P135" s="6">
        <v>1</v>
      </c>
      <c r="Q135" s="7">
        <v>9.25</v>
      </c>
      <c r="R135" s="7">
        <v>7</v>
      </c>
      <c r="S135" s="4" t="s">
        <v>301</v>
      </c>
      <c r="T135" s="4" t="s">
        <v>302</v>
      </c>
      <c r="U135" s="5">
        <v>26.83</v>
      </c>
      <c r="V135" s="6">
        <v>0.25</v>
      </c>
      <c r="W135" s="7">
        <v>3</v>
      </c>
      <c r="X135" s="5">
        <v>9.0280000000000005</v>
      </c>
      <c r="Y135" s="4" t="s">
        <v>292</v>
      </c>
      <c r="Z135" s="6">
        <v>4</v>
      </c>
      <c r="AA135" s="6">
        <v>1</v>
      </c>
      <c r="AB135" s="5">
        <v>36.112000000000002</v>
      </c>
      <c r="AC135" s="6">
        <v>1</v>
      </c>
      <c r="AD135" s="6">
        <v>1</v>
      </c>
      <c r="AE135" s="5">
        <v>36.112000000000002</v>
      </c>
      <c r="AF135" s="5">
        <v>36.112000000000002</v>
      </c>
      <c r="AG135" s="7">
        <v>7</v>
      </c>
      <c r="AH135" s="7">
        <v>0</v>
      </c>
      <c r="AI135" s="7">
        <v>17</v>
      </c>
      <c r="AJ135" s="7">
        <v>0</v>
      </c>
      <c r="AK135" s="8">
        <v>44115.527581018519</v>
      </c>
      <c r="AL135" s="7">
        <v>0.67</v>
      </c>
      <c r="AM135" s="7">
        <v>100</v>
      </c>
      <c r="AN135" s="7">
        <v>0</v>
      </c>
      <c r="AO135" s="7">
        <v>0.47</v>
      </c>
      <c r="AP135" s="7">
        <v>0</v>
      </c>
      <c r="AQ135" s="7">
        <v>1.39</v>
      </c>
      <c r="AR135" s="7">
        <v>0.26</v>
      </c>
      <c r="AS135" s="4" t="s">
        <v>303</v>
      </c>
      <c r="AT135" s="7">
        <v>0</v>
      </c>
      <c r="AU135" s="4" t="s">
        <v>385</v>
      </c>
      <c r="AV135" s="4" t="s">
        <v>305</v>
      </c>
    </row>
    <row r="136" spans="1:49" s="4" customFormat="1" x14ac:dyDescent="0.25">
      <c r="A136" s="4" t="s">
        <v>11201</v>
      </c>
      <c r="B136" s="4" t="s">
        <v>293</v>
      </c>
      <c r="C136" s="4" t="s">
        <v>386</v>
      </c>
      <c r="D136" s="4" t="s">
        <v>387</v>
      </c>
      <c r="F136" s="4" t="s">
        <v>11462</v>
      </c>
      <c r="G136" s="4" t="s">
        <v>11463</v>
      </c>
      <c r="I136" s="4" t="s">
        <v>296</v>
      </c>
      <c r="J136" s="4" t="s">
        <v>297</v>
      </c>
      <c r="K136" s="4" t="s">
        <v>368</v>
      </c>
      <c r="L136" s="4" t="s">
        <v>299</v>
      </c>
      <c r="M136" s="4" t="s">
        <v>300</v>
      </c>
      <c r="N136" s="4" t="s">
        <v>11198</v>
      </c>
      <c r="O136" s="5">
        <v>48.841999999999999</v>
      </c>
      <c r="P136" s="6">
        <v>1</v>
      </c>
      <c r="Q136" s="7">
        <v>9.25</v>
      </c>
      <c r="R136" s="7">
        <v>12</v>
      </c>
      <c r="S136" s="4" t="s">
        <v>301</v>
      </c>
      <c r="T136" s="4" t="s">
        <v>302</v>
      </c>
      <c r="U136" s="5">
        <v>62.021999999999998</v>
      </c>
      <c r="V136" s="6">
        <v>0.45</v>
      </c>
      <c r="W136" s="7">
        <v>1.5</v>
      </c>
      <c r="X136" s="5">
        <v>22.44</v>
      </c>
      <c r="Y136" s="4" t="s">
        <v>292</v>
      </c>
      <c r="Z136" s="6">
        <v>1</v>
      </c>
      <c r="AA136" s="6">
        <v>1</v>
      </c>
      <c r="AB136" s="5">
        <v>22.44</v>
      </c>
      <c r="AC136" s="6">
        <v>1</v>
      </c>
      <c r="AD136" s="6">
        <v>1</v>
      </c>
      <c r="AE136" s="5">
        <v>22.44</v>
      </c>
      <c r="AF136" s="7">
        <v>10</v>
      </c>
      <c r="AG136" s="7">
        <v>12</v>
      </c>
      <c r="AH136" s="7">
        <v>9.25</v>
      </c>
      <c r="AI136" s="7">
        <v>0</v>
      </c>
      <c r="AJ136" s="7">
        <v>0</v>
      </c>
      <c r="AK136" s="8">
        <v>44115.509606481479</v>
      </c>
      <c r="AL136" s="7">
        <v>2.79</v>
      </c>
      <c r="AM136" s="7">
        <v>100</v>
      </c>
      <c r="AN136" s="7">
        <v>0</v>
      </c>
      <c r="AO136" s="7">
        <v>3.35</v>
      </c>
      <c r="AP136" s="7">
        <v>2.58</v>
      </c>
      <c r="AQ136" s="7">
        <v>0</v>
      </c>
      <c r="AR136" s="7">
        <v>0.46</v>
      </c>
      <c r="AS136" s="4" t="s">
        <v>303</v>
      </c>
      <c r="AT136" s="7">
        <v>0</v>
      </c>
      <c r="AU136" s="4" t="s">
        <v>388</v>
      </c>
      <c r="AV136" s="4" t="s">
        <v>305</v>
      </c>
      <c r="AW136" s="4" t="s">
        <v>292</v>
      </c>
    </row>
    <row r="137" spans="1:49" s="4" customFormat="1" x14ac:dyDescent="0.25">
      <c r="A137" s="4" t="s">
        <v>11199</v>
      </c>
      <c r="B137" s="4" t="s">
        <v>293</v>
      </c>
      <c r="C137" s="4" t="s">
        <v>386</v>
      </c>
      <c r="D137" s="4" t="s">
        <v>387</v>
      </c>
      <c r="F137" s="4" t="s">
        <v>11462</v>
      </c>
      <c r="G137" s="4" t="s">
        <v>11463</v>
      </c>
      <c r="I137" s="4" t="s">
        <v>296</v>
      </c>
      <c r="J137" s="4" t="s">
        <v>297</v>
      </c>
      <c r="K137" s="4" t="s">
        <v>368</v>
      </c>
      <c r="L137" s="4" t="s">
        <v>299</v>
      </c>
      <c r="M137" s="4" t="s">
        <v>300</v>
      </c>
      <c r="N137" s="4" t="s">
        <v>11198</v>
      </c>
      <c r="O137" s="5">
        <v>48.844000000000001</v>
      </c>
      <c r="P137" s="6">
        <v>1</v>
      </c>
      <c r="Q137" s="7">
        <v>9.25</v>
      </c>
      <c r="R137" s="7">
        <v>7</v>
      </c>
      <c r="S137" s="4" t="s">
        <v>301</v>
      </c>
      <c r="T137" s="4" t="s">
        <v>302</v>
      </c>
      <c r="U137" s="5">
        <v>58.320999999999998</v>
      </c>
      <c r="V137" s="6">
        <v>0.45</v>
      </c>
      <c r="W137" s="7">
        <v>2</v>
      </c>
      <c r="X137" s="5">
        <v>22.564</v>
      </c>
      <c r="Y137" s="4" t="s">
        <v>292</v>
      </c>
      <c r="Z137" s="6">
        <v>1</v>
      </c>
      <c r="AA137" s="6">
        <v>1</v>
      </c>
      <c r="AB137" s="5">
        <v>22.564</v>
      </c>
      <c r="AC137" s="6">
        <v>1</v>
      </c>
      <c r="AD137" s="6">
        <v>1</v>
      </c>
      <c r="AE137" s="5">
        <v>22.564</v>
      </c>
      <c r="AF137" s="7">
        <v>10</v>
      </c>
      <c r="AG137" s="7">
        <v>7</v>
      </c>
      <c r="AH137" s="7">
        <v>9.25</v>
      </c>
      <c r="AI137" s="7">
        <v>0</v>
      </c>
      <c r="AJ137" s="7">
        <v>0</v>
      </c>
      <c r="AK137" s="8">
        <v>44115.511134259257</v>
      </c>
      <c r="AL137" s="7">
        <v>2.62</v>
      </c>
      <c r="AM137" s="7">
        <v>100</v>
      </c>
      <c r="AN137" s="7">
        <v>0</v>
      </c>
      <c r="AO137" s="7">
        <v>1.84</v>
      </c>
      <c r="AP137" s="7">
        <v>2.42</v>
      </c>
      <c r="AQ137" s="7">
        <v>0</v>
      </c>
      <c r="AR137" s="7">
        <v>0.57999999999999996</v>
      </c>
      <c r="AS137" s="4" t="s">
        <v>303</v>
      </c>
      <c r="AT137" s="7">
        <v>0</v>
      </c>
      <c r="AU137" s="4" t="s">
        <v>388</v>
      </c>
      <c r="AV137" s="4" t="s">
        <v>305</v>
      </c>
      <c r="AW137" s="4" t="s">
        <v>292</v>
      </c>
    </row>
    <row r="138" spans="1:49" s="4" customFormat="1" x14ac:dyDescent="0.25">
      <c r="A138" s="4" t="s">
        <v>395</v>
      </c>
      <c r="B138" s="4" t="s">
        <v>293</v>
      </c>
      <c r="C138" s="4" t="s">
        <v>386</v>
      </c>
      <c r="D138" s="4" t="s">
        <v>387</v>
      </c>
      <c r="F138" s="4" t="s">
        <v>11462</v>
      </c>
      <c r="G138" s="4" t="s">
        <v>11463</v>
      </c>
      <c r="I138" s="4" t="s">
        <v>296</v>
      </c>
      <c r="J138" s="4" t="s">
        <v>297</v>
      </c>
      <c r="K138" s="4" t="s">
        <v>368</v>
      </c>
      <c r="L138" s="4" t="s">
        <v>299</v>
      </c>
      <c r="M138" s="4" t="s">
        <v>300</v>
      </c>
      <c r="N138" s="4" t="s">
        <v>447</v>
      </c>
      <c r="O138" s="5">
        <v>48.844000000000001</v>
      </c>
      <c r="P138" s="6">
        <v>1</v>
      </c>
      <c r="Q138" s="7">
        <v>9.25</v>
      </c>
      <c r="R138" s="7">
        <v>7</v>
      </c>
      <c r="S138" s="4" t="s">
        <v>301</v>
      </c>
      <c r="T138" s="4" t="s">
        <v>302</v>
      </c>
      <c r="U138" s="5">
        <v>58.320999999999998</v>
      </c>
      <c r="V138" s="6">
        <v>0.45</v>
      </c>
      <c r="W138" s="7">
        <v>4</v>
      </c>
      <c r="X138" s="5">
        <v>30.744</v>
      </c>
      <c r="Y138" s="4" t="s">
        <v>292</v>
      </c>
      <c r="Z138" s="6">
        <v>1</v>
      </c>
      <c r="AA138" s="6">
        <v>0.75247200000000003</v>
      </c>
      <c r="AB138" s="5">
        <v>30.744</v>
      </c>
      <c r="AC138" s="6">
        <v>1</v>
      </c>
      <c r="AD138" s="6">
        <v>0.75247200000000003</v>
      </c>
      <c r="AE138" s="5">
        <v>30.744</v>
      </c>
      <c r="AF138" s="7">
        <v>10</v>
      </c>
      <c r="AG138" s="7">
        <v>7</v>
      </c>
      <c r="AH138" s="7">
        <v>9.25</v>
      </c>
      <c r="AI138" s="7">
        <v>17</v>
      </c>
      <c r="AJ138" s="7">
        <v>0</v>
      </c>
      <c r="AK138" s="8">
        <v>44115.51116898148</v>
      </c>
      <c r="AL138" s="7">
        <v>2.62</v>
      </c>
      <c r="AM138" s="7">
        <v>100</v>
      </c>
      <c r="AN138" s="7">
        <v>0</v>
      </c>
      <c r="AO138" s="7">
        <v>1.84</v>
      </c>
      <c r="AP138" s="7">
        <v>2.42</v>
      </c>
      <c r="AQ138" s="7">
        <v>5.54</v>
      </c>
      <c r="AR138" s="7">
        <v>1.38</v>
      </c>
      <c r="AS138" s="4" t="s">
        <v>303</v>
      </c>
      <c r="AT138" s="7">
        <v>0</v>
      </c>
      <c r="AU138" s="4" t="s">
        <v>388</v>
      </c>
      <c r="AV138" s="4" t="s">
        <v>305</v>
      </c>
      <c r="AW138" s="4" t="s">
        <v>292</v>
      </c>
    </row>
    <row r="139" spans="1:49" s="4" customFormat="1" x14ac:dyDescent="0.25">
      <c r="A139" s="4" t="s">
        <v>11200</v>
      </c>
      <c r="B139" s="4" t="s">
        <v>293</v>
      </c>
      <c r="C139" s="4" t="s">
        <v>386</v>
      </c>
      <c r="D139" s="4" t="s">
        <v>387</v>
      </c>
      <c r="F139" s="4" t="s">
        <v>11462</v>
      </c>
      <c r="G139" s="4" t="s">
        <v>11463</v>
      </c>
      <c r="I139" s="4" t="s">
        <v>296</v>
      </c>
      <c r="J139" s="4" t="s">
        <v>297</v>
      </c>
      <c r="K139" s="4" t="s">
        <v>368</v>
      </c>
      <c r="L139" s="4" t="s">
        <v>299</v>
      </c>
      <c r="M139" s="4" t="s">
        <v>300</v>
      </c>
      <c r="N139" s="4" t="s">
        <v>11198</v>
      </c>
      <c r="O139" s="5">
        <v>48.844000000000001</v>
      </c>
      <c r="P139" s="6">
        <v>1</v>
      </c>
      <c r="Q139" s="7">
        <v>9.25</v>
      </c>
      <c r="R139" s="7">
        <v>18</v>
      </c>
      <c r="S139" s="4" t="s">
        <v>301</v>
      </c>
      <c r="T139" s="4" t="s">
        <v>302</v>
      </c>
      <c r="U139" s="5">
        <v>67.14</v>
      </c>
      <c r="V139" s="6">
        <v>0.45</v>
      </c>
      <c r="W139" s="7">
        <v>1.5</v>
      </c>
      <c r="X139" s="5">
        <v>22.472999999999999</v>
      </c>
      <c r="Y139" s="4" t="s">
        <v>292</v>
      </c>
      <c r="Z139" s="6">
        <v>1</v>
      </c>
      <c r="AA139" s="6">
        <v>1</v>
      </c>
      <c r="AB139" s="5">
        <v>22.472999999999999</v>
      </c>
      <c r="AC139" s="6">
        <v>1</v>
      </c>
      <c r="AD139" s="6">
        <v>1</v>
      </c>
      <c r="AE139" s="5">
        <v>22.472999999999999</v>
      </c>
      <c r="AF139" s="7">
        <v>10</v>
      </c>
      <c r="AG139" s="7">
        <v>18</v>
      </c>
      <c r="AH139" s="7">
        <v>9.25</v>
      </c>
      <c r="AI139" s="7">
        <v>0</v>
      </c>
      <c r="AJ139" s="7">
        <v>0</v>
      </c>
      <c r="AK139" s="8">
        <v>44115.505069444444</v>
      </c>
      <c r="AL139" s="7">
        <v>3.02</v>
      </c>
      <c r="AM139" s="7">
        <v>100</v>
      </c>
      <c r="AN139" s="7">
        <v>0</v>
      </c>
      <c r="AO139" s="7">
        <v>5.44</v>
      </c>
      <c r="AP139" s="7">
        <v>2.8</v>
      </c>
      <c r="AQ139" s="7">
        <v>0</v>
      </c>
      <c r="AR139" s="7">
        <v>0.5</v>
      </c>
      <c r="AS139" s="4" t="s">
        <v>303</v>
      </c>
      <c r="AT139" s="7">
        <v>0</v>
      </c>
      <c r="AU139" s="4" t="s">
        <v>388</v>
      </c>
      <c r="AV139" s="4" t="s">
        <v>305</v>
      </c>
      <c r="AW139" s="4" t="s">
        <v>292</v>
      </c>
    </row>
    <row r="140" spans="1:49" s="4" customFormat="1" x14ac:dyDescent="0.25">
      <c r="A140" s="4" t="s">
        <v>11207</v>
      </c>
      <c r="B140" s="4" t="s">
        <v>293</v>
      </c>
      <c r="C140" s="4" t="s">
        <v>386</v>
      </c>
      <c r="D140" s="4" t="s">
        <v>387</v>
      </c>
      <c r="F140" s="4" t="s">
        <v>11236</v>
      </c>
      <c r="G140" s="4" t="s">
        <v>11237</v>
      </c>
      <c r="I140" s="4" t="s">
        <v>296</v>
      </c>
      <c r="J140" s="4" t="s">
        <v>297</v>
      </c>
      <c r="K140" s="4" t="s">
        <v>368</v>
      </c>
      <c r="L140" s="4" t="s">
        <v>299</v>
      </c>
      <c r="M140" s="4" t="s">
        <v>300</v>
      </c>
      <c r="N140" s="4" t="s">
        <v>11238</v>
      </c>
      <c r="O140" s="5">
        <v>22.47</v>
      </c>
      <c r="P140" s="6">
        <v>1</v>
      </c>
      <c r="Q140" s="7">
        <v>9.25</v>
      </c>
      <c r="R140" s="7">
        <v>7</v>
      </c>
      <c r="S140" s="4" t="s">
        <v>301</v>
      </c>
      <c r="T140" s="4" t="s">
        <v>302</v>
      </c>
      <c r="U140" s="5">
        <v>26.83</v>
      </c>
      <c r="V140" s="6">
        <v>0.25</v>
      </c>
      <c r="W140" s="7">
        <v>3</v>
      </c>
      <c r="X140" s="5">
        <v>9.0280000000000005</v>
      </c>
      <c r="Y140" s="4" t="s">
        <v>292</v>
      </c>
      <c r="Z140" s="6">
        <v>4</v>
      </c>
      <c r="AA140" s="6">
        <v>1</v>
      </c>
      <c r="AB140" s="5">
        <v>36.112000000000002</v>
      </c>
      <c r="AC140" s="6">
        <v>1</v>
      </c>
      <c r="AD140" s="6">
        <v>1</v>
      </c>
      <c r="AE140" s="5">
        <v>36.112000000000002</v>
      </c>
      <c r="AF140" s="5">
        <v>36.112000000000002</v>
      </c>
      <c r="AG140" s="7">
        <v>7</v>
      </c>
      <c r="AH140" s="7">
        <v>0</v>
      </c>
      <c r="AI140" s="7">
        <v>17</v>
      </c>
      <c r="AJ140" s="7">
        <v>0</v>
      </c>
      <c r="AK140" s="8">
        <v>44115.527592592596</v>
      </c>
      <c r="AL140" s="7">
        <v>0.67</v>
      </c>
      <c r="AM140" s="7">
        <v>100</v>
      </c>
      <c r="AN140" s="7">
        <v>0</v>
      </c>
      <c r="AO140" s="7">
        <v>0.47</v>
      </c>
      <c r="AP140" s="7">
        <v>0</v>
      </c>
      <c r="AQ140" s="7">
        <v>1.39</v>
      </c>
      <c r="AR140" s="7">
        <v>0.26</v>
      </c>
      <c r="AS140" s="4" t="s">
        <v>303</v>
      </c>
      <c r="AT140" s="7">
        <v>0</v>
      </c>
      <c r="AU140" s="4" t="s">
        <v>388</v>
      </c>
      <c r="AV140" s="4" t="s">
        <v>305</v>
      </c>
    </row>
    <row r="141" spans="1:49" s="4" customFormat="1" x14ac:dyDescent="0.25">
      <c r="A141" s="4" t="s">
        <v>11201</v>
      </c>
      <c r="B141" s="4" t="s">
        <v>293</v>
      </c>
      <c r="C141" s="4" t="s">
        <v>389</v>
      </c>
      <c r="D141" s="4" t="s">
        <v>390</v>
      </c>
      <c r="F141" s="4" t="s">
        <v>11462</v>
      </c>
      <c r="G141" s="4" t="s">
        <v>11463</v>
      </c>
      <c r="I141" s="4" t="s">
        <v>296</v>
      </c>
      <c r="J141" s="4" t="s">
        <v>297</v>
      </c>
      <c r="K141" s="4" t="s">
        <v>368</v>
      </c>
      <c r="L141" s="4" t="s">
        <v>299</v>
      </c>
      <c r="M141" s="4" t="s">
        <v>300</v>
      </c>
      <c r="N141" s="4" t="s">
        <v>11198</v>
      </c>
      <c r="O141" s="5">
        <v>54.448999999999998</v>
      </c>
      <c r="P141" s="6">
        <v>1</v>
      </c>
      <c r="Q141" s="7">
        <v>9.25</v>
      </c>
      <c r="R141" s="7">
        <v>12</v>
      </c>
      <c r="S141" s="4" t="s">
        <v>301</v>
      </c>
      <c r="T141" s="4" t="s">
        <v>302</v>
      </c>
      <c r="U141" s="5">
        <v>69.141999999999996</v>
      </c>
      <c r="V141" s="6">
        <v>0.45</v>
      </c>
      <c r="W141" s="7">
        <v>1.5</v>
      </c>
      <c r="X141" s="5">
        <v>25.024000000000001</v>
      </c>
      <c r="Y141" s="4" t="s">
        <v>292</v>
      </c>
      <c r="Z141" s="6">
        <v>1</v>
      </c>
      <c r="AA141" s="6">
        <v>1</v>
      </c>
      <c r="AB141" s="5">
        <v>25.024000000000001</v>
      </c>
      <c r="AC141" s="6">
        <v>1</v>
      </c>
      <c r="AD141" s="6">
        <v>1</v>
      </c>
      <c r="AE141" s="5">
        <v>25.024000000000001</v>
      </c>
      <c r="AF141" s="7">
        <v>10</v>
      </c>
      <c r="AG141" s="7">
        <v>12</v>
      </c>
      <c r="AH141" s="7">
        <v>9.25</v>
      </c>
      <c r="AI141" s="7">
        <v>0</v>
      </c>
      <c r="AJ141" s="7">
        <v>0</v>
      </c>
      <c r="AK141" s="8">
        <v>44115.509606481479</v>
      </c>
      <c r="AL141" s="7">
        <v>3.11</v>
      </c>
      <c r="AM141" s="7">
        <v>100</v>
      </c>
      <c r="AN141" s="7">
        <v>0</v>
      </c>
      <c r="AO141" s="7">
        <v>3.73</v>
      </c>
      <c r="AP141" s="7">
        <v>2.87</v>
      </c>
      <c r="AQ141" s="7">
        <v>0</v>
      </c>
      <c r="AR141" s="7">
        <v>0.51</v>
      </c>
      <c r="AS141" s="4" t="s">
        <v>303</v>
      </c>
      <c r="AT141" s="7">
        <v>0</v>
      </c>
      <c r="AU141" s="4" t="s">
        <v>391</v>
      </c>
      <c r="AV141" s="4" t="s">
        <v>305</v>
      </c>
      <c r="AW141" s="4" t="s">
        <v>292</v>
      </c>
    </row>
    <row r="142" spans="1:49" s="4" customFormat="1" x14ac:dyDescent="0.25">
      <c r="A142" s="4" t="s">
        <v>11199</v>
      </c>
      <c r="B142" s="4" t="s">
        <v>293</v>
      </c>
      <c r="C142" s="4" t="s">
        <v>389</v>
      </c>
      <c r="D142" s="4" t="s">
        <v>390</v>
      </c>
      <c r="F142" s="4" t="s">
        <v>11462</v>
      </c>
      <c r="G142" s="4" t="s">
        <v>11463</v>
      </c>
      <c r="I142" s="4" t="s">
        <v>296</v>
      </c>
      <c r="J142" s="4" t="s">
        <v>297</v>
      </c>
      <c r="K142" s="4" t="s">
        <v>368</v>
      </c>
      <c r="L142" s="4" t="s">
        <v>299</v>
      </c>
      <c r="M142" s="4" t="s">
        <v>300</v>
      </c>
      <c r="N142" s="4" t="s">
        <v>11198</v>
      </c>
      <c r="O142" s="5">
        <v>54.445999999999998</v>
      </c>
      <c r="P142" s="6">
        <v>1</v>
      </c>
      <c r="Q142" s="7">
        <v>9.25</v>
      </c>
      <c r="R142" s="7">
        <v>7</v>
      </c>
      <c r="S142" s="4" t="s">
        <v>301</v>
      </c>
      <c r="T142" s="4" t="s">
        <v>302</v>
      </c>
      <c r="U142" s="5">
        <v>65.010000000000005</v>
      </c>
      <c r="V142" s="6">
        <v>0.45</v>
      </c>
      <c r="W142" s="7">
        <v>2</v>
      </c>
      <c r="X142" s="5">
        <v>25.145</v>
      </c>
      <c r="Y142" s="4" t="s">
        <v>292</v>
      </c>
      <c r="Z142" s="6">
        <v>1</v>
      </c>
      <c r="AA142" s="6">
        <v>1</v>
      </c>
      <c r="AB142" s="5">
        <v>25.145</v>
      </c>
      <c r="AC142" s="6">
        <v>1</v>
      </c>
      <c r="AD142" s="6">
        <v>1</v>
      </c>
      <c r="AE142" s="5">
        <v>25.145</v>
      </c>
      <c r="AF142" s="7">
        <v>10</v>
      </c>
      <c r="AG142" s="7">
        <v>7</v>
      </c>
      <c r="AH142" s="7">
        <v>9.25</v>
      </c>
      <c r="AI142" s="7">
        <v>0</v>
      </c>
      <c r="AJ142" s="7">
        <v>0</v>
      </c>
      <c r="AK142" s="8">
        <v>44115.51116898148</v>
      </c>
      <c r="AL142" s="7">
        <v>2.93</v>
      </c>
      <c r="AM142" s="7">
        <v>100</v>
      </c>
      <c r="AN142" s="7">
        <v>0</v>
      </c>
      <c r="AO142" s="7">
        <v>2.0499999999999998</v>
      </c>
      <c r="AP142" s="7">
        <v>2.7</v>
      </c>
      <c r="AQ142" s="7">
        <v>0</v>
      </c>
      <c r="AR142" s="7">
        <v>0.64</v>
      </c>
      <c r="AS142" s="4" t="s">
        <v>303</v>
      </c>
      <c r="AT142" s="7">
        <v>0</v>
      </c>
      <c r="AU142" s="4" t="s">
        <v>391</v>
      </c>
      <c r="AV142" s="4" t="s">
        <v>305</v>
      </c>
      <c r="AW142" s="4" t="s">
        <v>292</v>
      </c>
    </row>
    <row r="143" spans="1:49" s="4" customFormat="1" x14ac:dyDescent="0.25">
      <c r="A143" s="4" t="s">
        <v>395</v>
      </c>
      <c r="B143" s="4" t="s">
        <v>293</v>
      </c>
      <c r="C143" s="4" t="s">
        <v>389</v>
      </c>
      <c r="D143" s="4" t="s">
        <v>390</v>
      </c>
      <c r="F143" s="4" t="s">
        <v>11462</v>
      </c>
      <c r="G143" s="4" t="s">
        <v>11463</v>
      </c>
      <c r="I143" s="4" t="s">
        <v>296</v>
      </c>
      <c r="J143" s="4" t="s">
        <v>297</v>
      </c>
      <c r="K143" s="4" t="s">
        <v>368</v>
      </c>
      <c r="L143" s="4" t="s">
        <v>299</v>
      </c>
      <c r="M143" s="4" t="s">
        <v>300</v>
      </c>
      <c r="N143" s="4" t="s">
        <v>447</v>
      </c>
      <c r="O143" s="5">
        <v>54.445999999999998</v>
      </c>
      <c r="P143" s="6">
        <v>1</v>
      </c>
      <c r="Q143" s="7">
        <v>9.25</v>
      </c>
      <c r="R143" s="7">
        <v>7</v>
      </c>
      <c r="S143" s="4" t="s">
        <v>301</v>
      </c>
      <c r="T143" s="4" t="s">
        <v>302</v>
      </c>
      <c r="U143" s="5">
        <v>65.010000000000005</v>
      </c>
      <c r="V143" s="6">
        <v>0.45</v>
      </c>
      <c r="W143" s="7">
        <v>4</v>
      </c>
      <c r="X143" s="5">
        <v>34.265000000000001</v>
      </c>
      <c r="Y143" s="4" t="s">
        <v>292</v>
      </c>
      <c r="Z143" s="6">
        <v>1</v>
      </c>
      <c r="AA143" s="6">
        <v>0.75280899999999995</v>
      </c>
      <c r="AB143" s="5">
        <v>34.265000000000001</v>
      </c>
      <c r="AC143" s="6">
        <v>1</v>
      </c>
      <c r="AD143" s="6">
        <v>0.75280899999999995</v>
      </c>
      <c r="AE143" s="5">
        <v>34.265000000000001</v>
      </c>
      <c r="AF143" s="7">
        <v>10</v>
      </c>
      <c r="AG143" s="7">
        <v>7</v>
      </c>
      <c r="AH143" s="7">
        <v>9.25</v>
      </c>
      <c r="AI143" s="7">
        <v>17</v>
      </c>
      <c r="AJ143" s="7">
        <v>0</v>
      </c>
      <c r="AK143" s="8">
        <v>44115.51116898148</v>
      </c>
      <c r="AL143" s="7">
        <v>2.93</v>
      </c>
      <c r="AM143" s="7">
        <v>100</v>
      </c>
      <c r="AN143" s="7">
        <v>0</v>
      </c>
      <c r="AO143" s="7">
        <v>2.0499999999999998</v>
      </c>
      <c r="AP143" s="7">
        <v>2.7</v>
      </c>
      <c r="AQ143" s="7">
        <v>6.18</v>
      </c>
      <c r="AR143" s="7">
        <v>1.53</v>
      </c>
      <c r="AS143" s="4" t="s">
        <v>303</v>
      </c>
      <c r="AT143" s="7">
        <v>0</v>
      </c>
      <c r="AU143" s="4" t="s">
        <v>391</v>
      </c>
      <c r="AV143" s="4" t="s">
        <v>305</v>
      </c>
      <c r="AW143" s="4" t="s">
        <v>292</v>
      </c>
    </row>
    <row r="144" spans="1:49" s="4" customFormat="1" x14ac:dyDescent="0.25">
      <c r="A144" s="4" t="s">
        <v>11200</v>
      </c>
      <c r="B144" s="4" t="s">
        <v>293</v>
      </c>
      <c r="C144" s="4" t="s">
        <v>389</v>
      </c>
      <c r="D144" s="4" t="s">
        <v>390</v>
      </c>
      <c r="F144" s="4" t="s">
        <v>11462</v>
      </c>
      <c r="G144" s="4" t="s">
        <v>11463</v>
      </c>
      <c r="I144" s="4" t="s">
        <v>296</v>
      </c>
      <c r="J144" s="4" t="s">
        <v>297</v>
      </c>
      <c r="K144" s="4" t="s">
        <v>368</v>
      </c>
      <c r="L144" s="4" t="s">
        <v>299</v>
      </c>
      <c r="M144" s="4" t="s">
        <v>300</v>
      </c>
      <c r="N144" s="4" t="s">
        <v>11198</v>
      </c>
      <c r="O144" s="5">
        <v>54.445999999999998</v>
      </c>
      <c r="P144" s="6">
        <v>1</v>
      </c>
      <c r="Q144" s="7">
        <v>9.25</v>
      </c>
      <c r="R144" s="7">
        <v>18</v>
      </c>
      <c r="S144" s="4" t="s">
        <v>301</v>
      </c>
      <c r="T144" s="4" t="s">
        <v>302</v>
      </c>
      <c r="U144" s="5">
        <v>74.84</v>
      </c>
      <c r="V144" s="6">
        <v>0.45</v>
      </c>
      <c r="W144" s="7">
        <v>1.5</v>
      </c>
      <c r="X144" s="5">
        <v>25.058</v>
      </c>
      <c r="Y144" s="4" t="s">
        <v>292</v>
      </c>
      <c r="Z144" s="6">
        <v>1</v>
      </c>
      <c r="AA144" s="6">
        <v>1</v>
      </c>
      <c r="AB144" s="5">
        <v>25.058</v>
      </c>
      <c r="AC144" s="6">
        <v>1</v>
      </c>
      <c r="AD144" s="6">
        <v>1</v>
      </c>
      <c r="AE144" s="5">
        <v>25.058</v>
      </c>
      <c r="AF144" s="7">
        <v>10</v>
      </c>
      <c r="AG144" s="7">
        <v>18</v>
      </c>
      <c r="AH144" s="7">
        <v>9.25</v>
      </c>
      <c r="AI144" s="7">
        <v>0</v>
      </c>
      <c r="AJ144" s="7">
        <v>0</v>
      </c>
      <c r="AK144" s="8">
        <v>44115.505104166667</v>
      </c>
      <c r="AL144" s="7">
        <v>3.37</v>
      </c>
      <c r="AM144" s="7">
        <v>100</v>
      </c>
      <c r="AN144" s="7">
        <v>0</v>
      </c>
      <c r="AO144" s="7">
        <v>6.06</v>
      </c>
      <c r="AP144" s="7">
        <v>3.12</v>
      </c>
      <c r="AQ144" s="7">
        <v>0</v>
      </c>
      <c r="AR144" s="7">
        <v>0.56000000000000005</v>
      </c>
      <c r="AS144" s="4" t="s">
        <v>303</v>
      </c>
      <c r="AT144" s="7">
        <v>0</v>
      </c>
      <c r="AU144" s="4" t="s">
        <v>391</v>
      </c>
      <c r="AV144" s="4" t="s">
        <v>305</v>
      </c>
      <c r="AW144" s="4" t="s">
        <v>292</v>
      </c>
    </row>
    <row r="145" spans="1:49" s="4" customFormat="1" x14ac:dyDescent="0.25">
      <c r="A145" s="4" t="s">
        <v>11207</v>
      </c>
      <c r="B145" s="4" t="s">
        <v>293</v>
      </c>
      <c r="C145" s="4" t="s">
        <v>389</v>
      </c>
      <c r="D145" s="4" t="s">
        <v>390</v>
      </c>
      <c r="F145" s="4" t="s">
        <v>11236</v>
      </c>
      <c r="G145" s="4" t="s">
        <v>11237</v>
      </c>
      <c r="I145" s="4" t="s">
        <v>296</v>
      </c>
      <c r="J145" s="4" t="s">
        <v>297</v>
      </c>
      <c r="K145" s="4" t="s">
        <v>368</v>
      </c>
      <c r="L145" s="4" t="s">
        <v>299</v>
      </c>
      <c r="M145" s="4" t="s">
        <v>300</v>
      </c>
      <c r="N145" s="4" t="s">
        <v>11238</v>
      </c>
      <c r="O145" s="5">
        <v>25.06</v>
      </c>
      <c r="P145" s="6">
        <v>1</v>
      </c>
      <c r="Q145" s="7">
        <v>9.25</v>
      </c>
      <c r="R145" s="7">
        <v>7</v>
      </c>
      <c r="S145" s="4" t="s">
        <v>301</v>
      </c>
      <c r="T145" s="4" t="s">
        <v>302</v>
      </c>
      <c r="U145" s="5">
        <v>29.922000000000001</v>
      </c>
      <c r="V145" s="6">
        <v>0.25</v>
      </c>
      <c r="W145" s="7">
        <v>3</v>
      </c>
      <c r="X145" s="5">
        <v>10.071</v>
      </c>
      <c r="Y145" s="4" t="s">
        <v>292</v>
      </c>
      <c r="Z145" s="6">
        <v>4</v>
      </c>
      <c r="AA145" s="6">
        <v>1</v>
      </c>
      <c r="AB145" s="5">
        <v>40.283999999999999</v>
      </c>
      <c r="AC145" s="6">
        <v>1</v>
      </c>
      <c r="AD145" s="6">
        <v>1</v>
      </c>
      <c r="AE145" s="5">
        <v>40.283999999999999</v>
      </c>
      <c r="AF145" s="5">
        <v>40.283999999999999</v>
      </c>
      <c r="AG145" s="7">
        <v>7</v>
      </c>
      <c r="AH145" s="7">
        <v>0</v>
      </c>
      <c r="AI145" s="7">
        <v>17</v>
      </c>
      <c r="AJ145" s="7">
        <v>0</v>
      </c>
      <c r="AK145" s="8">
        <v>44115.527604166666</v>
      </c>
      <c r="AL145" s="7">
        <v>0.75</v>
      </c>
      <c r="AM145" s="7">
        <v>100</v>
      </c>
      <c r="AN145" s="7">
        <v>0</v>
      </c>
      <c r="AO145" s="7">
        <v>0.52</v>
      </c>
      <c r="AP145" s="7">
        <v>0</v>
      </c>
      <c r="AQ145" s="7">
        <v>1.55</v>
      </c>
      <c r="AR145" s="7">
        <v>0.28999999999999998</v>
      </c>
      <c r="AS145" s="4" t="s">
        <v>303</v>
      </c>
      <c r="AT145" s="7">
        <v>0</v>
      </c>
      <c r="AU145" s="4" t="s">
        <v>391</v>
      </c>
      <c r="AV145" s="4" t="s">
        <v>305</v>
      </c>
    </row>
    <row r="146" spans="1:49" s="4" customFormat="1" x14ac:dyDescent="0.25">
      <c r="A146" s="4" t="s">
        <v>11201</v>
      </c>
      <c r="B146" s="4" t="s">
        <v>293</v>
      </c>
      <c r="C146" s="4" t="s">
        <v>392</v>
      </c>
      <c r="D146" s="4" t="s">
        <v>393</v>
      </c>
      <c r="F146" s="4" t="s">
        <v>11462</v>
      </c>
      <c r="G146" s="4" t="s">
        <v>11463</v>
      </c>
      <c r="I146" s="4" t="s">
        <v>296</v>
      </c>
      <c r="J146" s="4" t="s">
        <v>297</v>
      </c>
      <c r="K146" s="4" t="s">
        <v>298</v>
      </c>
      <c r="L146" s="4" t="s">
        <v>299</v>
      </c>
      <c r="M146" s="4" t="s">
        <v>300</v>
      </c>
      <c r="N146" s="4" t="s">
        <v>11198</v>
      </c>
      <c r="O146" s="5">
        <v>101.244</v>
      </c>
      <c r="P146" s="6">
        <v>1</v>
      </c>
      <c r="Q146" s="7">
        <v>9.25</v>
      </c>
      <c r="R146" s="7">
        <v>12</v>
      </c>
      <c r="S146" s="4" t="s">
        <v>301</v>
      </c>
      <c r="T146" s="4" t="s">
        <v>302</v>
      </c>
      <c r="U146" s="5">
        <v>128.56399999999999</v>
      </c>
      <c r="V146" s="6">
        <v>0.45</v>
      </c>
      <c r="W146" s="7">
        <v>1.5</v>
      </c>
      <c r="X146" s="5">
        <v>46.514000000000003</v>
      </c>
      <c r="Y146" s="4" t="s">
        <v>292</v>
      </c>
      <c r="Z146" s="6">
        <v>1</v>
      </c>
      <c r="AA146" s="6">
        <v>1</v>
      </c>
      <c r="AB146" s="5">
        <v>46.514000000000003</v>
      </c>
      <c r="AC146" s="6">
        <v>1</v>
      </c>
      <c r="AD146" s="6">
        <v>1</v>
      </c>
      <c r="AE146" s="5">
        <v>46.514000000000003</v>
      </c>
      <c r="AF146" s="7">
        <v>10</v>
      </c>
      <c r="AG146" s="7">
        <v>12</v>
      </c>
      <c r="AH146" s="7">
        <v>9.25</v>
      </c>
      <c r="AI146" s="7">
        <v>0</v>
      </c>
      <c r="AJ146" s="7">
        <v>0</v>
      </c>
      <c r="AK146" s="8">
        <v>44115.509629629632</v>
      </c>
      <c r="AL146" s="7">
        <v>5.79</v>
      </c>
      <c r="AM146" s="7">
        <v>100</v>
      </c>
      <c r="AN146" s="7">
        <v>0</v>
      </c>
      <c r="AO146" s="7">
        <v>6.94</v>
      </c>
      <c r="AP146" s="7">
        <v>5.35</v>
      </c>
      <c r="AQ146" s="7">
        <v>0</v>
      </c>
      <c r="AR146" s="7">
        <v>0.95</v>
      </c>
      <c r="AS146" s="4" t="s">
        <v>303</v>
      </c>
      <c r="AT146" s="7">
        <v>0</v>
      </c>
      <c r="AU146" s="4" t="s">
        <v>394</v>
      </c>
      <c r="AV146" s="4" t="s">
        <v>305</v>
      </c>
      <c r="AW146" s="4" t="s">
        <v>292</v>
      </c>
    </row>
    <row r="147" spans="1:49" s="4" customFormat="1" x14ac:dyDescent="0.25">
      <c r="A147" s="4" t="s">
        <v>11199</v>
      </c>
      <c r="B147" s="4" t="s">
        <v>293</v>
      </c>
      <c r="C147" s="4" t="s">
        <v>392</v>
      </c>
      <c r="D147" s="4" t="s">
        <v>393</v>
      </c>
      <c r="F147" s="4" t="s">
        <v>11462</v>
      </c>
      <c r="G147" s="4" t="s">
        <v>11463</v>
      </c>
      <c r="I147" s="4" t="s">
        <v>296</v>
      </c>
      <c r="J147" s="4" t="s">
        <v>297</v>
      </c>
      <c r="K147" s="4" t="s">
        <v>298</v>
      </c>
      <c r="L147" s="4" t="s">
        <v>299</v>
      </c>
      <c r="M147" s="4" t="s">
        <v>300</v>
      </c>
      <c r="N147" s="4" t="s">
        <v>11198</v>
      </c>
      <c r="O147" s="5">
        <v>101.246</v>
      </c>
      <c r="P147" s="6">
        <v>1</v>
      </c>
      <c r="Q147" s="7">
        <v>9.25</v>
      </c>
      <c r="R147" s="7">
        <v>7</v>
      </c>
      <c r="S147" s="4" t="s">
        <v>301</v>
      </c>
      <c r="T147" s="4" t="s">
        <v>302</v>
      </c>
      <c r="U147" s="5">
        <v>120.89100000000001</v>
      </c>
      <c r="V147" s="6">
        <v>0.45</v>
      </c>
      <c r="W147" s="7">
        <v>2</v>
      </c>
      <c r="X147" s="5">
        <v>46.761000000000003</v>
      </c>
      <c r="Y147" s="4" t="s">
        <v>292</v>
      </c>
      <c r="Z147" s="6">
        <v>1</v>
      </c>
      <c r="AA147" s="6">
        <v>1</v>
      </c>
      <c r="AB147" s="5">
        <v>46.761000000000003</v>
      </c>
      <c r="AC147" s="6">
        <v>1</v>
      </c>
      <c r="AD147" s="6">
        <v>1</v>
      </c>
      <c r="AE147" s="5">
        <v>46.761000000000003</v>
      </c>
      <c r="AF147" s="7">
        <v>10</v>
      </c>
      <c r="AG147" s="7">
        <v>7</v>
      </c>
      <c r="AH147" s="7">
        <v>9.25</v>
      </c>
      <c r="AI147" s="7">
        <v>0</v>
      </c>
      <c r="AJ147" s="7">
        <v>0</v>
      </c>
      <c r="AK147" s="8">
        <v>44115.511296296296</v>
      </c>
      <c r="AL147" s="7">
        <v>5.44</v>
      </c>
      <c r="AM147" s="7">
        <v>100</v>
      </c>
      <c r="AN147" s="7">
        <v>0</v>
      </c>
      <c r="AO147" s="7">
        <v>3.81</v>
      </c>
      <c r="AP147" s="7">
        <v>5.03</v>
      </c>
      <c r="AQ147" s="7">
        <v>0</v>
      </c>
      <c r="AR147" s="7">
        <v>1.2</v>
      </c>
      <c r="AS147" s="4" t="s">
        <v>303</v>
      </c>
      <c r="AT147" s="7">
        <v>0</v>
      </c>
      <c r="AU147" s="4" t="s">
        <v>394</v>
      </c>
      <c r="AV147" s="4" t="s">
        <v>305</v>
      </c>
      <c r="AW147" s="4" t="s">
        <v>292</v>
      </c>
    </row>
    <row r="148" spans="1:49" s="4" customFormat="1" x14ac:dyDescent="0.25">
      <c r="A148" s="4" t="s">
        <v>395</v>
      </c>
      <c r="B148" s="4" t="s">
        <v>293</v>
      </c>
      <c r="C148" s="4" t="s">
        <v>392</v>
      </c>
      <c r="D148" s="4" t="s">
        <v>393</v>
      </c>
      <c r="F148" s="4" t="s">
        <v>11462</v>
      </c>
      <c r="G148" s="4" t="s">
        <v>11463</v>
      </c>
      <c r="I148" s="4" t="s">
        <v>296</v>
      </c>
      <c r="J148" s="4" t="s">
        <v>297</v>
      </c>
      <c r="K148" s="4" t="s">
        <v>298</v>
      </c>
      <c r="L148" s="4" t="s">
        <v>299</v>
      </c>
      <c r="M148" s="4" t="s">
        <v>300</v>
      </c>
      <c r="N148" s="4" t="s">
        <v>447</v>
      </c>
      <c r="O148" s="5">
        <v>101.246</v>
      </c>
      <c r="P148" s="6">
        <v>1</v>
      </c>
      <c r="Q148" s="7">
        <v>9.25</v>
      </c>
      <c r="R148" s="7">
        <v>7</v>
      </c>
      <c r="S148" s="4" t="s">
        <v>301</v>
      </c>
      <c r="T148" s="4" t="s">
        <v>302</v>
      </c>
      <c r="U148" s="5">
        <v>120.89100000000001</v>
      </c>
      <c r="V148" s="6">
        <v>0.45</v>
      </c>
      <c r="W148" s="7">
        <v>4</v>
      </c>
      <c r="X148" s="5">
        <v>63.710999999999999</v>
      </c>
      <c r="Y148" s="4" t="s">
        <v>292</v>
      </c>
      <c r="Z148" s="6">
        <v>1</v>
      </c>
      <c r="AA148" s="6">
        <v>0.752633</v>
      </c>
      <c r="AB148" s="5">
        <v>63.710999999999999</v>
      </c>
      <c r="AC148" s="6">
        <v>1</v>
      </c>
      <c r="AD148" s="6">
        <v>0.752633</v>
      </c>
      <c r="AE148" s="5">
        <v>63.710999999999999</v>
      </c>
      <c r="AF148" s="7">
        <v>10</v>
      </c>
      <c r="AG148" s="7">
        <v>7</v>
      </c>
      <c r="AH148" s="7">
        <v>9.25</v>
      </c>
      <c r="AI148" s="7">
        <v>17</v>
      </c>
      <c r="AJ148" s="7">
        <v>0</v>
      </c>
      <c r="AK148" s="8">
        <v>44115.511296296296</v>
      </c>
      <c r="AL148" s="7">
        <v>5.44</v>
      </c>
      <c r="AM148" s="7">
        <v>100</v>
      </c>
      <c r="AN148" s="7">
        <v>0</v>
      </c>
      <c r="AO148" s="7">
        <v>3.81</v>
      </c>
      <c r="AP148" s="7">
        <v>5.03</v>
      </c>
      <c r="AQ148" s="7">
        <v>11.49</v>
      </c>
      <c r="AR148" s="7">
        <v>2.85</v>
      </c>
      <c r="AS148" s="4" t="s">
        <v>303</v>
      </c>
      <c r="AT148" s="7">
        <v>0</v>
      </c>
      <c r="AU148" s="4" t="s">
        <v>394</v>
      </c>
      <c r="AV148" s="4" t="s">
        <v>305</v>
      </c>
      <c r="AW148" s="4" t="s">
        <v>292</v>
      </c>
    </row>
    <row r="149" spans="1:49" s="4" customFormat="1" x14ac:dyDescent="0.25">
      <c r="A149" s="4" t="s">
        <v>11200</v>
      </c>
      <c r="B149" s="4" t="s">
        <v>293</v>
      </c>
      <c r="C149" s="4" t="s">
        <v>392</v>
      </c>
      <c r="D149" s="4" t="s">
        <v>393</v>
      </c>
      <c r="F149" s="4" t="s">
        <v>11462</v>
      </c>
      <c r="G149" s="4" t="s">
        <v>11463</v>
      </c>
      <c r="I149" s="4" t="s">
        <v>296</v>
      </c>
      <c r="J149" s="4" t="s">
        <v>297</v>
      </c>
      <c r="K149" s="4" t="s">
        <v>298</v>
      </c>
      <c r="L149" s="4" t="s">
        <v>299</v>
      </c>
      <c r="M149" s="4" t="s">
        <v>300</v>
      </c>
      <c r="N149" s="4" t="s">
        <v>11198</v>
      </c>
      <c r="O149" s="5">
        <v>101.246</v>
      </c>
      <c r="P149" s="6">
        <v>1</v>
      </c>
      <c r="Q149" s="7">
        <v>9.25</v>
      </c>
      <c r="R149" s="7">
        <v>18</v>
      </c>
      <c r="S149" s="4" t="s">
        <v>301</v>
      </c>
      <c r="T149" s="4" t="s">
        <v>302</v>
      </c>
      <c r="U149" s="5">
        <v>139.16999999999999</v>
      </c>
      <c r="V149" s="6">
        <v>0.45</v>
      </c>
      <c r="W149" s="7">
        <v>1.5</v>
      </c>
      <c r="X149" s="5">
        <v>46.597000000000001</v>
      </c>
      <c r="Y149" s="4" t="s">
        <v>292</v>
      </c>
      <c r="Z149" s="6">
        <v>1</v>
      </c>
      <c r="AA149" s="6">
        <v>1</v>
      </c>
      <c r="AB149" s="5">
        <v>46.597000000000001</v>
      </c>
      <c r="AC149" s="6">
        <v>1</v>
      </c>
      <c r="AD149" s="6">
        <v>1</v>
      </c>
      <c r="AE149" s="5">
        <v>46.597000000000001</v>
      </c>
      <c r="AF149" s="7">
        <v>10</v>
      </c>
      <c r="AG149" s="7">
        <v>18</v>
      </c>
      <c r="AH149" s="7">
        <v>9.25</v>
      </c>
      <c r="AI149" s="7">
        <v>0</v>
      </c>
      <c r="AJ149" s="7">
        <v>0</v>
      </c>
      <c r="AK149" s="8">
        <v>44115.505150462966</v>
      </c>
      <c r="AL149" s="7">
        <v>6.26</v>
      </c>
      <c r="AM149" s="7">
        <v>100</v>
      </c>
      <c r="AN149" s="7">
        <v>0</v>
      </c>
      <c r="AO149" s="7">
        <v>11.27</v>
      </c>
      <c r="AP149" s="7">
        <v>5.79</v>
      </c>
      <c r="AQ149" s="7">
        <v>0</v>
      </c>
      <c r="AR149" s="7">
        <v>1.03</v>
      </c>
      <c r="AS149" s="4" t="s">
        <v>303</v>
      </c>
      <c r="AT149" s="7">
        <v>0</v>
      </c>
      <c r="AU149" s="4" t="s">
        <v>394</v>
      </c>
      <c r="AV149" s="4" t="s">
        <v>305</v>
      </c>
      <c r="AW149" s="4" t="s">
        <v>292</v>
      </c>
    </row>
    <row r="150" spans="1:49" s="4" customFormat="1" x14ac:dyDescent="0.25">
      <c r="A150" s="4" t="s">
        <v>11207</v>
      </c>
      <c r="B150" s="4" t="s">
        <v>293</v>
      </c>
      <c r="C150" s="4" t="s">
        <v>392</v>
      </c>
      <c r="D150" s="4" t="s">
        <v>393</v>
      </c>
      <c r="F150" s="4" t="s">
        <v>11236</v>
      </c>
      <c r="G150" s="4" t="s">
        <v>11237</v>
      </c>
      <c r="I150" s="4" t="s">
        <v>296</v>
      </c>
      <c r="J150" s="4" t="s">
        <v>297</v>
      </c>
      <c r="K150" s="4" t="s">
        <v>298</v>
      </c>
      <c r="L150" s="4" t="s">
        <v>299</v>
      </c>
      <c r="M150" s="4" t="s">
        <v>300</v>
      </c>
      <c r="N150" s="4" t="s">
        <v>11238</v>
      </c>
      <c r="O150" s="5">
        <v>46.6</v>
      </c>
      <c r="P150" s="6">
        <v>1</v>
      </c>
      <c r="Q150" s="7">
        <v>9.25</v>
      </c>
      <c r="R150" s="7">
        <v>7</v>
      </c>
      <c r="S150" s="4" t="s">
        <v>301</v>
      </c>
      <c r="T150" s="4" t="s">
        <v>302</v>
      </c>
      <c r="U150" s="5">
        <v>55.642000000000003</v>
      </c>
      <c r="V150" s="6">
        <v>0.25</v>
      </c>
      <c r="W150" s="7">
        <v>3</v>
      </c>
      <c r="X150" s="5">
        <v>18.731000000000002</v>
      </c>
      <c r="Y150" s="4" t="s">
        <v>292</v>
      </c>
      <c r="Z150" s="6">
        <v>4</v>
      </c>
      <c r="AA150" s="6">
        <v>1</v>
      </c>
      <c r="AB150" s="5">
        <v>74.924000000000007</v>
      </c>
      <c r="AC150" s="6">
        <v>1</v>
      </c>
      <c r="AD150" s="6">
        <v>1</v>
      </c>
      <c r="AE150" s="5">
        <v>74.924000000000007</v>
      </c>
      <c r="AF150" s="5">
        <v>74.924000000000007</v>
      </c>
      <c r="AG150" s="7">
        <v>7</v>
      </c>
      <c r="AH150" s="7">
        <v>0</v>
      </c>
      <c r="AI150" s="7">
        <v>17</v>
      </c>
      <c r="AJ150" s="7">
        <v>0</v>
      </c>
      <c r="AK150" s="8">
        <v>44115.528078703705</v>
      </c>
      <c r="AL150" s="7">
        <v>1.39</v>
      </c>
      <c r="AM150" s="7">
        <v>100</v>
      </c>
      <c r="AN150" s="7">
        <v>0</v>
      </c>
      <c r="AO150" s="7">
        <v>0.97</v>
      </c>
      <c r="AP150" s="7">
        <v>0</v>
      </c>
      <c r="AQ150" s="7">
        <v>2.88</v>
      </c>
      <c r="AR150" s="7">
        <v>0.55000000000000004</v>
      </c>
      <c r="AS150" s="4" t="s">
        <v>303</v>
      </c>
      <c r="AT150" s="7">
        <v>0</v>
      </c>
      <c r="AU150" s="4" t="s">
        <v>394</v>
      </c>
      <c r="AV150" s="4" t="s">
        <v>305</v>
      </c>
    </row>
    <row r="151" spans="1:49" s="4" customFormat="1" x14ac:dyDescent="0.25">
      <c r="A151" s="4" t="s">
        <v>11201</v>
      </c>
      <c r="B151" s="4" t="s">
        <v>293</v>
      </c>
      <c r="C151" s="4" t="s">
        <v>396</v>
      </c>
      <c r="D151" s="4" t="s">
        <v>397</v>
      </c>
      <c r="F151" s="4" t="s">
        <v>11462</v>
      </c>
      <c r="G151" s="4" t="s">
        <v>11463</v>
      </c>
      <c r="I151" s="4" t="s">
        <v>296</v>
      </c>
      <c r="J151" s="4" t="s">
        <v>297</v>
      </c>
      <c r="K151" s="4" t="s">
        <v>368</v>
      </c>
      <c r="L151" s="4" t="s">
        <v>299</v>
      </c>
      <c r="M151" s="4" t="s">
        <v>300</v>
      </c>
      <c r="N151" s="4" t="s">
        <v>11198</v>
      </c>
      <c r="O151" s="5">
        <v>80.084999999999994</v>
      </c>
      <c r="P151" s="6">
        <v>1</v>
      </c>
      <c r="Q151" s="7">
        <v>9.25</v>
      </c>
      <c r="R151" s="7">
        <v>12</v>
      </c>
      <c r="S151" s="4" t="s">
        <v>301</v>
      </c>
      <c r="T151" s="4" t="s">
        <v>302</v>
      </c>
      <c r="U151" s="5">
        <v>101.69499999999999</v>
      </c>
      <c r="V151" s="6">
        <v>0.45</v>
      </c>
      <c r="W151" s="7">
        <v>1.5</v>
      </c>
      <c r="X151" s="5">
        <v>36.792999999999999</v>
      </c>
      <c r="Y151" s="4" t="s">
        <v>292</v>
      </c>
      <c r="Z151" s="6">
        <v>1</v>
      </c>
      <c r="AA151" s="6">
        <v>1</v>
      </c>
      <c r="AB151" s="5">
        <v>36.792999999999999</v>
      </c>
      <c r="AC151" s="6">
        <v>1</v>
      </c>
      <c r="AD151" s="6">
        <v>1</v>
      </c>
      <c r="AE151" s="5">
        <v>36.792999999999999</v>
      </c>
      <c r="AF151" s="7">
        <v>10</v>
      </c>
      <c r="AG151" s="7">
        <v>12</v>
      </c>
      <c r="AH151" s="7">
        <v>9.25</v>
      </c>
      <c r="AI151" s="7">
        <v>0</v>
      </c>
      <c r="AJ151" s="7">
        <v>0</v>
      </c>
      <c r="AK151" s="8">
        <v>44115.509629629632</v>
      </c>
      <c r="AL151" s="7">
        <v>4.58</v>
      </c>
      <c r="AM151" s="7">
        <v>100</v>
      </c>
      <c r="AN151" s="7">
        <v>0</v>
      </c>
      <c r="AO151" s="7">
        <v>5.49</v>
      </c>
      <c r="AP151" s="7">
        <v>4.24</v>
      </c>
      <c r="AQ151" s="7">
        <v>0</v>
      </c>
      <c r="AR151" s="7">
        <v>0.76</v>
      </c>
      <c r="AS151" s="4" t="s">
        <v>303</v>
      </c>
      <c r="AT151" s="7">
        <v>0</v>
      </c>
      <c r="AU151" s="4" t="s">
        <v>398</v>
      </c>
      <c r="AV151" s="4" t="s">
        <v>305</v>
      </c>
      <c r="AW151" s="4" t="s">
        <v>292</v>
      </c>
    </row>
    <row r="152" spans="1:49" s="4" customFormat="1" x14ac:dyDescent="0.25">
      <c r="A152" s="4" t="s">
        <v>11199</v>
      </c>
      <c r="B152" s="4" t="s">
        <v>293</v>
      </c>
      <c r="C152" s="4" t="s">
        <v>396</v>
      </c>
      <c r="D152" s="4" t="s">
        <v>397</v>
      </c>
      <c r="F152" s="4" t="s">
        <v>11462</v>
      </c>
      <c r="G152" s="4" t="s">
        <v>11463</v>
      </c>
      <c r="I152" s="4" t="s">
        <v>296</v>
      </c>
      <c r="J152" s="4" t="s">
        <v>297</v>
      </c>
      <c r="K152" s="4" t="s">
        <v>368</v>
      </c>
      <c r="L152" s="4" t="s">
        <v>299</v>
      </c>
      <c r="M152" s="4" t="s">
        <v>300</v>
      </c>
      <c r="N152" s="4" t="s">
        <v>11198</v>
      </c>
      <c r="O152" s="5">
        <v>80.082999999999998</v>
      </c>
      <c r="P152" s="6">
        <v>1</v>
      </c>
      <c r="Q152" s="7">
        <v>9.25</v>
      </c>
      <c r="R152" s="7">
        <v>7</v>
      </c>
      <c r="S152" s="4" t="s">
        <v>301</v>
      </c>
      <c r="T152" s="4" t="s">
        <v>302</v>
      </c>
      <c r="U152" s="5">
        <v>95.620999999999995</v>
      </c>
      <c r="V152" s="6">
        <v>0.45</v>
      </c>
      <c r="W152" s="7">
        <v>2</v>
      </c>
      <c r="X152" s="5">
        <v>36.988999999999997</v>
      </c>
      <c r="Y152" s="4" t="s">
        <v>292</v>
      </c>
      <c r="Z152" s="6">
        <v>1</v>
      </c>
      <c r="AA152" s="6">
        <v>1</v>
      </c>
      <c r="AB152" s="5">
        <v>36.988999999999997</v>
      </c>
      <c r="AC152" s="6">
        <v>1</v>
      </c>
      <c r="AD152" s="6">
        <v>1</v>
      </c>
      <c r="AE152" s="5">
        <v>36.988999999999997</v>
      </c>
      <c r="AF152" s="7">
        <v>10</v>
      </c>
      <c r="AG152" s="7">
        <v>7</v>
      </c>
      <c r="AH152" s="7">
        <v>9.25</v>
      </c>
      <c r="AI152" s="7">
        <v>0</v>
      </c>
      <c r="AJ152" s="7">
        <v>0</v>
      </c>
      <c r="AK152" s="8">
        <v>44115.511296296296</v>
      </c>
      <c r="AL152" s="7">
        <v>4.3</v>
      </c>
      <c r="AM152" s="7">
        <v>100</v>
      </c>
      <c r="AN152" s="7">
        <v>0</v>
      </c>
      <c r="AO152" s="7">
        <v>3.01</v>
      </c>
      <c r="AP152" s="7">
        <v>3.98</v>
      </c>
      <c r="AQ152" s="7">
        <v>0</v>
      </c>
      <c r="AR152" s="7">
        <v>0.95</v>
      </c>
      <c r="AS152" s="4" t="s">
        <v>303</v>
      </c>
      <c r="AT152" s="7">
        <v>0</v>
      </c>
      <c r="AU152" s="4" t="s">
        <v>398</v>
      </c>
      <c r="AV152" s="4" t="s">
        <v>305</v>
      </c>
      <c r="AW152" s="4" t="s">
        <v>292</v>
      </c>
    </row>
    <row r="153" spans="1:49" s="4" customFormat="1" x14ac:dyDescent="0.25">
      <c r="A153" s="4" t="s">
        <v>395</v>
      </c>
      <c r="B153" s="4" t="s">
        <v>293</v>
      </c>
      <c r="C153" s="4" t="s">
        <v>396</v>
      </c>
      <c r="D153" s="4" t="s">
        <v>397</v>
      </c>
      <c r="F153" s="4" t="s">
        <v>11239</v>
      </c>
      <c r="G153" s="4" t="s">
        <v>11240</v>
      </c>
      <c r="I153" s="4" t="s">
        <v>292</v>
      </c>
      <c r="J153" s="4" t="s">
        <v>297</v>
      </c>
      <c r="K153" s="4" t="s">
        <v>368</v>
      </c>
      <c r="L153" s="4" t="s">
        <v>299</v>
      </c>
      <c r="M153" s="4" t="s">
        <v>300</v>
      </c>
      <c r="N153" s="4" t="s">
        <v>11241</v>
      </c>
      <c r="O153" s="5">
        <v>36.988999999999997</v>
      </c>
      <c r="P153" s="6">
        <v>1</v>
      </c>
      <c r="Q153" s="7">
        <v>0</v>
      </c>
      <c r="R153" s="7">
        <v>12</v>
      </c>
      <c r="S153" s="4" t="s">
        <v>301</v>
      </c>
      <c r="T153" s="4" t="s">
        <v>302</v>
      </c>
      <c r="U153" s="5">
        <v>42.033000000000001</v>
      </c>
      <c r="V153" s="6">
        <v>1</v>
      </c>
      <c r="W153" s="7">
        <v>4</v>
      </c>
      <c r="X153" s="5">
        <v>50.933</v>
      </c>
      <c r="Y153" s="4" t="s">
        <v>292</v>
      </c>
      <c r="Z153" s="6">
        <v>1</v>
      </c>
      <c r="AA153" s="6">
        <v>0.762629</v>
      </c>
      <c r="AB153" s="5">
        <v>50.933</v>
      </c>
      <c r="AC153" s="6">
        <v>1</v>
      </c>
      <c r="AD153" s="6">
        <v>0.762629</v>
      </c>
      <c r="AE153" s="5">
        <v>50.933</v>
      </c>
      <c r="AF153" s="5">
        <v>50.933</v>
      </c>
      <c r="AG153" s="7">
        <v>12</v>
      </c>
      <c r="AH153" s="7">
        <v>0</v>
      </c>
      <c r="AI153" s="7">
        <v>17</v>
      </c>
      <c r="AJ153" s="7">
        <v>0</v>
      </c>
      <c r="AK153" s="8">
        <v>44115.006666666668</v>
      </c>
      <c r="AL153" s="7">
        <v>4.2</v>
      </c>
      <c r="AM153" s="7">
        <v>100</v>
      </c>
      <c r="AN153" s="7">
        <v>0</v>
      </c>
      <c r="AO153" s="7">
        <v>5.04</v>
      </c>
      <c r="AP153" s="7">
        <v>0</v>
      </c>
      <c r="AQ153" s="7">
        <v>6.78</v>
      </c>
      <c r="AR153" s="7">
        <v>2.12</v>
      </c>
      <c r="AS153" s="4" t="s">
        <v>303</v>
      </c>
      <c r="AT153" s="7">
        <v>0</v>
      </c>
      <c r="AU153" s="4" t="s">
        <v>398</v>
      </c>
      <c r="AV153" s="4" t="s">
        <v>305</v>
      </c>
    </row>
    <row r="154" spans="1:49" s="4" customFormat="1" x14ac:dyDescent="0.25">
      <c r="A154" s="4" t="s">
        <v>395</v>
      </c>
      <c r="B154" s="4" t="s">
        <v>293</v>
      </c>
      <c r="C154" s="4" t="s">
        <v>396</v>
      </c>
      <c r="D154" s="4" t="s">
        <v>397</v>
      </c>
      <c r="F154" s="4" t="s">
        <v>11462</v>
      </c>
      <c r="G154" s="4" t="s">
        <v>11463</v>
      </c>
      <c r="I154" s="4" t="s">
        <v>296</v>
      </c>
      <c r="J154" s="4" t="s">
        <v>297</v>
      </c>
      <c r="K154" s="4" t="s">
        <v>368</v>
      </c>
      <c r="L154" s="4" t="s">
        <v>299</v>
      </c>
      <c r="M154" s="4" t="s">
        <v>300</v>
      </c>
      <c r="N154" s="4" t="s">
        <v>447</v>
      </c>
      <c r="O154" s="5">
        <v>80.082999999999998</v>
      </c>
      <c r="P154" s="6">
        <v>1</v>
      </c>
      <c r="Q154" s="7">
        <v>9.25</v>
      </c>
      <c r="R154" s="7">
        <v>7</v>
      </c>
      <c r="S154" s="4" t="s">
        <v>301</v>
      </c>
      <c r="T154" s="4" t="s">
        <v>302</v>
      </c>
      <c r="U154" s="5">
        <v>95.620999999999995</v>
      </c>
      <c r="V154" s="6">
        <v>0.45</v>
      </c>
      <c r="W154" s="7">
        <v>4</v>
      </c>
      <c r="X154" s="5">
        <v>50.399000000000001</v>
      </c>
      <c r="Y154" s="4" t="s">
        <v>292</v>
      </c>
      <c r="Z154" s="6">
        <v>1</v>
      </c>
      <c r="AA154" s="6">
        <v>0.75257399999999997</v>
      </c>
      <c r="AB154" s="5">
        <v>50.399000000000001</v>
      </c>
      <c r="AC154" s="6">
        <v>1</v>
      </c>
      <c r="AD154" s="6">
        <v>0.75257399999999997</v>
      </c>
      <c r="AE154" s="5">
        <v>50.399000000000001</v>
      </c>
      <c r="AF154" s="7">
        <v>10</v>
      </c>
      <c r="AG154" s="7">
        <v>7</v>
      </c>
      <c r="AH154" s="7">
        <v>9.25</v>
      </c>
      <c r="AI154" s="7">
        <v>17</v>
      </c>
      <c r="AJ154" s="7">
        <v>0</v>
      </c>
      <c r="AK154" s="8">
        <v>44115.511296296296</v>
      </c>
      <c r="AL154" s="7">
        <v>4.3</v>
      </c>
      <c r="AM154" s="7">
        <v>100</v>
      </c>
      <c r="AN154" s="7">
        <v>0</v>
      </c>
      <c r="AO154" s="7">
        <v>3.01</v>
      </c>
      <c r="AP154" s="7">
        <v>3.98</v>
      </c>
      <c r="AQ154" s="7">
        <v>9.09</v>
      </c>
      <c r="AR154" s="7">
        <v>2.2599999999999998</v>
      </c>
      <c r="AS154" s="4" t="s">
        <v>303</v>
      </c>
      <c r="AT154" s="7">
        <v>0</v>
      </c>
      <c r="AU154" s="4" t="s">
        <v>398</v>
      </c>
      <c r="AV154" s="4" t="s">
        <v>305</v>
      </c>
      <c r="AW154" s="4" t="s">
        <v>292</v>
      </c>
    </row>
    <row r="155" spans="1:49" s="4" customFormat="1" x14ac:dyDescent="0.25">
      <c r="A155" s="4" t="s">
        <v>11200</v>
      </c>
      <c r="B155" s="4" t="s">
        <v>293</v>
      </c>
      <c r="C155" s="4" t="s">
        <v>396</v>
      </c>
      <c r="D155" s="4" t="s">
        <v>397</v>
      </c>
      <c r="F155" s="4" t="s">
        <v>11462</v>
      </c>
      <c r="G155" s="4" t="s">
        <v>11463</v>
      </c>
      <c r="I155" s="4" t="s">
        <v>296</v>
      </c>
      <c r="J155" s="4" t="s">
        <v>297</v>
      </c>
      <c r="K155" s="4" t="s">
        <v>368</v>
      </c>
      <c r="L155" s="4" t="s">
        <v>299</v>
      </c>
      <c r="M155" s="4" t="s">
        <v>300</v>
      </c>
      <c r="N155" s="4" t="s">
        <v>11198</v>
      </c>
      <c r="O155" s="5">
        <v>80.082999999999998</v>
      </c>
      <c r="P155" s="6">
        <v>1</v>
      </c>
      <c r="Q155" s="7">
        <v>9.25</v>
      </c>
      <c r="R155" s="7">
        <v>18</v>
      </c>
      <c r="S155" s="4" t="s">
        <v>301</v>
      </c>
      <c r="T155" s="4" t="s">
        <v>302</v>
      </c>
      <c r="U155" s="5">
        <v>110.08</v>
      </c>
      <c r="V155" s="6">
        <v>0.45</v>
      </c>
      <c r="W155" s="7">
        <v>1.5</v>
      </c>
      <c r="X155" s="5">
        <v>36.845999999999997</v>
      </c>
      <c r="Y155" s="4" t="s">
        <v>292</v>
      </c>
      <c r="Z155" s="6">
        <v>1</v>
      </c>
      <c r="AA155" s="6">
        <v>1</v>
      </c>
      <c r="AB155" s="5">
        <v>36.845999999999997</v>
      </c>
      <c r="AC155" s="6">
        <v>1</v>
      </c>
      <c r="AD155" s="6">
        <v>1</v>
      </c>
      <c r="AE155" s="5">
        <v>36.845999999999997</v>
      </c>
      <c r="AF155" s="7">
        <v>10</v>
      </c>
      <c r="AG155" s="7">
        <v>18</v>
      </c>
      <c r="AH155" s="7">
        <v>9.25</v>
      </c>
      <c r="AI155" s="7">
        <v>0</v>
      </c>
      <c r="AJ155" s="7">
        <v>0</v>
      </c>
      <c r="AK155" s="8">
        <v>44115.505150462966</v>
      </c>
      <c r="AL155" s="7">
        <v>4.95</v>
      </c>
      <c r="AM155" s="7">
        <v>100</v>
      </c>
      <c r="AN155" s="7">
        <v>0</v>
      </c>
      <c r="AO155" s="7">
        <v>8.92</v>
      </c>
      <c r="AP155" s="7">
        <v>4.59</v>
      </c>
      <c r="AQ155" s="7">
        <v>0</v>
      </c>
      <c r="AR155" s="7">
        <v>0.82</v>
      </c>
      <c r="AS155" s="4" t="s">
        <v>303</v>
      </c>
      <c r="AT155" s="7">
        <v>0</v>
      </c>
      <c r="AU155" s="4" t="s">
        <v>398</v>
      </c>
      <c r="AV155" s="4" t="s">
        <v>305</v>
      </c>
      <c r="AW155" s="4" t="s">
        <v>292</v>
      </c>
    </row>
    <row r="156" spans="1:49" s="4" customFormat="1" x14ac:dyDescent="0.25">
      <c r="A156" s="4" t="s">
        <v>11207</v>
      </c>
      <c r="B156" s="4" t="s">
        <v>293</v>
      </c>
      <c r="C156" s="4" t="s">
        <v>396</v>
      </c>
      <c r="D156" s="4" t="s">
        <v>397</v>
      </c>
      <c r="F156" s="4" t="s">
        <v>11236</v>
      </c>
      <c r="G156" s="4" t="s">
        <v>11237</v>
      </c>
      <c r="I156" s="4" t="s">
        <v>296</v>
      </c>
      <c r="J156" s="4" t="s">
        <v>297</v>
      </c>
      <c r="K156" s="4" t="s">
        <v>368</v>
      </c>
      <c r="L156" s="4" t="s">
        <v>299</v>
      </c>
      <c r="M156" s="4" t="s">
        <v>300</v>
      </c>
      <c r="N156" s="4" t="s">
        <v>11238</v>
      </c>
      <c r="O156" s="5">
        <v>36.85</v>
      </c>
      <c r="P156" s="6">
        <v>1</v>
      </c>
      <c r="Q156" s="7">
        <v>9.25</v>
      </c>
      <c r="R156" s="7">
        <v>7</v>
      </c>
      <c r="S156" s="4" t="s">
        <v>301</v>
      </c>
      <c r="T156" s="4" t="s">
        <v>302</v>
      </c>
      <c r="U156" s="5">
        <v>44</v>
      </c>
      <c r="V156" s="6">
        <v>0.25</v>
      </c>
      <c r="W156" s="7">
        <v>3</v>
      </c>
      <c r="X156" s="5">
        <v>14.8</v>
      </c>
      <c r="Y156" s="4" t="s">
        <v>292</v>
      </c>
      <c r="Z156" s="6">
        <v>4</v>
      </c>
      <c r="AA156" s="6">
        <v>1</v>
      </c>
      <c r="AB156" s="5">
        <v>59.2</v>
      </c>
      <c r="AC156" s="6">
        <v>1</v>
      </c>
      <c r="AD156" s="6">
        <v>1</v>
      </c>
      <c r="AE156" s="5">
        <v>59.2</v>
      </c>
      <c r="AF156" s="5">
        <v>59.2</v>
      </c>
      <c r="AG156" s="7">
        <v>7</v>
      </c>
      <c r="AH156" s="7">
        <v>0</v>
      </c>
      <c r="AI156" s="7">
        <v>17</v>
      </c>
      <c r="AJ156" s="7">
        <v>0</v>
      </c>
      <c r="AK156" s="8">
        <v>44115.528090277781</v>
      </c>
      <c r="AL156" s="7">
        <v>1.1000000000000001</v>
      </c>
      <c r="AM156" s="7">
        <v>100</v>
      </c>
      <c r="AN156" s="7">
        <v>0</v>
      </c>
      <c r="AO156" s="7">
        <v>0.77</v>
      </c>
      <c r="AP156" s="7">
        <v>0</v>
      </c>
      <c r="AQ156" s="7">
        <v>2.27</v>
      </c>
      <c r="AR156" s="7">
        <v>0.43</v>
      </c>
      <c r="AS156" s="4" t="s">
        <v>303</v>
      </c>
      <c r="AT156" s="7">
        <v>0</v>
      </c>
      <c r="AU156" s="4" t="s">
        <v>398</v>
      </c>
      <c r="AV156" s="4" t="s">
        <v>305</v>
      </c>
    </row>
    <row r="157" spans="1:49" s="4" customFormat="1" x14ac:dyDescent="0.25">
      <c r="A157" s="4" t="s">
        <v>11201</v>
      </c>
      <c r="B157" s="4" t="s">
        <v>293</v>
      </c>
      <c r="C157" s="4" t="s">
        <v>399</v>
      </c>
      <c r="D157" s="4" t="s">
        <v>400</v>
      </c>
      <c r="F157" s="4" t="s">
        <v>11462</v>
      </c>
      <c r="G157" s="4" t="s">
        <v>11463</v>
      </c>
      <c r="I157" s="4" t="s">
        <v>296</v>
      </c>
      <c r="J157" s="4" t="s">
        <v>297</v>
      </c>
      <c r="K157" s="4" t="s">
        <v>368</v>
      </c>
      <c r="L157" s="4" t="s">
        <v>299</v>
      </c>
      <c r="M157" s="4" t="s">
        <v>300</v>
      </c>
      <c r="N157" s="4" t="s">
        <v>11198</v>
      </c>
      <c r="O157" s="5">
        <v>109.85299999999999</v>
      </c>
      <c r="P157" s="6">
        <v>1</v>
      </c>
      <c r="Q157" s="7">
        <v>9.25</v>
      </c>
      <c r="R157" s="7">
        <v>12</v>
      </c>
      <c r="S157" s="4" t="s">
        <v>301</v>
      </c>
      <c r="T157" s="4" t="s">
        <v>302</v>
      </c>
      <c r="U157" s="5">
        <v>139.49600000000001</v>
      </c>
      <c r="V157" s="6">
        <v>0.45</v>
      </c>
      <c r="W157" s="7">
        <v>1.5</v>
      </c>
      <c r="X157" s="5">
        <v>50.472999999999999</v>
      </c>
      <c r="Y157" s="4" t="s">
        <v>292</v>
      </c>
      <c r="Z157" s="6">
        <v>1</v>
      </c>
      <c r="AA157" s="6">
        <v>1</v>
      </c>
      <c r="AB157" s="5">
        <v>50.472999999999999</v>
      </c>
      <c r="AC157" s="6">
        <v>1</v>
      </c>
      <c r="AD157" s="6">
        <v>1</v>
      </c>
      <c r="AE157" s="5">
        <v>50.472999999999999</v>
      </c>
      <c r="AF157" s="7">
        <v>10</v>
      </c>
      <c r="AG157" s="7">
        <v>12</v>
      </c>
      <c r="AH157" s="7">
        <v>9.25</v>
      </c>
      <c r="AI157" s="7">
        <v>0</v>
      </c>
      <c r="AJ157" s="7">
        <v>0</v>
      </c>
      <c r="AK157" s="8">
        <v>44115.509675925925</v>
      </c>
      <c r="AL157" s="7">
        <v>6.28</v>
      </c>
      <c r="AM157" s="7">
        <v>100</v>
      </c>
      <c r="AN157" s="7">
        <v>0</v>
      </c>
      <c r="AO157" s="7">
        <v>7.53</v>
      </c>
      <c r="AP157" s="7">
        <v>5.81</v>
      </c>
      <c r="AQ157" s="7">
        <v>0</v>
      </c>
      <c r="AR157" s="7">
        <v>1.04</v>
      </c>
      <c r="AS157" s="4" t="s">
        <v>303</v>
      </c>
      <c r="AT157" s="7">
        <v>0</v>
      </c>
      <c r="AU157" s="4" t="s">
        <v>401</v>
      </c>
      <c r="AV157" s="4" t="s">
        <v>305</v>
      </c>
      <c r="AW157" s="4" t="s">
        <v>292</v>
      </c>
    </row>
    <row r="158" spans="1:49" s="4" customFormat="1" x14ac:dyDescent="0.25">
      <c r="A158" s="4" t="s">
        <v>11199</v>
      </c>
      <c r="B158" s="4" t="s">
        <v>293</v>
      </c>
      <c r="C158" s="4" t="s">
        <v>399</v>
      </c>
      <c r="D158" s="4" t="s">
        <v>400</v>
      </c>
      <c r="F158" s="4" t="s">
        <v>11462</v>
      </c>
      <c r="G158" s="4" t="s">
        <v>11463</v>
      </c>
      <c r="I158" s="4" t="s">
        <v>296</v>
      </c>
      <c r="J158" s="4" t="s">
        <v>297</v>
      </c>
      <c r="K158" s="4" t="s">
        <v>368</v>
      </c>
      <c r="L158" s="4" t="s">
        <v>299</v>
      </c>
      <c r="M158" s="4" t="s">
        <v>300</v>
      </c>
      <c r="N158" s="4" t="s">
        <v>11198</v>
      </c>
      <c r="O158" s="5">
        <v>109.85299999999999</v>
      </c>
      <c r="P158" s="6">
        <v>1</v>
      </c>
      <c r="Q158" s="7">
        <v>9.25</v>
      </c>
      <c r="R158" s="7">
        <v>7</v>
      </c>
      <c r="S158" s="4" t="s">
        <v>301</v>
      </c>
      <c r="T158" s="4" t="s">
        <v>302</v>
      </c>
      <c r="U158" s="5">
        <v>131.16800000000001</v>
      </c>
      <c r="V158" s="6">
        <v>0.45</v>
      </c>
      <c r="W158" s="7">
        <v>2</v>
      </c>
      <c r="X158" s="5">
        <v>50.735999999999997</v>
      </c>
      <c r="Y158" s="4" t="s">
        <v>292</v>
      </c>
      <c r="Z158" s="6">
        <v>1</v>
      </c>
      <c r="AA158" s="6">
        <v>1</v>
      </c>
      <c r="AB158" s="5">
        <v>50.735999999999997</v>
      </c>
      <c r="AC158" s="6">
        <v>1</v>
      </c>
      <c r="AD158" s="6">
        <v>1</v>
      </c>
      <c r="AE158" s="5">
        <v>50.735999999999997</v>
      </c>
      <c r="AF158" s="7">
        <v>10</v>
      </c>
      <c r="AG158" s="7">
        <v>7</v>
      </c>
      <c r="AH158" s="7">
        <v>9.25</v>
      </c>
      <c r="AI158" s="7">
        <v>0</v>
      </c>
      <c r="AJ158" s="7">
        <v>0</v>
      </c>
      <c r="AK158" s="8">
        <v>44115.511388888888</v>
      </c>
      <c r="AL158" s="7">
        <v>5.9</v>
      </c>
      <c r="AM158" s="7">
        <v>100</v>
      </c>
      <c r="AN158" s="7">
        <v>0</v>
      </c>
      <c r="AO158" s="7">
        <v>4.13</v>
      </c>
      <c r="AP158" s="7">
        <v>5.46</v>
      </c>
      <c r="AQ158" s="7">
        <v>0</v>
      </c>
      <c r="AR158" s="7">
        <v>1.3</v>
      </c>
      <c r="AS158" s="4" t="s">
        <v>303</v>
      </c>
      <c r="AT158" s="7">
        <v>0</v>
      </c>
      <c r="AU158" s="4" t="s">
        <v>401</v>
      </c>
      <c r="AV158" s="4" t="s">
        <v>305</v>
      </c>
      <c r="AW158" s="4" t="s">
        <v>292</v>
      </c>
    </row>
    <row r="159" spans="1:49" s="4" customFormat="1" x14ac:dyDescent="0.25">
      <c r="A159" s="4" t="s">
        <v>395</v>
      </c>
      <c r="B159" s="4" t="s">
        <v>293</v>
      </c>
      <c r="C159" s="4" t="s">
        <v>399</v>
      </c>
      <c r="D159" s="4" t="s">
        <v>400</v>
      </c>
      <c r="F159" s="4" t="s">
        <v>11462</v>
      </c>
      <c r="G159" s="4" t="s">
        <v>11463</v>
      </c>
      <c r="I159" s="4" t="s">
        <v>296</v>
      </c>
      <c r="J159" s="4" t="s">
        <v>297</v>
      </c>
      <c r="K159" s="4" t="s">
        <v>368</v>
      </c>
      <c r="L159" s="4" t="s">
        <v>299</v>
      </c>
      <c r="M159" s="4" t="s">
        <v>300</v>
      </c>
      <c r="N159" s="4" t="s">
        <v>447</v>
      </c>
      <c r="O159" s="5">
        <v>109.85299999999999</v>
      </c>
      <c r="P159" s="6">
        <v>1</v>
      </c>
      <c r="Q159" s="7">
        <v>9.25</v>
      </c>
      <c r="R159" s="7">
        <v>7</v>
      </c>
      <c r="S159" s="4" t="s">
        <v>301</v>
      </c>
      <c r="T159" s="4" t="s">
        <v>302</v>
      </c>
      <c r="U159" s="5">
        <v>131.16800000000001</v>
      </c>
      <c r="V159" s="6">
        <v>0.45</v>
      </c>
      <c r="W159" s="7">
        <v>4</v>
      </c>
      <c r="X159" s="5">
        <v>69.135999999999996</v>
      </c>
      <c r="Y159" s="4" t="s">
        <v>292</v>
      </c>
      <c r="Z159" s="6">
        <v>1</v>
      </c>
      <c r="AA159" s="6">
        <v>0.75266100000000002</v>
      </c>
      <c r="AB159" s="5">
        <v>69.135999999999996</v>
      </c>
      <c r="AC159" s="6">
        <v>1</v>
      </c>
      <c r="AD159" s="6">
        <v>0.75266100000000002</v>
      </c>
      <c r="AE159" s="5">
        <v>69.135999999999996</v>
      </c>
      <c r="AF159" s="7">
        <v>10</v>
      </c>
      <c r="AG159" s="7">
        <v>7</v>
      </c>
      <c r="AH159" s="7">
        <v>9.25</v>
      </c>
      <c r="AI159" s="7">
        <v>17</v>
      </c>
      <c r="AJ159" s="7">
        <v>0</v>
      </c>
      <c r="AK159" s="8">
        <v>44115.511388888888</v>
      </c>
      <c r="AL159" s="7">
        <v>5.9</v>
      </c>
      <c r="AM159" s="7">
        <v>100</v>
      </c>
      <c r="AN159" s="7">
        <v>0</v>
      </c>
      <c r="AO159" s="7">
        <v>4.13</v>
      </c>
      <c r="AP159" s="7">
        <v>5.46</v>
      </c>
      <c r="AQ159" s="7">
        <v>12.47</v>
      </c>
      <c r="AR159" s="7">
        <v>3.1</v>
      </c>
      <c r="AS159" s="4" t="s">
        <v>303</v>
      </c>
      <c r="AT159" s="7">
        <v>0</v>
      </c>
      <c r="AU159" s="4" t="s">
        <v>401</v>
      </c>
      <c r="AV159" s="4" t="s">
        <v>305</v>
      </c>
      <c r="AW159" s="4" t="s">
        <v>292</v>
      </c>
    </row>
    <row r="160" spans="1:49" s="4" customFormat="1" x14ac:dyDescent="0.25">
      <c r="A160" s="4" t="s">
        <v>11200</v>
      </c>
      <c r="B160" s="4" t="s">
        <v>293</v>
      </c>
      <c r="C160" s="4" t="s">
        <v>399</v>
      </c>
      <c r="D160" s="4" t="s">
        <v>400</v>
      </c>
      <c r="F160" s="4" t="s">
        <v>11462</v>
      </c>
      <c r="G160" s="4" t="s">
        <v>11463</v>
      </c>
      <c r="I160" s="4" t="s">
        <v>296</v>
      </c>
      <c r="J160" s="4" t="s">
        <v>297</v>
      </c>
      <c r="K160" s="4" t="s">
        <v>368</v>
      </c>
      <c r="L160" s="4" t="s">
        <v>299</v>
      </c>
      <c r="M160" s="4" t="s">
        <v>300</v>
      </c>
      <c r="N160" s="4" t="s">
        <v>11198</v>
      </c>
      <c r="O160" s="5">
        <v>109.85299999999999</v>
      </c>
      <c r="P160" s="6">
        <v>1</v>
      </c>
      <c r="Q160" s="7">
        <v>9.25</v>
      </c>
      <c r="R160" s="7">
        <v>18</v>
      </c>
      <c r="S160" s="4" t="s">
        <v>301</v>
      </c>
      <c r="T160" s="4" t="s">
        <v>302</v>
      </c>
      <c r="U160" s="5">
        <v>151.001</v>
      </c>
      <c r="V160" s="6">
        <v>0.45</v>
      </c>
      <c r="W160" s="7">
        <v>1.5</v>
      </c>
      <c r="X160" s="5">
        <v>50.56</v>
      </c>
      <c r="Y160" s="4" t="s">
        <v>292</v>
      </c>
      <c r="Z160" s="6">
        <v>1</v>
      </c>
      <c r="AA160" s="6">
        <v>1</v>
      </c>
      <c r="AB160" s="5">
        <v>50.56</v>
      </c>
      <c r="AC160" s="6">
        <v>1</v>
      </c>
      <c r="AD160" s="6">
        <v>1</v>
      </c>
      <c r="AE160" s="5">
        <v>50.56</v>
      </c>
      <c r="AF160" s="7">
        <v>10</v>
      </c>
      <c r="AG160" s="7">
        <v>18</v>
      </c>
      <c r="AH160" s="7">
        <v>9.25</v>
      </c>
      <c r="AI160" s="7">
        <v>0</v>
      </c>
      <c r="AJ160" s="7">
        <v>0</v>
      </c>
      <c r="AK160" s="8">
        <v>44115.505196759259</v>
      </c>
      <c r="AL160" s="7">
        <v>6.8</v>
      </c>
      <c r="AM160" s="7">
        <v>100</v>
      </c>
      <c r="AN160" s="7">
        <v>0</v>
      </c>
      <c r="AO160" s="7">
        <v>12.23</v>
      </c>
      <c r="AP160" s="7">
        <v>6.28</v>
      </c>
      <c r="AQ160" s="7">
        <v>0</v>
      </c>
      <c r="AR160" s="7">
        <v>1.1200000000000001</v>
      </c>
      <c r="AS160" s="4" t="s">
        <v>303</v>
      </c>
      <c r="AT160" s="7">
        <v>0</v>
      </c>
      <c r="AU160" s="4" t="s">
        <v>401</v>
      </c>
      <c r="AV160" s="4" t="s">
        <v>305</v>
      </c>
      <c r="AW160" s="4" t="s">
        <v>292</v>
      </c>
    </row>
    <row r="161" spans="1:49" s="4" customFormat="1" x14ac:dyDescent="0.25">
      <c r="A161" s="4" t="s">
        <v>11207</v>
      </c>
      <c r="B161" s="4" t="s">
        <v>293</v>
      </c>
      <c r="C161" s="4" t="s">
        <v>399</v>
      </c>
      <c r="D161" s="4" t="s">
        <v>400</v>
      </c>
      <c r="F161" s="4" t="s">
        <v>11236</v>
      </c>
      <c r="G161" s="4" t="s">
        <v>11237</v>
      </c>
      <c r="I161" s="4" t="s">
        <v>296</v>
      </c>
      <c r="J161" s="4" t="s">
        <v>297</v>
      </c>
      <c r="K161" s="4" t="s">
        <v>368</v>
      </c>
      <c r="L161" s="4" t="s">
        <v>299</v>
      </c>
      <c r="M161" s="4" t="s">
        <v>300</v>
      </c>
      <c r="N161" s="4" t="s">
        <v>11238</v>
      </c>
      <c r="O161" s="5">
        <v>50.56</v>
      </c>
      <c r="P161" s="6">
        <v>1</v>
      </c>
      <c r="Q161" s="7">
        <v>9.25</v>
      </c>
      <c r="R161" s="7">
        <v>7</v>
      </c>
      <c r="S161" s="4" t="s">
        <v>301</v>
      </c>
      <c r="T161" s="4" t="s">
        <v>302</v>
      </c>
      <c r="U161" s="5">
        <v>60.37</v>
      </c>
      <c r="V161" s="6">
        <v>0.25</v>
      </c>
      <c r="W161" s="7">
        <v>3</v>
      </c>
      <c r="X161" s="5">
        <v>20.312999999999999</v>
      </c>
      <c r="Y161" s="4" t="s">
        <v>292</v>
      </c>
      <c r="Z161" s="6">
        <v>4</v>
      </c>
      <c r="AA161" s="6">
        <v>1</v>
      </c>
      <c r="AB161" s="5">
        <v>81.251999999999995</v>
      </c>
      <c r="AC161" s="6">
        <v>1</v>
      </c>
      <c r="AD161" s="6">
        <v>1</v>
      </c>
      <c r="AE161" s="5">
        <v>81.251999999999995</v>
      </c>
      <c r="AF161" s="5">
        <v>81.251999999999995</v>
      </c>
      <c r="AG161" s="7">
        <v>7</v>
      </c>
      <c r="AH161" s="7">
        <v>0</v>
      </c>
      <c r="AI161" s="7">
        <v>17</v>
      </c>
      <c r="AJ161" s="7">
        <v>0</v>
      </c>
      <c r="AK161" s="8">
        <v>44115.52815972222</v>
      </c>
      <c r="AL161" s="7">
        <v>1.51</v>
      </c>
      <c r="AM161" s="7">
        <v>100</v>
      </c>
      <c r="AN161" s="7">
        <v>0</v>
      </c>
      <c r="AO161" s="7">
        <v>1.06</v>
      </c>
      <c r="AP161" s="7">
        <v>0</v>
      </c>
      <c r="AQ161" s="7">
        <v>3.12</v>
      </c>
      <c r="AR161" s="7">
        <v>0.59</v>
      </c>
      <c r="AS161" s="4" t="s">
        <v>303</v>
      </c>
      <c r="AT161" s="7">
        <v>0</v>
      </c>
      <c r="AU161" s="4" t="s">
        <v>401</v>
      </c>
      <c r="AV161" s="4" t="s">
        <v>305</v>
      </c>
    </row>
    <row r="162" spans="1:49" s="4" customFormat="1" x14ac:dyDescent="0.25">
      <c r="A162" s="4" t="s">
        <v>11201</v>
      </c>
      <c r="B162" s="4" t="s">
        <v>293</v>
      </c>
      <c r="C162" s="4" t="s">
        <v>402</v>
      </c>
      <c r="D162" s="4" t="s">
        <v>403</v>
      </c>
      <c r="F162" s="4" t="s">
        <v>11462</v>
      </c>
      <c r="G162" s="4" t="s">
        <v>11463</v>
      </c>
      <c r="I162" s="4" t="s">
        <v>296</v>
      </c>
      <c r="J162" s="4" t="s">
        <v>297</v>
      </c>
      <c r="K162" s="4" t="s">
        <v>368</v>
      </c>
      <c r="L162" s="4" t="s">
        <v>299</v>
      </c>
      <c r="M162" s="4" t="s">
        <v>300</v>
      </c>
      <c r="N162" s="4" t="s">
        <v>11198</v>
      </c>
      <c r="O162" s="5">
        <v>105.131</v>
      </c>
      <c r="P162" s="6">
        <v>1</v>
      </c>
      <c r="Q162" s="7">
        <v>9.25</v>
      </c>
      <c r="R162" s="7">
        <v>12</v>
      </c>
      <c r="S162" s="4" t="s">
        <v>301</v>
      </c>
      <c r="T162" s="4" t="s">
        <v>302</v>
      </c>
      <c r="U162" s="5">
        <v>133.5</v>
      </c>
      <c r="V162" s="6">
        <v>0.45</v>
      </c>
      <c r="W162" s="7">
        <v>1.5</v>
      </c>
      <c r="X162" s="5">
        <v>48.295000000000002</v>
      </c>
      <c r="Y162" s="4" t="s">
        <v>292</v>
      </c>
      <c r="Z162" s="6">
        <v>1</v>
      </c>
      <c r="AA162" s="6">
        <v>1</v>
      </c>
      <c r="AB162" s="5">
        <v>48.295000000000002</v>
      </c>
      <c r="AC162" s="6">
        <v>1</v>
      </c>
      <c r="AD162" s="6">
        <v>1</v>
      </c>
      <c r="AE162" s="5">
        <v>48.295000000000002</v>
      </c>
      <c r="AF162" s="7">
        <v>10</v>
      </c>
      <c r="AG162" s="7">
        <v>12</v>
      </c>
      <c r="AH162" s="7">
        <v>9.25</v>
      </c>
      <c r="AI162" s="7">
        <v>0</v>
      </c>
      <c r="AJ162" s="7">
        <v>0</v>
      </c>
      <c r="AK162" s="8">
        <v>44115.00503472222</v>
      </c>
      <c r="AL162" s="7">
        <v>6.01</v>
      </c>
      <c r="AM162" s="7">
        <v>100</v>
      </c>
      <c r="AN162" s="7">
        <v>0</v>
      </c>
      <c r="AO162" s="7">
        <v>7.21</v>
      </c>
      <c r="AP162" s="7">
        <v>5.56</v>
      </c>
      <c r="AQ162" s="7">
        <v>0</v>
      </c>
      <c r="AR162" s="7">
        <v>0.99</v>
      </c>
      <c r="AS162" s="4" t="s">
        <v>303</v>
      </c>
      <c r="AT162" s="7">
        <v>0</v>
      </c>
      <c r="AU162" s="4" t="s">
        <v>404</v>
      </c>
      <c r="AV162" s="4" t="s">
        <v>305</v>
      </c>
      <c r="AW162" s="4" t="s">
        <v>296</v>
      </c>
    </row>
    <row r="163" spans="1:49" s="4" customFormat="1" x14ac:dyDescent="0.25">
      <c r="A163" s="4" t="s">
        <v>11199</v>
      </c>
      <c r="B163" s="4" t="s">
        <v>293</v>
      </c>
      <c r="C163" s="4" t="s">
        <v>402</v>
      </c>
      <c r="D163" s="4" t="s">
        <v>403</v>
      </c>
      <c r="F163" s="4" t="s">
        <v>11462</v>
      </c>
      <c r="G163" s="4" t="s">
        <v>11463</v>
      </c>
      <c r="I163" s="4" t="s">
        <v>296</v>
      </c>
      <c r="J163" s="4" t="s">
        <v>297</v>
      </c>
      <c r="K163" s="4" t="s">
        <v>368</v>
      </c>
      <c r="L163" s="4" t="s">
        <v>299</v>
      </c>
      <c r="M163" s="4" t="s">
        <v>300</v>
      </c>
      <c r="N163" s="4" t="s">
        <v>11198</v>
      </c>
      <c r="O163" s="5">
        <v>105.131</v>
      </c>
      <c r="P163" s="6">
        <v>1</v>
      </c>
      <c r="Q163" s="7">
        <v>9.25</v>
      </c>
      <c r="R163" s="7">
        <v>7</v>
      </c>
      <c r="S163" s="4" t="s">
        <v>301</v>
      </c>
      <c r="T163" s="4" t="s">
        <v>302</v>
      </c>
      <c r="U163" s="5">
        <v>125.53</v>
      </c>
      <c r="V163" s="6">
        <v>0.45</v>
      </c>
      <c r="W163" s="7">
        <v>2</v>
      </c>
      <c r="X163" s="5">
        <v>48.558999999999997</v>
      </c>
      <c r="Y163" s="4" t="s">
        <v>292</v>
      </c>
      <c r="Z163" s="6">
        <v>1</v>
      </c>
      <c r="AA163" s="6">
        <v>1</v>
      </c>
      <c r="AB163" s="5">
        <v>48.558999999999997</v>
      </c>
      <c r="AC163" s="6">
        <v>1</v>
      </c>
      <c r="AD163" s="6">
        <v>1</v>
      </c>
      <c r="AE163" s="5">
        <v>48.558999999999997</v>
      </c>
      <c r="AF163" s="7">
        <v>10</v>
      </c>
      <c r="AG163" s="7">
        <v>7</v>
      </c>
      <c r="AH163" s="7">
        <v>9.25</v>
      </c>
      <c r="AI163" s="7">
        <v>0</v>
      </c>
      <c r="AJ163" s="7">
        <v>0</v>
      </c>
      <c r="AK163" s="8">
        <v>44115.006678240738</v>
      </c>
      <c r="AL163" s="7">
        <v>5.65</v>
      </c>
      <c r="AM163" s="7">
        <v>100</v>
      </c>
      <c r="AN163" s="7">
        <v>0</v>
      </c>
      <c r="AO163" s="7">
        <v>3.95</v>
      </c>
      <c r="AP163" s="7">
        <v>5.22</v>
      </c>
      <c r="AQ163" s="7">
        <v>0</v>
      </c>
      <c r="AR163" s="7">
        <v>1.24</v>
      </c>
      <c r="AS163" s="4" t="s">
        <v>303</v>
      </c>
      <c r="AT163" s="7">
        <v>0</v>
      </c>
      <c r="AU163" s="4" t="s">
        <v>404</v>
      </c>
      <c r="AV163" s="4" t="s">
        <v>305</v>
      </c>
      <c r="AW163" s="4" t="s">
        <v>296</v>
      </c>
    </row>
    <row r="164" spans="1:49" s="4" customFormat="1" x14ac:dyDescent="0.25">
      <c r="A164" s="4" t="s">
        <v>395</v>
      </c>
      <c r="B164" s="4" t="s">
        <v>293</v>
      </c>
      <c r="C164" s="4" t="s">
        <v>402</v>
      </c>
      <c r="D164" s="4" t="s">
        <v>403</v>
      </c>
      <c r="F164" s="4" t="s">
        <v>11239</v>
      </c>
      <c r="G164" s="4" t="s">
        <v>11240</v>
      </c>
      <c r="I164" s="4" t="s">
        <v>292</v>
      </c>
      <c r="J164" s="4" t="s">
        <v>297</v>
      </c>
      <c r="K164" s="4" t="s">
        <v>368</v>
      </c>
      <c r="L164" s="4" t="s">
        <v>299</v>
      </c>
      <c r="M164" s="4" t="s">
        <v>300</v>
      </c>
      <c r="N164" s="4" t="s">
        <v>11241</v>
      </c>
      <c r="O164" s="5">
        <v>48.56</v>
      </c>
      <c r="P164" s="6">
        <v>1</v>
      </c>
      <c r="Q164" s="7">
        <v>0</v>
      </c>
      <c r="R164" s="7">
        <v>12</v>
      </c>
      <c r="S164" s="4" t="s">
        <v>301</v>
      </c>
      <c r="T164" s="4" t="s">
        <v>302</v>
      </c>
      <c r="U164" s="5">
        <v>55.182000000000002</v>
      </c>
      <c r="V164" s="6">
        <v>1</v>
      </c>
      <c r="W164" s="7">
        <v>4</v>
      </c>
      <c r="X164" s="5">
        <v>66.861999999999995</v>
      </c>
      <c r="Y164" s="4" t="s">
        <v>292</v>
      </c>
      <c r="Z164" s="6">
        <v>1</v>
      </c>
      <c r="AA164" s="6">
        <v>0.76264500000000002</v>
      </c>
      <c r="AB164" s="5">
        <v>66.861999999999995</v>
      </c>
      <c r="AC164" s="6">
        <v>1</v>
      </c>
      <c r="AD164" s="6">
        <v>0.76264500000000002</v>
      </c>
      <c r="AE164" s="5">
        <v>66.861999999999995</v>
      </c>
      <c r="AF164" s="5">
        <v>66.861999999999995</v>
      </c>
      <c r="AG164" s="7">
        <v>12</v>
      </c>
      <c r="AH164" s="7">
        <v>0</v>
      </c>
      <c r="AI164" s="7">
        <v>17</v>
      </c>
      <c r="AJ164" s="7">
        <v>0</v>
      </c>
      <c r="AK164" s="8">
        <v>44115.006678240738</v>
      </c>
      <c r="AL164" s="7">
        <v>5.52</v>
      </c>
      <c r="AM164" s="7">
        <v>100</v>
      </c>
      <c r="AN164" s="7">
        <v>0</v>
      </c>
      <c r="AO164" s="7">
        <v>6.62</v>
      </c>
      <c r="AP164" s="7">
        <v>0</v>
      </c>
      <c r="AQ164" s="7">
        <v>8.9</v>
      </c>
      <c r="AR164" s="7">
        <v>2.78</v>
      </c>
      <c r="AS164" s="4" t="s">
        <v>303</v>
      </c>
      <c r="AT164" s="7">
        <v>0</v>
      </c>
      <c r="AU164" s="4" t="s">
        <v>404</v>
      </c>
      <c r="AV164" s="4" t="s">
        <v>305</v>
      </c>
    </row>
    <row r="165" spans="1:49" s="4" customFormat="1" x14ac:dyDescent="0.25">
      <c r="A165" s="4" t="s">
        <v>395</v>
      </c>
      <c r="B165" s="4" t="s">
        <v>293</v>
      </c>
      <c r="C165" s="4" t="s">
        <v>402</v>
      </c>
      <c r="D165" s="4" t="s">
        <v>403</v>
      </c>
      <c r="F165" s="4" t="s">
        <v>11462</v>
      </c>
      <c r="G165" s="4" t="s">
        <v>11463</v>
      </c>
      <c r="I165" s="4" t="s">
        <v>296</v>
      </c>
      <c r="J165" s="4" t="s">
        <v>297</v>
      </c>
      <c r="K165" s="4" t="s">
        <v>368</v>
      </c>
      <c r="L165" s="4" t="s">
        <v>299</v>
      </c>
      <c r="M165" s="4" t="s">
        <v>300</v>
      </c>
      <c r="N165" s="4" t="s">
        <v>447</v>
      </c>
      <c r="O165" s="5">
        <v>105.131</v>
      </c>
      <c r="P165" s="6">
        <v>1</v>
      </c>
      <c r="Q165" s="7">
        <v>9.25</v>
      </c>
      <c r="R165" s="7">
        <v>7</v>
      </c>
      <c r="S165" s="4" t="s">
        <v>301</v>
      </c>
      <c r="T165" s="4" t="s">
        <v>302</v>
      </c>
      <c r="U165" s="5">
        <v>125.53</v>
      </c>
      <c r="V165" s="6">
        <v>0.45</v>
      </c>
      <c r="W165" s="7">
        <v>4</v>
      </c>
      <c r="X165" s="5">
        <v>66.159000000000006</v>
      </c>
      <c r="Y165" s="4" t="s">
        <v>292</v>
      </c>
      <c r="Z165" s="6">
        <v>1</v>
      </c>
      <c r="AA165" s="6">
        <v>0.75286799999999998</v>
      </c>
      <c r="AB165" s="5">
        <v>66.159000000000006</v>
      </c>
      <c r="AC165" s="6">
        <v>1</v>
      </c>
      <c r="AD165" s="6">
        <v>0.75286799999999998</v>
      </c>
      <c r="AE165" s="5">
        <v>66.159000000000006</v>
      </c>
      <c r="AF165" s="7">
        <v>10</v>
      </c>
      <c r="AG165" s="7">
        <v>7</v>
      </c>
      <c r="AH165" s="7">
        <v>9.25</v>
      </c>
      <c r="AI165" s="7">
        <v>17</v>
      </c>
      <c r="AJ165" s="7">
        <v>0</v>
      </c>
      <c r="AK165" s="8">
        <v>44115.511469907404</v>
      </c>
      <c r="AL165" s="7">
        <v>5.65</v>
      </c>
      <c r="AM165" s="7">
        <v>100</v>
      </c>
      <c r="AN165" s="7">
        <v>0</v>
      </c>
      <c r="AO165" s="7">
        <v>3.95</v>
      </c>
      <c r="AP165" s="7">
        <v>5.22</v>
      </c>
      <c r="AQ165" s="7">
        <v>11.93</v>
      </c>
      <c r="AR165" s="7">
        <v>2.96</v>
      </c>
      <c r="AS165" s="4" t="s">
        <v>303</v>
      </c>
      <c r="AT165" s="7">
        <v>0</v>
      </c>
      <c r="AU165" s="4" t="s">
        <v>404</v>
      </c>
      <c r="AV165" s="4" t="s">
        <v>305</v>
      </c>
      <c r="AW165" s="4" t="s">
        <v>292</v>
      </c>
    </row>
    <row r="166" spans="1:49" s="4" customFormat="1" x14ac:dyDescent="0.25">
      <c r="A166" s="4" t="s">
        <v>11200</v>
      </c>
      <c r="B166" s="4" t="s">
        <v>293</v>
      </c>
      <c r="C166" s="4" t="s">
        <v>402</v>
      </c>
      <c r="D166" s="4" t="s">
        <v>403</v>
      </c>
      <c r="F166" s="4" t="s">
        <v>11462</v>
      </c>
      <c r="G166" s="4" t="s">
        <v>11463</v>
      </c>
      <c r="I166" s="4" t="s">
        <v>296</v>
      </c>
      <c r="J166" s="4" t="s">
        <v>297</v>
      </c>
      <c r="K166" s="4" t="s">
        <v>368</v>
      </c>
      <c r="L166" s="4" t="s">
        <v>299</v>
      </c>
      <c r="M166" s="4" t="s">
        <v>300</v>
      </c>
      <c r="N166" s="4" t="s">
        <v>11198</v>
      </c>
      <c r="O166" s="5">
        <v>105.131</v>
      </c>
      <c r="P166" s="6">
        <v>1</v>
      </c>
      <c r="Q166" s="7">
        <v>9.25</v>
      </c>
      <c r="R166" s="7">
        <v>18</v>
      </c>
      <c r="S166" s="4" t="s">
        <v>301</v>
      </c>
      <c r="T166" s="4" t="s">
        <v>302</v>
      </c>
      <c r="U166" s="5">
        <v>144.51</v>
      </c>
      <c r="V166" s="6">
        <v>0.45</v>
      </c>
      <c r="W166" s="7">
        <v>1.5</v>
      </c>
      <c r="X166" s="5">
        <v>48.39</v>
      </c>
      <c r="Y166" s="4" t="s">
        <v>292</v>
      </c>
      <c r="Z166" s="6">
        <v>1</v>
      </c>
      <c r="AA166" s="6">
        <v>1</v>
      </c>
      <c r="AB166" s="5">
        <v>48.39</v>
      </c>
      <c r="AC166" s="6">
        <v>1</v>
      </c>
      <c r="AD166" s="6">
        <v>1</v>
      </c>
      <c r="AE166" s="5">
        <v>48.39</v>
      </c>
      <c r="AF166" s="7">
        <v>10</v>
      </c>
      <c r="AG166" s="7">
        <v>18</v>
      </c>
      <c r="AH166" s="7">
        <v>9.25</v>
      </c>
      <c r="AI166" s="7">
        <v>0</v>
      </c>
      <c r="AJ166" s="7">
        <v>0</v>
      </c>
      <c r="AK166" s="8">
        <v>44115.001828703702</v>
      </c>
      <c r="AL166" s="7">
        <v>6.5</v>
      </c>
      <c r="AM166" s="7">
        <v>100</v>
      </c>
      <c r="AN166" s="7">
        <v>0</v>
      </c>
      <c r="AO166" s="7">
        <v>11.7</v>
      </c>
      <c r="AP166" s="7">
        <v>6.01</v>
      </c>
      <c r="AQ166" s="7">
        <v>0</v>
      </c>
      <c r="AR166" s="7">
        <v>1.07</v>
      </c>
      <c r="AS166" s="4" t="s">
        <v>303</v>
      </c>
      <c r="AT166" s="7">
        <v>0</v>
      </c>
      <c r="AU166" s="4" t="s">
        <v>404</v>
      </c>
      <c r="AV166" s="4" t="s">
        <v>305</v>
      </c>
      <c r="AW166" s="4" t="s">
        <v>296</v>
      </c>
    </row>
    <row r="167" spans="1:49" s="4" customFormat="1" x14ac:dyDescent="0.25">
      <c r="A167" s="4" t="s">
        <v>11201</v>
      </c>
      <c r="B167" s="4" t="s">
        <v>293</v>
      </c>
      <c r="C167" s="4" t="s">
        <v>405</v>
      </c>
      <c r="D167" s="4" t="s">
        <v>406</v>
      </c>
      <c r="F167" s="4" t="s">
        <v>11462</v>
      </c>
      <c r="G167" s="4" t="s">
        <v>11463</v>
      </c>
      <c r="I167" s="4" t="s">
        <v>296</v>
      </c>
      <c r="J167" s="4" t="s">
        <v>297</v>
      </c>
      <c r="K167" s="4" t="s">
        <v>298</v>
      </c>
      <c r="L167" s="4" t="s">
        <v>299</v>
      </c>
      <c r="M167" s="4" t="s">
        <v>300</v>
      </c>
      <c r="N167" s="4" t="s">
        <v>11198</v>
      </c>
      <c r="O167" s="5">
        <v>116.926</v>
      </c>
      <c r="P167" s="6">
        <v>1</v>
      </c>
      <c r="Q167" s="7">
        <v>9.25</v>
      </c>
      <c r="R167" s="7">
        <v>12</v>
      </c>
      <c r="S167" s="4" t="s">
        <v>301</v>
      </c>
      <c r="T167" s="4" t="s">
        <v>302</v>
      </c>
      <c r="U167" s="5">
        <v>148.477</v>
      </c>
      <c r="V167" s="6">
        <v>0.45</v>
      </c>
      <c r="W167" s="7">
        <v>1.5</v>
      </c>
      <c r="X167" s="5">
        <v>53.715000000000003</v>
      </c>
      <c r="Y167" s="4" t="s">
        <v>292</v>
      </c>
      <c r="Z167" s="6">
        <v>1</v>
      </c>
      <c r="AA167" s="6">
        <v>1</v>
      </c>
      <c r="AB167" s="5">
        <v>53.715000000000003</v>
      </c>
      <c r="AC167" s="6">
        <v>1</v>
      </c>
      <c r="AD167" s="6">
        <v>1</v>
      </c>
      <c r="AE167" s="5">
        <v>53.715000000000003</v>
      </c>
      <c r="AF167" s="7">
        <v>10</v>
      </c>
      <c r="AG167" s="7">
        <v>12</v>
      </c>
      <c r="AH167" s="7">
        <v>9.25</v>
      </c>
      <c r="AI167" s="7">
        <v>0</v>
      </c>
      <c r="AJ167" s="7">
        <v>0</v>
      </c>
      <c r="AK167" s="8">
        <v>44115.509699074071</v>
      </c>
      <c r="AL167" s="7">
        <v>6.68</v>
      </c>
      <c r="AM167" s="7">
        <v>100</v>
      </c>
      <c r="AN167" s="7">
        <v>0</v>
      </c>
      <c r="AO167" s="7">
        <v>8.02</v>
      </c>
      <c r="AP167" s="7">
        <v>6.18</v>
      </c>
      <c r="AQ167" s="7">
        <v>0</v>
      </c>
      <c r="AR167" s="7">
        <v>1.1000000000000001</v>
      </c>
      <c r="AS167" s="4" t="s">
        <v>303</v>
      </c>
      <c r="AT167" s="7">
        <v>0</v>
      </c>
      <c r="AU167" s="4" t="s">
        <v>407</v>
      </c>
      <c r="AV167" s="4" t="s">
        <v>305</v>
      </c>
      <c r="AW167" s="4" t="s">
        <v>292</v>
      </c>
    </row>
    <row r="168" spans="1:49" s="4" customFormat="1" x14ac:dyDescent="0.25">
      <c r="A168" s="4" t="s">
        <v>11199</v>
      </c>
      <c r="B168" s="4" t="s">
        <v>293</v>
      </c>
      <c r="C168" s="4" t="s">
        <v>405</v>
      </c>
      <c r="D168" s="4" t="s">
        <v>406</v>
      </c>
      <c r="F168" s="4" t="s">
        <v>11462</v>
      </c>
      <c r="G168" s="4" t="s">
        <v>11463</v>
      </c>
      <c r="I168" s="4" t="s">
        <v>296</v>
      </c>
      <c r="J168" s="4" t="s">
        <v>297</v>
      </c>
      <c r="K168" s="4" t="s">
        <v>298</v>
      </c>
      <c r="L168" s="4" t="s">
        <v>299</v>
      </c>
      <c r="M168" s="4" t="s">
        <v>300</v>
      </c>
      <c r="N168" s="4" t="s">
        <v>11198</v>
      </c>
      <c r="O168" s="5">
        <v>116.92400000000001</v>
      </c>
      <c r="P168" s="6">
        <v>1</v>
      </c>
      <c r="Q168" s="7">
        <v>9.25</v>
      </c>
      <c r="R168" s="7">
        <v>7</v>
      </c>
      <c r="S168" s="4" t="s">
        <v>301</v>
      </c>
      <c r="T168" s="4" t="s">
        <v>302</v>
      </c>
      <c r="U168" s="5">
        <v>139.61099999999999</v>
      </c>
      <c r="V168" s="6">
        <v>0.45</v>
      </c>
      <c r="W168" s="7">
        <v>2</v>
      </c>
      <c r="X168" s="5">
        <v>53.984999999999999</v>
      </c>
      <c r="Y168" s="4" t="s">
        <v>292</v>
      </c>
      <c r="Z168" s="6">
        <v>1</v>
      </c>
      <c r="AA168" s="6">
        <v>1</v>
      </c>
      <c r="AB168" s="5">
        <v>53.984999999999999</v>
      </c>
      <c r="AC168" s="6">
        <v>1</v>
      </c>
      <c r="AD168" s="6">
        <v>1</v>
      </c>
      <c r="AE168" s="5">
        <v>53.984999999999999</v>
      </c>
      <c r="AF168" s="7">
        <v>10</v>
      </c>
      <c r="AG168" s="7">
        <v>7</v>
      </c>
      <c r="AH168" s="7">
        <v>9.25</v>
      </c>
      <c r="AI168" s="7">
        <v>0</v>
      </c>
      <c r="AJ168" s="7">
        <v>0</v>
      </c>
      <c r="AK168" s="8">
        <v>44115.511481481481</v>
      </c>
      <c r="AL168" s="7">
        <v>6.28</v>
      </c>
      <c r="AM168" s="7">
        <v>100</v>
      </c>
      <c r="AN168" s="7">
        <v>0</v>
      </c>
      <c r="AO168" s="7">
        <v>4.4000000000000004</v>
      </c>
      <c r="AP168" s="7">
        <v>5.82</v>
      </c>
      <c r="AQ168" s="7">
        <v>0</v>
      </c>
      <c r="AR168" s="7">
        <v>1.38</v>
      </c>
      <c r="AS168" s="4" t="s">
        <v>303</v>
      </c>
      <c r="AT168" s="7">
        <v>0</v>
      </c>
      <c r="AU168" s="4" t="s">
        <v>407</v>
      </c>
      <c r="AV168" s="4" t="s">
        <v>305</v>
      </c>
      <c r="AW168" s="4" t="s">
        <v>292</v>
      </c>
    </row>
    <row r="169" spans="1:49" s="4" customFormat="1" x14ac:dyDescent="0.25">
      <c r="A169" s="4" t="s">
        <v>395</v>
      </c>
      <c r="B169" s="4" t="s">
        <v>293</v>
      </c>
      <c r="C169" s="4" t="s">
        <v>405</v>
      </c>
      <c r="D169" s="4" t="s">
        <v>406</v>
      </c>
      <c r="F169" s="4" t="s">
        <v>11462</v>
      </c>
      <c r="G169" s="4" t="s">
        <v>11463</v>
      </c>
      <c r="I169" s="4" t="s">
        <v>296</v>
      </c>
      <c r="J169" s="4" t="s">
        <v>297</v>
      </c>
      <c r="K169" s="4" t="s">
        <v>298</v>
      </c>
      <c r="L169" s="4" t="s">
        <v>299</v>
      </c>
      <c r="M169" s="4" t="s">
        <v>300</v>
      </c>
      <c r="N169" s="4" t="s">
        <v>447</v>
      </c>
      <c r="O169" s="5">
        <v>116.92400000000001</v>
      </c>
      <c r="P169" s="6">
        <v>1</v>
      </c>
      <c r="Q169" s="7">
        <v>9.25</v>
      </c>
      <c r="R169" s="7">
        <v>7</v>
      </c>
      <c r="S169" s="4" t="s">
        <v>301</v>
      </c>
      <c r="T169" s="4" t="s">
        <v>302</v>
      </c>
      <c r="U169" s="5">
        <v>139.61099999999999</v>
      </c>
      <c r="V169" s="6">
        <v>0.45</v>
      </c>
      <c r="W169" s="7">
        <v>4</v>
      </c>
      <c r="X169" s="5">
        <v>73.575000000000003</v>
      </c>
      <c r="Y169" s="4" t="s">
        <v>292</v>
      </c>
      <c r="Z169" s="6">
        <v>1</v>
      </c>
      <c r="AA169" s="6">
        <v>0.75249699999999997</v>
      </c>
      <c r="AB169" s="5">
        <v>73.575000000000003</v>
      </c>
      <c r="AC169" s="6">
        <v>1</v>
      </c>
      <c r="AD169" s="6">
        <v>0.75249699999999997</v>
      </c>
      <c r="AE169" s="5">
        <v>73.575000000000003</v>
      </c>
      <c r="AF169" s="7">
        <v>10</v>
      </c>
      <c r="AG169" s="7">
        <v>7</v>
      </c>
      <c r="AH169" s="7">
        <v>9.25</v>
      </c>
      <c r="AI169" s="7">
        <v>17</v>
      </c>
      <c r="AJ169" s="7">
        <v>0</v>
      </c>
      <c r="AK169" s="8">
        <v>44115.511516203704</v>
      </c>
      <c r="AL169" s="7">
        <v>6.28</v>
      </c>
      <c r="AM169" s="7">
        <v>100</v>
      </c>
      <c r="AN169" s="7">
        <v>0</v>
      </c>
      <c r="AO169" s="7">
        <v>4.4000000000000004</v>
      </c>
      <c r="AP169" s="7">
        <v>5.82</v>
      </c>
      <c r="AQ169" s="7">
        <v>13.27</v>
      </c>
      <c r="AR169" s="7">
        <v>3.3</v>
      </c>
      <c r="AS169" s="4" t="s">
        <v>303</v>
      </c>
      <c r="AT169" s="7">
        <v>0</v>
      </c>
      <c r="AU169" s="4" t="s">
        <v>407</v>
      </c>
      <c r="AV169" s="4" t="s">
        <v>305</v>
      </c>
      <c r="AW169" s="4" t="s">
        <v>292</v>
      </c>
    </row>
    <row r="170" spans="1:49" s="4" customFormat="1" x14ac:dyDescent="0.25">
      <c r="A170" s="4" t="s">
        <v>11200</v>
      </c>
      <c r="B170" s="4" t="s">
        <v>293</v>
      </c>
      <c r="C170" s="4" t="s">
        <v>405</v>
      </c>
      <c r="D170" s="4" t="s">
        <v>406</v>
      </c>
      <c r="F170" s="4" t="s">
        <v>11462</v>
      </c>
      <c r="G170" s="4" t="s">
        <v>11463</v>
      </c>
      <c r="I170" s="4" t="s">
        <v>296</v>
      </c>
      <c r="J170" s="4" t="s">
        <v>297</v>
      </c>
      <c r="K170" s="4" t="s">
        <v>298</v>
      </c>
      <c r="L170" s="4" t="s">
        <v>299</v>
      </c>
      <c r="M170" s="4" t="s">
        <v>300</v>
      </c>
      <c r="N170" s="4" t="s">
        <v>11198</v>
      </c>
      <c r="O170" s="5">
        <v>116.92400000000001</v>
      </c>
      <c r="P170" s="6">
        <v>1</v>
      </c>
      <c r="Q170" s="7">
        <v>9.25</v>
      </c>
      <c r="R170" s="7">
        <v>18</v>
      </c>
      <c r="S170" s="4" t="s">
        <v>301</v>
      </c>
      <c r="T170" s="4" t="s">
        <v>302</v>
      </c>
      <c r="U170" s="5">
        <v>160.72</v>
      </c>
      <c r="V170" s="6">
        <v>0.45</v>
      </c>
      <c r="W170" s="7">
        <v>1.5</v>
      </c>
      <c r="X170" s="5">
        <v>53.804000000000002</v>
      </c>
      <c r="Y170" s="4" t="s">
        <v>292</v>
      </c>
      <c r="Z170" s="6">
        <v>1</v>
      </c>
      <c r="AA170" s="6">
        <v>1</v>
      </c>
      <c r="AB170" s="5">
        <v>53.804000000000002</v>
      </c>
      <c r="AC170" s="6">
        <v>1</v>
      </c>
      <c r="AD170" s="6">
        <v>1</v>
      </c>
      <c r="AE170" s="5">
        <v>53.804000000000002</v>
      </c>
      <c r="AF170" s="7">
        <v>10</v>
      </c>
      <c r="AG170" s="7">
        <v>18</v>
      </c>
      <c r="AH170" s="7">
        <v>9.25</v>
      </c>
      <c r="AI170" s="7">
        <v>0</v>
      </c>
      <c r="AJ170" s="7">
        <v>0</v>
      </c>
      <c r="AK170" s="8">
        <v>44115.505243055559</v>
      </c>
      <c r="AL170" s="7">
        <v>7.23</v>
      </c>
      <c r="AM170" s="7">
        <v>100</v>
      </c>
      <c r="AN170" s="7">
        <v>0</v>
      </c>
      <c r="AO170" s="7">
        <v>13.02</v>
      </c>
      <c r="AP170" s="7">
        <v>6.69</v>
      </c>
      <c r="AQ170" s="7">
        <v>0</v>
      </c>
      <c r="AR170" s="7">
        <v>1.19</v>
      </c>
      <c r="AS170" s="4" t="s">
        <v>303</v>
      </c>
      <c r="AT170" s="7">
        <v>0</v>
      </c>
      <c r="AU170" s="4" t="s">
        <v>407</v>
      </c>
      <c r="AV170" s="4" t="s">
        <v>305</v>
      </c>
      <c r="AW170" s="4" t="s">
        <v>292</v>
      </c>
    </row>
    <row r="171" spans="1:49" s="4" customFormat="1" x14ac:dyDescent="0.25">
      <c r="A171" s="4" t="s">
        <v>11207</v>
      </c>
      <c r="B171" s="4" t="s">
        <v>293</v>
      </c>
      <c r="C171" s="4" t="s">
        <v>405</v>
      </c>
      <c r="D171" s="4" t="s">
        <v>406</v>
      </c>
      <c r="F171" s="4" t="s">
        <v>11236</v>
      </c>
      <c r="G171" s="4" t="s">
        <v>11237</v>
      </c>
      <c r="I171" s="4" t="s">
        <v>296</v>
      </c>
      <c r="J171" s="4" t="s">
        <v>297</v>
      </c>
      <c r="K171" s="4" t="s">
        <v>298</v>
      </c>
      <c r="L171" s="4" t="s">
        <v>299</v>
      </c>
      <c r="M171" s="4" t="s">
        <v>300</v>
      </c>
      <c r="N171" s="4" t="s">
        <v>11238</v>
      </c>
      <c r="O171" s="5">
        <v>53.8</v>
      </c>
      <c r="P171" s="6">
        <v>1</v>
      </c>
      <c r="Q171" s="7">
        <v>9.25</v>
      </c>
      <c r="R171" s="7">
        <v>7</v>
      </c>
      <c r="S171" s="4" t="s">
        <v>301</v>
      </c>
      <c r="T171" s="4" t="s">
        <v>302</v>
      </c>
      <c r="U171" s="5">
        <v>64.239000000000004</v>
      </c>
      <c r="V171" s="6">
        <v>0.25</v>
      </c>
      <c r="W171" s="7">
        <v>3</v>
      </c>
      <c r="X171" s="5">
        <v>21.62</v>
      </c>
      <c r="Y171" s="4" t="s">
        <v>292</v>
      </c>
      <c r="Z171" s="6">
        <v>4</v>
      </c>
      <c r="AA171" s="6">
        <v>1</v>
      </c>
      <c r="AB171" s="5">
        <v>86.48</v>
      </c>
      <c r="AC171" s="6">
        <v>1</v>
      </c>
      <c r="AD171" s="6">
        <v>1</v>
      </c>
      <c r="AE171" s="5">
        <v>86.48</v>
      </c>
      <c r="AF171" s="5">
        <v>86.48</v>
      </c>
      <c r="AG171" s="7">
        <v>7</v>
      </c>
      <c r="AH171" s="7">
        <v>0</v>
      </c>
      <c r="AI171" s="7">
        <v>17</v>
      </c>
      <c r="AJ171" s="7">
        <v>0</v>
      </c>
      <c r="AK171" s="8">
        <v>44115.528252314813</v>
      </c>
      <c r="AL171" s="7">
        <v>1.61</v>
      </c>
      <c r="AM171" s="7">
        <v>100</v>
      </c>
      <c r="AN171" s="7">
        <v>0</v>
      </c>
      <c r="AO171" s="7">
        <v>1.1200000000000001</v>
      </c>
      <c r="AP171" s="7">
        <v>0</v>
      </c>
      <c r="AQ171" s="7">
        <v>3.32</v>
      </c>
      <c r="AR171" s="7">
        <v>0.63</v>
      </c>
      <c r="AS171" s="4" t="s">
        <v>303</v>
      </c>
      <c r="AT171" s="7">
        <v>0</v>
      </c>
      <c r="AU171" s="4" t="s">
        <v>407</v>
      </c>
      <c r="AV171" s="4" t="s">
        <v>305</v>
      </c>
    </row>
    <row r="172" spans="1:49" s="4" customFormat="1" x14ac:dyDescent="0.25">
      <c r="A172" s="4" t="s">
        <v>11201</v>
      </c>
      <c r="B172" s="4" t="s">
        <v>293</v>
      </c>
      <c r="C172" s="4" t="s">
        <v>408</v>
      </c>
      <c r="D172" s="4" t="s">
        <v>409</v>
      </c>
      <c r="F172" s="4" t="s">
        <v>11462</v>
      </c>
      <c r="G172" s="4" t="s">
        <v>11463</v>
      </c>
      <c r="I172" s="4" t="s">
        <v>296</v>
      </c>
      <c r="J172" s="4" t="s">
        <v>297</v>
      </c>
      <c r="K172" s="4" t="s">
        <v>298</v>
      </c>
      <c r="L172" s="4" t="s">
        <v>299</v>
      </c>
      <c r="M172" s="4" t="s">
        <v>300</v>
      </c>
      <c r="N172" s="4" t="s">
        <v>11198</v>
      </c>
      <c r="O172" s="5">
        <v>122.431</v>
      </c>
      <c r="P172" s="6">
        <v>1</v>
      </c>
      <c r="Q172" s="7">
        <v>9.25</v>
      </c>
      <c r="R172" s="7">
        <v>12</v>
      </c>
      <c r="S172" s="4" t="s">
        <v>301</v>
      </c>
      <c r="T172" s="4" t="s">
        <v>302</v>
      </c>
      <c r="U172" s="5">
        <v>155.46799999999999</v>
      </c>
      <c r="V172" s="6">
        <v>0.45</v>
      </c>
      <c r="W172" s="7">
        <v>1.5</v>
      </c>
      <c r="X172" s="5">
        <v>56.250999999999998</v>
      </c>
      <c r="Y172" s="4" t="s">
        <v>292</v>
      </c>
      <c r="Z172" s="6">
        <v>1</v>
      </c>
      <c r="AA172" s="6">
        <v>1</v>
      </c>
      <c r="AB172" s="5">
        <v>56.250999999999998</v>
      </c>
      <c r="AC172" s="6">
        <v>1</v>
      </c>
      <c r="AD172" s="6">
        <v>1</v>
      </c>
      <c r="AE172" s="5">
        <v>56.250999999999998</v>
      </c>
      <c r="AF172" s="7">
        <v>10</v>
      </c>
      <c r="AG172" s="7">
        <v>12</v>
      </c>
      <c r="AH172" s="7">
        <v>9.25</v>
      </c>
      <c r="AI172" s="7">
        <v>0</v>
      </c>
      <c r="AJ172" s="7">
        <v>0</v>
      </c>
      <c r="AK172" s="8">
        <v>44115.509699074071</v>
      </c>
      <c r="AL172" s="7">
        <v>7</v>
      </c>
      <c r="AM172" s="7">
        <v>100</v>
      </c>
      <c r="AN172" s="7">
        <v>0</v>
      </c>
      <c r="AO172" s="7">
        <v>8.39</v>
      </c>
      <c r="AP172" s="7">
        <v>6.47</v>
      </c>
      <c r="AQ172" s="7">
        <v>0</v>
      </c>
      <c r="AR172" s="7">
        <v>1.1499999999999999</v>
      </c>
      <c r="AS172" s="4" t="s">
        <v>303</v>
      </c>
      <c r="AT172" s="7">
        <v>0</v>
      </c>
      <c r="AU172" s="4" t="s">
        <v>410</v>
      </c>
      <c r="AV172" s="4" t="s">
        <v>305</v>
      </c>
      <c r="AW172" s="4" t="s">
        <v>292</v>
      </c>
    </row>
    <row r="173" spans="1:49" s="4" customFormat="1" x14ac:dyDescent="0.25">
      <c r="A173" s="4" t="s">
        <v>11199</v>
      </c>
      <c r="B173" s="4" t="s">
        <v>293</v>
      </c>
      <c r="C173" s="4" t="s">
        <v>408</v>
      </c>
      <c r="D173" s="4" t="s">
        <v>409</v>
      </c>
      <c r="F173" s="4" t="s">
        <v>11462</v>
      </c>
      <c r="G173" s="4" t="s">
        <v>11463</v>
      </c>
      <c r="I173" s="4" t="s">
        <v>296</v>
      </c>
      <c r="J173" s="4" t="s">
        <v>297</v>
      </c>
      <c r="K173" s="4" t="s">
        <v>298</v>
      </c>
      <c r="L173" s="4" t="s">
        <v>299</v>
      </c>
      <c r="M173" s="4" t="s">
        <v>300</v>
      </c>
      <c r="N173" s="4" t="s">
        <v>11198</v>
      </c>
      <c r="O173" s="5">
        <v>122.431</v>
      </c>
      <c r="P173" s="6">
        <v>1</v>
      </c>
      <c r="Q173" s="7">
        <v>9.25</v>
      </c>
      <c r="R173" s="7">
        <v>7</v>
      </c>
      <c r="S173" s="4" t="s">
        <v>301</v>
      </c>
      <c r="T173" s="4" t="s">
        <v>302</v>
      </c>
      <c r="U173" s="5">
        <v>146.18600000000001</v>
      </c>
      <c r="V173" s="6">
        <v>0.45</v>
      </c>
      <c r="W173" s="7">
        <v>2</v>
      </c>
      <c r="X173" s="5">
        <v>56.543999999999997</v>
      </c>
      <c r="Y173" s="4" t="s">
        <v>292</v>
      </c>
      <c r="Z173" s="6">
        <v>1</v>
      </c>
      <c r="AA173" s="6">
        <v>1</v>
      </c>
      <c r="AB173" s="5">
        <v>56.543999999999997</v>
      </c>
      <c r="AC173" s="6">
        <v>1</v>
      </c>
      <c r="AD173" s="6">
        <v>1</v>
      </c>
      <c r="AE173" s="5">
        <v>56.543999999999997</v>
      </c>
      <c r="AF173" s="7">
        <v>10</v>
      </c>
      <c r="AG173" s="7">
        <v>7</v>
      </c>
      <c r="AH173" s="7">
        <v>9.25</v>
      </c>
      <c r="AI173" s="7">
        <v>0</v>
      </c>
      <c r="AJ173" s="7">
        <v>0</v>
      </c>
      <c r="AK173" s="8">
        <v>44115.511516203704</v>
      </c>
      <c r="AL173" s="7">
        <v>6.58</v>
      </c>
      <c r="AM173" s="7">
        <v>100</v>
      </c>
      <c r="AN173" s="7">
        <v>0</v>
      </c>
      <c r="AO173" s="7">
        <v>4.5999999999999996</v>
      </c>
      <c r="AP173" s="7">
        <v>6.09</v>
      </c>
      <c r="AQ173" s="7">
        <v>0</v>
      </c>
      <c r="AR173" s="7">
        <v>1.45</v>
      </c>
      <c r="AS173" s="4" t="s">
        <v>303</v>
      </c>
      <c r="AT173" s="7">
        <v>0</v>
      </c>
      <c r="AU173" s="4" t="s">
        <v>410</v>
      </c>
      <c r="AV173" s="4" t="s">
        <v>305</v>
      </c>
      <c r="AW173" s="4" t="s">
        <v>292</v>
      </c>
    </row>
    <row r="174" spans="1:49" s="4" customFormat="1" x14ac:dyDescent="0.25">
      <c r="A174" s="4" t="s">
        <v>395</v>
      </c>
      <c r="B174" s="4" t="s">
        <v>293</v>
      </c>
      <c r="C174" s="4" t="s">
        <v>408</v>
      </c>
      <c r="D174" s="4" t="s">
        <v>409</v>
      </c>
      <c r="F174" s="4" t="s">
        <v>11462</v>
      </c>
      <c r="G174" s="4" t="s">
        <v>11463</v>
      </c>
      <c r="I174" s="4" t="s">
        <v>296</v>
      </c>
      <c r="J174" s="4" t="s">
        <v>297</v>
      </c>
      <c r="K174" s="4" t="s">
        <v>298</v>
      </c>
      <c r="L174" s="4" t="s">
        <v>299</v>
      </c>
      <c r="M174" s="4" t="s">
        <v>300</v>
      </c>
      <c r="N174" s="4" t="s">
        <v>447</v>
      </c>
      <c r="O174" s="5">
        <v>122.431</v>
      </c>
      <c r="P174" s="6">
        <v>1</v>
      </c>
      <c r="Q174" s="7">
        <v>9.25</v>
      </c>
      <c r="R174" s="7">
        <v>7</v>
      </c>
      <c r="S174" s="4" t="s">
        <v>301</v>
      </c>
      <c r="T174" s="4" t="s">
        <v>302</v>
      </c>
      <c r="U174" s="5">
        <v>146.18600000000001</v>
      </c>
      <c r="V174" s="6">
        <v>0.45</v>
      </c>
      <c r="W174" s="7">
        <v>4</v>
      </c>
      <c r="X174" s="5">
        <v>77.034000000000006</v>
      </c>
      <c r="Y174" s="4" t="s">
        <v>292</v>
      </c>
      <c r="Z174" s="6">
        <v>1</v>
      </c>
      <c r="AA174" s="6">
        <v>0.75270700000000001</v>
      </c>
      <c r="AB174" s="5">
        <v>77.034000000000006</v>
      </c>
      <c r="AC174" s="6">
        <v>1</v>
      </c>
      <c r="AD174" s="6">
        <v>0.75270700000000001</v>
      </c>
      <c r="AE174" s="5">
        <v>77.034000000000006</v>
      </c>
      <c r="AF174" s="7">
        <v>10</v>
      </c>
      <c r="AG174" s="7">
        <v>7</v>
      </c>
      <c r="AH174" s="7">
        <v>9.25</v>
      </c>
      <c r="AI174" s="7">
        <v>17</v>
      </c>
      <c r="AJ174" s="7">
        <v>0</v>
      </c>
      <c r="AK174" s="8">
        <v>44115.511516203704</v>
      </c>
      <c r="AL174" s="7">
        <v>6.58</v>
      </c>
      <c r="AM174" s="7">
        <v>100</v>
      </c>
      <c r="AN174" s="7">
        <v>0</v>
      </c>
      <c r="AO174" s="7">
        <v>4.5999999999999996</v>
      </c>
      <c r="AP174" s="7">
        <v>6.09</v>
      </c>
      <c r="AQ174" s="7">
        <v>13.89</v>
      </c>
      <c r="AR174" s="7">
        <v>3.45</v>
      </c>
      <c r="AS174" s="4" t="s">
        <v>303</v>
      </c>
      <c r="AT174" s="7">
        <v>0</v>
      </c>
      <c r="AU174" s="4" t="s">
        <v>410</v>
      </c>
      <c r="AV174" s="4" t="s">
        <v>305</v>
      </c>
      <c r="AW174" s="4" t="s">
        <v>292</v>
      </c>
    </row>
    <row r="175" spans="1:49" s="4" customFormat="1" x14ac:dyDescent="0.25">
      <c r="A175" s="4" t="s">
        <v>11200</v>
      </c>
      <c r="B175" s="4" t="s">
        <v>293</v>
      </c>
      <c r="C175" s="4" t="s">
        <v>408</v>
      </c>
      <c r="D175" s="4" t="s">
        <v>409</v>
      </c>
      <c r="F175" s="4" t="s">
        <v>11462</v>
      </c>
      <c r="G175" s="4" t="s">
        <v>11463</v>
      </c>
      <c r="I175" s="4" t="s">
        <v>296</v>
      </c>
      <c r="J175" s="4" t="s">
        <v>297</v>
      </c>
      <c r="K175" s="4" t="s">
        <v>298</v>
      </c>
      <c r="L175" s="4" t="s">
        <v>299</v>
      </c>
      <c r="M175" s="4" t="s">
        <v>300</v>
      </c>
      <c r="N175" s="4" t="s">
        <v>11198</v>
      </c>
      <c r="O175" s="5">
        <v>122.431</v>
      </c>
      <c r="P175" s="6">
        <v>1</v>
      </c>
      <c r="Q175" s="7">
        <v>9.25</v>
      </c>
      <c r="R175" s="7">
        <v>18</v>
      </c>
      <c r="S175" s="4" t="s">
        <v>301</v>
      </c>
      <c r="T175" s="4" t="s">
        <v>302</v>
      </c>
      <c r="U175" s="5">
        <v>168.29</v>
      </c>
      <c r="V175" s="6">
        <v>0.45</v>
      </c>
      <c r="W175" s="7">
        <v>1.5</v>
      </c>
      <c r="X175" s="5">
        <v>56.341000000000001</v>
      </c>
      <c r="Y175" s="4" t="s">
        <v>292</v>
      </c>
      <c r="Z175" s="6">
        <v>1</v>
      </c>
      <c r="AA175" s="6">
        <v>1</v>
      </c>
      <c r="AB175" s="5">
        <v>56.341000000000001</v>
      </c>
      <c r="AC175" s="6">
        <v>1</v>
      </c>
      <c r="AD175" s="6">
        <v>1</v>
      </c>
      <c r="AE175" s="5">
        <v>56.341000000000001</v>
      </c>
      <c r="AF175" s="7">
        <v>10</v>
      </c>
      <c r="AG175" s="7">
        <v>18</v>
      </c>
      <c r="AH175" s="7">
        <v>9.25</v>
      </c>
      <c r="AI175" s="7">
        <v>0</v>
      </c>
      <c r="AJ175" s="7">
        <v>0</v>
      </c>
      <c r="AK175" s="8">
        <v>44115.505243055559</v>
      </c>
      <c r="AL175" s="7">
        <v>7.57</v>
      </c>
      <c r="AM175" s="7">
        <v>100</v>
      </c>
      <c r="AN175" s="7">
        <v>0</v>
      </c>
      <c r="AO175" s="7">
        <v>13.63</v>
      </c>
      <c r="AP175" s="7">
        <v>7.01</v>
      </c>
      <c r="AQ175" s="7">
        <v>0</v>
      </c>
      <c r="AR175" s="7">
        <v>1.25</v>
      </c>
      <c r="AS175" s="4" t="s">
        <v>303</v>
      </c>
      <c r="AT175" s="7">
        <v>0</v>
      </c>
      <c r="AU175" s="4" t="s">
        <v>410</v>
      </c>
      <c r="AV175" s="4" t="s">
        <v>305</v>
      </c>
      <c r="AW175" s="4" t="s">
        <v>292</v>
      </c>
    </row>
    <row r="176" spans="1:49" s="4" customFormat="1" x14ac:dyDescent="0.25">
      <c r="A176" s="4" t="s">
        <v>11207</v>
      </c>
      <c r="B176" s="4" t="s">
        <v>293</v>
      </c>
      <c r="C176" s="4" t="s">
        <v>408</v>
      </c>
      <c r="D176" s="4" t="s">
        <v>409</v>
      </c>
      <c r="F176" s="4" t="s">
        <v>11236</v>
      </c>
      <c r="G176" s="4" t="s">
        <v>11237</v>
      </c>
      <c r="I176" s="4" t="s">
        <v>296</v>
      </c>
      <c r="J176" s="4" t="s">
        <v>297</v>
      </c>
      <c r="K176" s="4" t="s">
        <v>298</v>
      </c>
      <c r="L176" s="4" t="s">
        <v>299</v>
      </c>
      <c r="M176" s="4" t="s">
        <v>300</v>
      </c>
      <c r="N176" s="4" t="s">
        <v>11238</v>
      </c>
      <c r="O176" s="5">
        <v>56.341000000000001</v>
      </c>
      <c r="P176" s="6">
        <v>1</v>
      </c>
      <c r="Q176" s="7">
        <v>9.25</v>
      </c>
      <c r="R176" s="7">
        <v>7</v>
      </c>
      <c r="S176" s="4" t="s">
        <v>301</v>
      </c>
      <c r="T176" s="4" t="s">
        <v>302</v>
      </c>
      <c r="U176" s="5">
        <v>67.272999999999996</v>
      </c>
      <c r="V176" s="6">
        <v>0.25</v>
      </c>
      <c r="W176" s="7">
        <v>3</v>
      </c>
      <c r="X176" s="5">
        <v>22.638000000000002</v>
      </c>
      <c r="Y176" s="4" t="s">
        <v>292</v>
      </c>
      <c r="Z176" s="6">
        <v>4</v>
      </c>
      <c r="AA176" s="6">
        <v>1</v>
      </c>
      <c r="AB176" s="5">
        <v>90.552000000000007</v>
      </c>
      <c r="AC176" s="6">
        <v>1</v>
      </c>
      <c r="AD176" s="6">
        <v>1</v>
      </c>
      <c r="AE176" s="5">
        <v>90.552000000000007</v>
      </c>
      <c r="AF176" s="5">
        <v>90.552000000000007</v>
      </c>
      <c r="AG176" s="7">
        <v>7</v>
      </c>
      <c r="AH176" s="7">
        <v>0</v>
      </c>
      <c r="AI176" s="7">
        <v>17</v>
      </c>
      <c r="AJ176" s="7">
        <v>0</v>
      </c>
      <c r="AK176" s="8">
        <v>44115.528287037036</v>
      </c>
      <c r="AL176" s="7">
        <v>1.68</v>
      </c>
      <c r="AM176" s="7">
        <v>100</v>
      </c>
      <c r="AN176" s="7">
        <v>0</v>
      </c>
      <c r="AO176" s="7">
        <v>1.18</v>
      </c>
      <c r="AP176" s="7">
        <v>0</v>
      </c>
      <c r="AQ176" s="7">
        <v>3.48</v>
      </c>
      <c r="AR176" s="7">
        <v>0.66</v>
      </c>
      <c r="AS176" s="4" t="s">
        <v>303</v>
      </c>
      <c r="AT176" s="7">
        <v>0</v>
      </c>
      <c r="AU176" s="4" t="s">
        <v>410</v>
      </c>
      <c r="AV176" s="4" t="s">
        <v>305</v>
      </c>
    </row>
    <row r="177" spans="1:49" s="4" customFormat="1" x14ac:dyDescent="0.25">
      <c r="A177" s="4" t="s">
        <v>11201</v>
      </c>
      <c r="B177" s="4" t="s">
        <v>293</v>
      </c>
      <c r="C177" s="4" t="s">
        <v>411</v>
      </c>
      <c r="D177" s="4" t="s">
        <v>412</v>
      </c>
      <c r="F177" s="4" t="s">
        <v>11462</v>
      </c>
      <c r="G177" s="4" t="s">
        <v>11463</v>
      </c>
      <c r="I177" s="4" t="s">
        <v>296</v>
      </c>
      <c r="J177" s="4" t="s">
        <v>297</v>
      </c>
      <c r="K177" s="4" t="s">
        <v>368</v>
      </c>
      <c r="L177" s="4" t="s">
        <v>299</v>
      </c>
      <c r="M177" s="4" t="s">
        <v>300</v>
      </c>
      <c r="N177" s="4" t="s">
        <v>11198</v>
      </c>
      <c r="O177" s="5">
        <v>70.673000000000002</v>
      </c>
      <c r="P177" s="6">
        <v>1</v>
      </c>
      <c r="Q177" s="7">
        <v>9.25</v>
      </c>
      <c r="R177" s="7">
        <v>12</v>
      </c>
      <c r="S177" s="4" t="s">
        <v>301</v>
      </c>
      <c r="T177" s="4" t="s">
        <v>302</v>
      </c>
      <c r="U177" s="5">
        <v>89.742999999999995</v>
      </c>
      <c r="V177" s="6">
        <v>0.45</v>
      </c>
      <c r="W177" s="7">
        <v>1.5</v>
      </c>
      <c r="X177" s="5">
        <v>32.463999999999999</v>
      </c>
      <c r="Y177" s="4" t="s">
        <v>292</v>
      </c>
      <c r="Z177" s="6">
        <v>1</v>
      </c>
      <c r="AA177" s="6">
        <v>1</v>
      </c>
      <c r="AB177" s="5">
        <v>32.463999999999999</v>
      </c>
      <c r="AC177" s="6">
        <v>1</v>
      </c>
      <c r="AD177" s="6">
        <v>1</v>
      </c>
      <c r="AE177" s="5">
        <v>32.463999999999999</v>
      </c>
      <c r="AF177" s="7">
        <v>10</v>
      </c>
      <c r="AG177" s="7">
        <v>12</v>
      </c>
      <c r="AH177" s="7">
        <v>9.25</v>
      </c>
      <c r="AI177" s="7">
        <v>0</v>
      </c>
      <c r="AJ177" s="7">
        <v>0</v>
      </c>
      <c r="AK177" s="8">
        <v>44115.509710648148</v>
      </c>
      <c r="AL177" s="7">
        <v>4.04</v>
      </c>
      <c r="AM177" s="7">
        <v>100</v>
      </c>
      <c r="AN177" s="7">
        <v>0</v>
      </c>
      <c r="AO177" s="7">
        <v>4.8499999999999996</v>
      </c>
      <c r="AP177" s="7">
        <v>3.74</v>
      </c>
      <c r="AQ177" s="7">
        <v>0</v>
      </c>
      <c r="AR177" s="7">
        <v>0.67</v>
      </c>
      <c r="AS177" s="4" t="s">
        <v>303</v>
      </c>
      <c r="AT177" s="7">
        <v>0</v>
      </c>
      <c r="AU177" s="4" t="s">
        <v>413</v>
      </c>
      <c r="AV177" s="4" t="s">
        <v>305</v>
      </c>
      <c r="AW177" s="4" t="s">
        <v>292</v>
      </c>
    </row>
    <row r="178" spans="1:49" s="4" customFormat="1" x14ac:dyDescent="0.25">
      <c r="A178" s="4" t="s">
        <v>11199</v>
      </c>
      <c r="B178" s="4" t="s">
        <v>293</v>
      </c>
      <c r="C178" s="4" t="s">
        <v>411</v>
      </c>
      <c r="D178" s="4" t="s">
        <v>412</v>
      </c>
      <c r="F178" s="4" t="s">
        <v>11462</v>
      </c>
      <c r="G178" s="4" t="s">
        <v>11463</v>
      </c>
      <c r="I178" s="4" t="s">
        <v>296</v>
      </c>
      <c r="J178" s="4" t="s">
        <v>297</v>
      </c>
      <c r="K178" s="4" t="s">
        <v>368</v>
      </c>
      <c r="L178" s="4" t="s">
        <v>299</v>
      </c>
      <c r="M178" s="4" t="s">
        <v>300</v>
      </c>
      <c r="N178" s="4" t="s">
        <v>11198</v>
      </c>
      <c r="O178" s="5">
        <v>70.677000000000007</v>
      </c>
      <c r="P178" s="6">
        <v>1</v>
      </c>
      <c r="Q178" s="7">
        <v>9.25</v>
      </c>
      <c r="R178" s="7">
        <v>7</v>
      </c>
      <c r="S178" s="4" t="s">
        <v>301</v>
      </c>
      <c r="T178" s="4" t="s">
        <v>302</v>
      </c>
      <c r="U178" s="5">
        <v>84.39</v>
      </c>
      <c r="V178" s="6">
        <v>0.45</v>
      </c>
      <c r="W178" s="7">
        <v>2</v>
      </c>
      <c r="X178" s="5">
        <v>32.636000000000003</v>
      </c>
      <c r="Y178" s="4" t="s">
        <v>292</v>
      </c>
      <c r="Z178" s="6">
        <v>1</v>
      </c>
      <c r="AA178" s="6">
        <v>1</v>
      </c>
      <c r="AB178" s="5">
        <v>32.636000000000003</v>
      </c>
      <c r="AC178" s="6">
        <v>1</v>
      </c>
      <c r="AD178" s="6">
        <v>1</v>
      </c>
      <c r="AE178" s="5">
        <v>32.636000000000003</v>
      </c>
      <c r="AF178" s="7">
        <v>10</v>
      </c>
      <c r="AG178" s="7">
        <v>7</v>
      </c>
      <c r="AH178" s="7">
        <v>9.25</v>
      </c>
      <c r="AI178" s="7">
        <v>0</v>
      </c>
      <c r="AJ178" s="7">
        <v>0</v>
      </c>
      <c r="AK178" s="8">
        <v>44115.511516203704</v>
      </c>
      <c r="AL178" s="7">
        <v>3.8</v>
      </c>
      <c r="AM178" s="7">
        <v>100</v>
      </c>
      <c r="AN178" s="7">
        <v>0</v>
      </c>
      <c r="AO178" s="7">
        <v>2.66</v>
      </c>
      <c r="AP178" s="7">
        <v>3.52</v>
      </c>
      <c r="AQ178" s="7">
        <v>0</v>
      </c>
      <c r="AR178" s="7">
        <v>0.84</v>
      </c>
      <c r="AS178" s="4" t="s">
        <v>303</v>
      </c>
      <c r="AT178" s="7">
        <v>0</v>
      </c>
      <c r="AU178" s="4" t="s">
        <v>413</v>
      </c>
      <c r="AV178" s="4" t="s">
        <v>305</v>
      </c>
      <c r="AW178" s="4" t="s">
        <v>292</v>
      </c>
    </row>
    <row r="179" spans="1:49" s="4" customFormat="1" x14ac:dyDescent="0.25">
      <c r="A179" s="4" t="s">
        <v>395</v>
      </c>
      <c r="B179" s="4" t="s">
        <v>293</v>
      </c>
      <c r="C179" s="4" t="s">
        <v>411</v>
      </c>
      <c r="D179" s="4" t="s">
        <v>412</v>
      </c>
      <c r="F179" s="4" t="s">
        <v>11462</v>
      </c>
      <c r="G179" s="4" t="s">
        <v>11463</v>
      </c>
      <c r="I179" s="4" t="s">
        <v>296</v>
      </c>
      <c r="J179" s="4" t="s">
        <v>297</v>
      </c>
      <c r="K179" s="4" t="s">
        <v>368</v>
      </c>
      <c r="L179" s="4" t="s">
        <v>299</v>
      </c>
      <c r="M179" s="4" t="s">
        <v>300</v>
      </c>
      <c r="N179" s="4" t="s">
        <v>447</v>
      </c>
      <c r="O179" s="5">
        <v>70.677000000000007</v>
      </c>
      <c r="P179" s="6">
        <v>1</v>
      </c>
      <c r="Q179" s="7">
        <v>9.25</v>
      </c>
      <c r="R179" s="7">
        <v>7</v>
      </c>
      <c r="S179" s="4" t="s">
        <v>301</v>
      </c>
      <c r="T179" s="4" t="s">
        <v>302</v>
      </c>
      <c r="U179" s="5">
        <v>84.39</v>
      </c>
      <c r="V179" s="6">
        <v>0.45</v>
      </c>
      <c r="W179" s="7">
        <v>4</v>
      </c>
      <c r="X179" s="5">
        <v>44.466000000000001</v>
      </c>
      <c r="Y179" s="4" t="s">
        <v>292</v>
      </c>
      <c r="Z179" s="6">
        <v>1</v>
      </c>
      <c r="AA179" s="6">
        <v>0.75261999999999996</v>
      </c>
      <c r="AB179" s="5">
        <v>44.466000000000001</v>
      </c>
      <c r="AC179" s="6">
        <v>1</v>
      </c>
      <c r="AD179" s="6">
        <v>0.75261999999999996</v>
      </c>
      <c r="AE179" s="5">
        <v>44.466000000000001</v>
      </c>
      <c r="AF179" s="7">
        <v>10</v>
      </c>
      <c r="AG179" s="7">
        <v>7</v>
      </c>
      <c r="AH179" s="7">
        <v>9.25</v>
      </c>
      <c r="AI179" s="7">
        <v>17</v>
      </c>
      <c r="AJ179" s="7">
        <v>0</v>
      </c>
      <c r="AK179" s="8">
        <v>44115.51152777778</v>
      </c>
      <c r="AL179" s="7">
        <v>3.8</v>
      </c>
      <c r="AM179" s="7">
        <v>100</v>
      </c>
      <c r="AN179" s="7">
        <v>0</v>
      </c>
      <c r="AO179" s="7">
        <v>2.66</v>
      </c>
      <c r="AP179" s="7">
        <v>3.52</v>
      </c>
      <c r="AQ179" s="7">
        <v>8.02</v>
      </c>
      <c r="AR179" s="7">
        <v>1.99</v>
      </c>
      <c r="AS179" s="4" t="s">
        <v>303</v>
      </c>
      <c r="AT179" s="7">
        <v>0</v>
      </c>
      <c r="AU179" s="4" t="s">
        <v>413</v>
      </c>
      <c r="AV179" s="4" t="s">
        <v>305</v>
      </c>
      <c r="AW179" s="4" t="s">
        <v>292</v>
      </c>
    </row>
    <row r="180" spans="1:49" s="4" customFormat="1" x14ac:dyDescent="0.25">
      <c r="A180" s="4" t="s">
        <v>11200</v>
      </c>
      <c r="B180" s="4" t="s">
        <v>293</v>
      </c>
      <c r="C180" s="4" t="s">
        <v>411</v>
      </c>
      <c r="D180" s="4" t="s">
        <v>412</v>
      </c>
      <c r="F180" s="4" t="s">
        <v>11462</v>
      </c>
      <c r="G180" s="4" t="s">
        <v>11463</v>
      </c>
      <c r="I180" s="4" t="s">
        <v>296</v>
      </c>
      <c r="J180" s="4" t="s">
        <v>297</v>
      </c>
      <c r="K180" s="4" t="s">
        <v>368</v>
      </c>
      <c r="L180" s="4" t="s">
        <v>299</v>
      </c>
      <c r="M180" s="4" t="s">
        <v>300</v>
      </c>
      <c r="N180" s="4" t="s">
        <v>11198</v>
      </c>
      <c r="O180" s="5">
        <v>70.677000000000007</v>
      </c>
      <c r="P180" s="6">
        <v>1</v>
      </c>
      <c r="Q180" s="7">
        <v>9.25</v>
      </c>
      <c r="R180" s="7">
        <v>18</v>
      </c>
      <c r="S180" s="4" t="s">
        <v>301</v>
      </c>
      <c r="T180" s="4" t="s">
        <v>302</v>
      </c>
      <c r="U180" s="5">
        <v>97.150999999999996</v>
      </c>
      <c r="V180" s="6">
        <v>0.45</v>
      </c>
      <c r="W180" s="7">
        <v>1.5</v>
      </c>
      <c r="X180" s="5">
        <v>32.527999999999999</v>
      </c>
      <c r="Y180" s="4" t="s">
        <v>292</v>
      </c>
      <c r="Z180" s="6">
        <v>1</v>
      </c>
      <c r="AA180" s="6">
        <v>1</v>
      </c>
      <c r="AB180" s="5">
        <v>32.527999999999999</v>
      </c>
      <c r="AC180" s="6">
        <v>1</v>
      </c>
      <c r="AD180" s="6">
        <v>1</v>
      </c>
      <c r="AE180" s="5">
        <v>32.527999999999999</v>
      </c>
      <c r="AF180" s="7">
        <v>10</v>
      </c>
      <c r="AG180" s="7">
        <v>18</v>
      </c>
      <c r="AH180" s="7">
        <v>9.25</v>
      </c>
      <c r="AI180" s="7">
        <v>0</v>
      </c>
      <c r="AJ180" s="7">
        <v>0</v>
      </c>
      <c r="AK180" s="8">
        <v>44115.505243055559</v>
      </c>
      <c r="AL180" s="7">
        <v>4.37</v>
      </c>
      <c r="AM180" s="7">
        <v>100</v>
      </c>
      <c r="AN180" s="7">
        <v>0</v>
      </c>
      <c r="AO180" s="7">
        <v>7.87</v>
      </c>
      <c r="AP180" s="7">
        <v>4.04</v>
      </c>
      <c r="AQ180" s="7">
        <v>0</v>
      </c>
      <c r="AR180" s="7">
        <v>0.72</v>
      </c>
      <c r="AS180" s="4" t="s">
        <v>303</v>
      </c>
      <c r="AT180" s="7">
        <v>0</v>
      </c>
      <c r="AU180" s="4" t="s">
        <v>413</v>
      </c>
      <c r="AV180" s="4" t="s">
        <v>305</v>
      </c>
      <c r="AW180" s="4" t="s">
        <v>292</v>
      </c>
    </row>
    <row r="181" spans="1:49" s="4" customFormat="1" x14ac:dyDescent="0.25">
      <c r="A181" s="4" t="s">
        <v>11207</v>
      </c>
      <c r="B181" s="4" t="s">
        <v>293</v>
      </c>
      <c r="C181" s="4" t="s">
        <v>411</v>
      </c>
      <c r="D181" s="4" t="s">
        <v>412</v>
      </c>
      <c r="F181" s="4" t="s">
        <v>11236</v>
      </c>
      <c r="G181" s="4" t="s">
        <v>11237</v>
      </c>
      <c r="I181" s="4" t="s">
        <v>296</v>
      </c>
      <c r="J181" s="4" t="s">
        <v>297</v>
      </c>
      <c r="K181" s="4" t="s">
        <v>368</v>
      </c>
      <c r="L181" s="4" t="s">
        <v>299</v>
      </c>
      <c r="M181" s="4" t="s">
        <v>300</v>
      </c>
      <c r="N181" s="4" t="s">
        <v>11238</v>
      </c>
      <c r="O181" s="5">
        <v>32.53</v>
      </c>
      <c r="P181" s="6">
        <v>1</v>
      </c>
      <c r="Q181" s="7">
        <v>9.25</v>
      </c>
      <c r="R181" s="7">
        <v>7</v>
      </c>
      <c r="S181" s="4" t="s">
        <v>301</v>
      </c>
      <c r="T181" s="4" t="s">
        <v>302</v>
      </c>
      <c r="U181" s="5">
        <v>38.841999999999999</v>
      </c>
      <c r="V181" s="6">
        <v>0.25</v>
      </c>
      <c r="W181" s="7">
        <v>3</v>
      </c>
      <c r="X181" s="5">
        <v>13.071</v>
      </c>
      <c r="Y181" s="4" t="s">
        <v>292</v>
      </c>
      <c r="Z181" s="6">
        <v>4</v>
      </c>
      <c r="AA181" s="6">
        <v>1</v>
      </c>
      <c r="AB181" s="5">
        <v>52.283999999999999</v>
      </c>
      <c r="AC181" s="6">
        <v>1</v>
      </c>
      <c r="AD181" s="6">
        <v>1</v>
      </c>
      <c r="AE181" s="5">
        <v>52.283999999999999</v>
      </c>
      <c r="AF181" s="5">
        <v>52.283999999999999</v>
      </c>
      <c r="AG181" s="7">
        <v>7</v>
      </c>
      <c r="AH181" s="7">
        <v>0</v>
      </c>
      <c r="AI181" s="7">
        <v>17</v>
      </c>
      <c r="AJ181" s="7">
        <v>0</v>
      </c>
      <c r="AK181" s="8">
        <v>44115.528287037036</v>
      </c>
      <c r="AL181" s="7">
        <v>0.97</v>
      </c>
      <c r="AM181" s="7">
        <v>100</v>
      </c>
      <c r="AN181" s="7">
        <v>0</v>
      </c>
      <c r="AO181" s="7">
        <v>0.68</v>
      </c>
      <c r="AP181" s="7">
        <v>0</v>
      </c>
      <c r="AQ181" s="7">
        <v>2.0099999999999998</v>
      </c>
      <c r="AR181" s="7">
        <v>0.38</v>
      </c>
      <c r="AS181" s="4" t="s">
        <v>303</v>
      </c>
      <c r="AT181" s="7">
        <v>0</v>
      </c>
      <c r="AU181" s="4" t="s">
        <v>413</v>
      </c>
      <c r="AV181" s="4" t="s">
        <v>305</v>
      </c>
    </row>
    <row r="182" spans="1:49" s="4" customFormat="1" x14ac:dyDescent="0.25">
      <c r="A182" s="4" t="s">
        <v>11201</v>
      </c>
      <c r="B182" s="4" t="s">
        <v>293</v>
      </c>
      <c r="C182" s="4" t="s">
        <v>414</v>
      </c>
      <c r="D182" s="4" t="s">
        <v>415</v>
      </c>
      <c r="F182" s="4" t="s">
        <v>11462</v>
      </c>
      <c r="G182" s="4" t="s">
        <v>11463</v>
      </c>
      <c r="I182" s="4" t="s">
        <v>296</v>
      </c>
      <c r="J182" s="4" t="s">
        <v>297</v>
      </c>
      <c r="K182" s="4" t="s">
        <v>368</v>
      </c>
      <c r="L182" s="4" t="s">
        <v>299</v>
      </c>
      <c r="M182" s="4" t="s">
        <v>300</v>
      </c>
      <c r="N182" s="4" t="s">
        <v>11198</v>
      </c>
      <c r="O182" s="5">
        <v>80.725999999999999</v>
      </c>
      <c r="P182" s="6">
        <v>1</v>
      </c>
      <c r="Q182" s="7">
        <v>9.25</v>
      </c>
      <c r="R182" s="7">
        <v>12</v>
      </c>
      <c r="S182" s="4" t="s">
        <v>301</v>
      </c>
      <c r="T182" s="4" t="s">
        <v>302</v>
      </c>
      <c r="U182" s="5">
        <v>102.509</v>
      </c>
      <c r="V182" s="6">
        <v>0.45</v>
      </c>
      <c r="W182" s="7">
        <v>1.5</v>
      </c>
      <c r="X182" s="5">
        <v>37.079000000000001</v>
      </c>
      <c r="Y182" s="4" t="s">
        <v>292</v>
      </c>
      <c r="Z182" s="6">
        <v>1</v>
      </c>
      <c r="AA182" s="6">
        <v>1</v>
      </c>
      <c r="AB182" s="5">
        <v>37.079000000000001</v>
      </c>
      <c r="AC182" s="6">
        <v>1</v>
      </c>
      <c r="AD182" s="6">
        <v>1</v>
      </c>
      <c r="AE182" s="5">
        <v>37.079000000000001</v>
      </c>
      <c r="AF182" s="7">
        <v>10</v>
      </c>
      <c r="AG182" s="7">
        <v>12</v>
      </c>
      <c r="AH182" s="7">
        <v>9.25</v>
      </c>
      <c r="AI182" s="7">
        <v>0</v>
      </c>
      <c r="AJ182" s="7">
        <v>0</v>
      </c>
      <c r="AK182" s="8">
        <v>44115.509722222225</v>
      </c>
      <c r="AL182" s="7">
        <v>4.6100000000000003</v>
      </c>
      <c r="AM182" s="7">
        <v>100</v>
      </c>
      <c r="AN182" s="7">
        <v>0</v>
      </c>
      <c r="AO182" s="7">
        <v>5.54</v>
      </c>
      <c r="AP182" s="7">
        <v>4.2699999999999996</v>
      </c>
      <c r="AQ182" s="7">
        <v>0</v>
      </c>
      <c r="AR182" s="7">
        <v>0.76</v>
      </c>
      <c r="AS182" s="4" t="s">
        <v>303</v>
      </c>
      <c r="AT182" s="7">
        <v>0</v>
      </c>
      <c r="AU182" s="4" t="s">
        <v>416</v>
      </c>
      <c r="AV182" s="4" t="s">
        <v>305</v>
      </c>
      <c r="AW182" s="4" t="s">
        <v>292</v>
      </c>
    </row>
    <row r="183" spans="1:49" s="4" customFormat="1" x14ac:dyDescent="0.25">
      <c r="A183" s="4" t="s">
        <v>11199</v>
      </c>
      <c r="B183" s="4" t="s">
        <v>293</v>
      </c>
      <c r="C183" s="4" t="s">
        <v>414</v>
      </c>
      <c r="D183" s="4" t="s">
        <v>415</v>
      </c>
      <c r="F183" s="4" t="s">
        <v>11462</v>
      </c>
      <c r="G183" s="4" t="s">
        <v>11463</v>
      </c>
      <c r="I183" s="4" t="s">
        <v>296</v>
      </c>
      <c r="J183" s="4" t="s">
        <v>297</v>
      </c>
      <c r="K183" s="4" t="s">
        <v>368</v>
      </c>
      <c r="L183" s="4" t="s">
        <v>299</v>
      </c>
      <c r="M183" s="4" t="s">
        <v>300</v>
      </c>
      <c r="N183" s="4" t="s">
        <v>11198</v>
      </c>
      <c r="O183" s="5">
        <v>80.722999999999999</v>
      </c>
      <c r="P183" s="6">
        <v>1</v>
      </c>
      <c r="Q183" s="7">
        <v>9.25</v>
      </c>
      <c r="R183" s="7">
        <v>7</v>
      </c>
      <c r="S183" s="4" t="s">
        <v>301</v>
      </c>
      <c r="T183" s="4" t="s">
        <v>302</v>
      </c>
      <c r="U183" s="5">
        <v>96.385999999999996</v>
      </c>
      <c r="V183" s="6">
        <v>0.45</v>
      </c>
      <c r="W183" s="7">
        <v>2</v>
      </c>
      <c r="X183" s="5">
        <v>37.264000000000003</v>
      </c>
      <c r="Y183" s="4" t="s">
        <v>292</v>
      </c>
      <c r="Z183" s="6">
        <v>1</v>
      </c>
      <c r="AA183" s="6">
        <v>1</v>
      </c>
      <c r="AB183" s="5">
        <v>37.264000000000003</v>
      </c>
      <c r="AC183" s="6">
        <v>1</v>
      </c>
      <c r="AD183" s="6">
        <v>1</v>
      </c>
      <c r="AE183" s="5">
        <v>37.264000000000003</v>
      </c>
      <c r="AF183" s="7">
        <v>10</v>
      </c>
      <c r="AG183" s="7">
        <v>7</v>
      </c>
      <c r="AH183" s="7">
        <v>9.25</v>
      </c>
      <c r="AI183" s="7">
        <v>0</v>
      </c>
      <c r="AJ183" s="7">
        <v>0</v>
      </c>
      <c r="AK183" s="8">
        <v>44115.51152777778</v>
      </c>
      <c r="AL183" s="7">
        <v>4.34</v>
      </c>
      <c r="AM183" s="7">
        <v>100</v>
      </c>
      <c r="AN183" s="7">
        <v>0</v>
      </c>
      <c r="AO183" s="7">
        <v>3.04</v>
      </c>
      <c r="AP183" s="7">
        <v>4.0199999999999996</v>
      </c>
      <c r="AQ183" s="7">
        <v>0</v>
      </c>
      <c r="AR183" s="7">
        <v>0.95</v>
      </c>
      <c r="AS183" s="4" t="s">
        <v>303</v>
      </c>
      <c r="AT183" s="7">
        <v>0</v>
      </c>
      <c r="AU183" s="4" t="s">
        <v>416</v>
      </c>
      <c r="AV183" s="4" t="s">
        <v>305</v>
      </c>
      <c r="AW183" s="4" t="s">
        <v>292</v>
      </c>
    </row>
    <row r="184" spans="1:49" s="4" customFormat="1" x14ac:dyDescent="0.25">
      <c r="A184" s="4" t="s">
        <v>395</v>
      </c>
      <c r="B184" s="4" t="s">
        <v>293</v>
      </c>
      <c r="C184" s="4" t="s">
        <v>414</v>
      </c>
      <c r="D184" s="4" t="s">
        <v>415</v>
      </c>
      <c r="F184" s="4" t="s">
        <v>11462</v>
      </c>
      <c r="G184" s="4" t="s">
        <v>11463</v>
      </c>
      <c r="I184" s="4" t="s">
        <v>296</v>
      </c>
      <c r="J184" s="4" t="s">
        <v>297</v>
      </c>
      <c r="K184" s="4" t="s">
        <v>368</v>
      </c>
      <c r="L184" s="4" t="s">
        <v>299</v>
      </c>
      <c r="M184" s="4" t="s">
        <v>300</v>
      </c>
      <c r="N184" s="4" t="s">
        <v>447</v>
      </c>
      <c r="O184" s="5">
        <v>80.722999999999999</v>
      </c>
      <c r="P184" s="6">
        <v>1</v>
      </c>
      <c r="Q184" s="7">
        <v>9.25</v>
      </c>
      <c r="R184" s="7">
        <v>7</v>
      </c>
      <c r="S184" s="4" t="s">
        <v>301</v>
      </c>
      <c r="T184" s="4" t="s">
        <v>302</v>
      </c>
      <c r="U184" s="5">
        <v>96.385999999999996</v>
      </c>
      <c r="V184" s="6">
        <v>0.45</v>
      </c>
      <c r="W184" s="7">
        <v>4</v>
      </c>
      <c r="X184" s="5">
        <v>50.783999999999999</v>
      </c>
      <c r="Y184" s="4" t="s">
        <v>292</v>
      </c>
      <c r="Z184" s="6">
        <v>1</v>
      </c>
      <c r="AA184" s="6">
        <v>0.75267799999999996</v>
      </c>
      <c r="AB184" s="5">
        <v>50.783999999999999</v>
      </c>
      <c r="AC184" s="6">
        <v>1</v>
      </c>
      <c r="AD184" s="6">
        <v>0.75267799999999996</v>
      </c>
      <c r="AE184" s="5">
        <v>50.783999999999999</v>
      </c>
      <c r="AF184" s="7">
        <v>10</v>
      </c>
      <c r="AG184" s="7">
        <v>7</v>
      </c>
      <c r="AH184" s="7">
        <v>9.25</v>
      </c>
      <c r="AI184" s="7">
        <v>17</v>
      </c>
      <c r="AJ184" s="7">
        <v>0</v>
      </c>
      <c r="AK184" s="8">
        <v>44115.51153935185</v>
      </c>
      <c r="AL184" s="7">
        <v>4.34</v>
      </c>
      <c r="AM184" s="7">
        <v>100</v>
      </c>
      <c r="AN184" s="7">
        <v>0</v>
      </c>
      <c r="AO184" s="7">
        <v>3.04</v>
      </c>
      <c r="AP184" s="7">
        <v>4.0199999999999996</v>
      </c>
      <c r="AQ184" s="7">
        <v>9.16</v>
      </c>
      <c r="AR184" s="7">
        <v>2.27</v>
      </c>
      <c r="AS184" s="4" t="s">
        <v>303</v>
      </c>
      <c r="AT184" s="7">
        <v>0</v>
      </c>
      <c r="AU184" s="4" t="s">
        <v>416</v>
      </c>
      <c r="AV184" s="4" t="s">
        <v>305</v>
      </c>
      <c r="AW184" s="4" t="s">
        <v>292</v>
      </c>
    </row>
    <row r="185" spans="1:49" s="4" customFormat="1" x14ac:dyDescent="0.25">
      <c r="A185" s="4" t="s">
        <v>11200</v>
      </c>
      <c r="B185" s="4" t="s">
        <v>293</v>
      </c>
      <c r="C185" s="4" t="s">
        <v>414</v>
      </c>
      <c r="D185" s="4" t="s">
        <v>415</v>
      </c>
      <c r="F185" s="4" t="s">
        <v>11462</v>
      </c>
      <c r="G185" s="4" t="s">
        <v>11463</v>
      </c>
      <c r="I185" s="4" t="s">
        <v>296</v>
      </c>
      <c r="J185" s="4" t="s">
        <v>297</v>
      </c>
      <c r="K185" s="4" t="s">
        <v>368</v>
      </c>
      <c r="L185" s="4" t="s">
        <v>299</v>
      </c>
      <c r="M185" s="4" t="s">
        <v>300</v>
      </c>
      <c r="N185" s="4" t="s">
        <v>11198</v>
      </c>
      <c r="O185" s="5">
        <v>80.722999999999999</v>
      </c>
      <c r="P185" s="6">
        <v>1</v>
      </c>
      <c r="Q185" s="7">
        <v>9.25</v>
      </c>
      <c r="R185" s="7">
        <v>18</v>
      </c>
      <c r="S185" s="4" t="s">
        <v>301</v>
      </c>
      <c r="T185" s="4" t="s">
        <v>302</v>
      </c>
      <c r="U185" s="5">
        <v>110.959</v>
      </c>
      <c r="V185" s="6">
        <v>0.45</v>
      </c>
      <c r="W185" s="7">
        <v>1.5</v>
      </c>
      <c r="X185" s="5">
        <v>37.152000000000001</v>
      </c>
      <c r="Y185" s="4" t="s">
        <v>292</v>
      </c>
      <c r="Z185" s="6">
        <v>1</v>
      </c>
      <c r="AA185" s="6">
        <v>1</v>
      </c>
      <c r="AB185" s="5">
        <v>37.152000000000001</v>
      </c>
      <c r="AC185" s="6">
        <v>1</v>
      </c>
      <c r="AD185" s="6">
        <v>1</v>
      </c>
      <c r="AE185" s="5">
        <v>37.152000000000001</v>
      </c>
      <c r="AF185" s="7">
        <v>10</v>
      </c>
      <c r="AG185" s="7">
        <v>18</v>
      </c>
      <c r="AH185" s="7">
        <v>9.25</v>
      </c>
      <c r="AI185" s="7">
        <v>0</v>
      </c>
      <c r="AJ185" s="7">
        <v>0</v>
      </c>
      <c r="AK185" s="8">
        <v>44115.505266203705</v>
      </c>
      <c r="AL185" s="7">
        <v>4.99</v>
      </c>
      <c r="AM185" s="7">
        <v>100</v>
      </c>
      <c r="AN185" s="7">
        <v>0</v>
      </c>
      <c r="AO185" s="7">
        <v>8.99</v>
      </c>
      <c r="AP185" s="7">
        <v>4.6100000000000003</v>
      </c>
      <c r="AQ185" s="7">
        <v>0</v>
      </c>
      <c r="AR185" s="7">
        <v>0.82</v>
      </c>
      <c r="AS185" s="4" t="s">
        <v>303</v>
      </c>
      <c r="AT185" s="7">
        <v>0</v>
      </c>
      <c r="AU185" s="4" t="s">
        <v>416</v>
      </c>
      <c r="AV185" s="4" t="s">
        <v>305</v>
      </c>
      <c r="AW185" s="4" t="s">
        <v>292</v>
      </c>
    </row>
    <row r="186" spans="1:49" s="4" customFormat="1" x14ac:dyDescent="0.25">
      <c r="A186" s="4" t="s">
        <v>11207</v>
      </c>
      <c r="B186" s="4" t="s">
        <v>293</v>
      </c>
      <c r="C186" s="4" t="s">
        <v>414</v>
      </c>
      <c r="D186" s="4" t="s">
        <v>415</v>
      </c>
      <c r="F186" s="4" t="s">
        <v>11236</v>
      </c>
      <c r="G186" s="4" t="s">
        <v>11237</v>
      </c>
      <c r="I186" s="4" t="s">
        <v>296</v>
      </c>
      <c r="J186" s="4" t="s">
        <v>297</v>
      </c>
      <c r="K186" s="4" t="s">
        <v>368</v>
      </c>
      <c r="L186" s="4" t="s">
        <v>299</v>
      </c>
      <c r="M186" s="4" t="s">
        <v>300</v>
      </c>
      <c r="N186" s="4" t="s">
        <v>11238</v>
      </c>
      <c r="O186" s="5">
        <v>37.15</v>
      </c>
      <c r="P186" s="6">
        <v>1</v>
      </c>
      <c r="Q186" s="7">
        <v>9.25</v>
      </c>
      <c r="R186" s="7">
        <v>7</v>
      </c>
      <c r="S186" s="4" t="s">
        <v>301</v>
      </c>
      <c r="T186" s="4" t="s">
        <v>302</v>
      </c>
      <c r="U186" s="5">
        <v>44.357999999999997</v>
      </c>
      <c r="V186" s="6">
        <v>0.25</v>
      </c>
      <c r="W186" s="7">
        <v>3</v>
      </c>
      <c r="X186" s="5">
        <v>14.92</v>
      </c>
      <c r="Y186" s="4" t="s">
        <v>292</v>
      </c>
      <c r="Z186" s="6">
        <v>4</v>
      </c>
      <c r="AA186" s="6">
        <v>1</v>
      </c>
      <c r="AB186" s="5">
        <v>59.68</v>
      </c>
      <c r="AC186" s="6">
        <v>1</v>
      </c>
      <c r="AD186" s="6">
        <v>1</v>
      </c>
      <c r="AE186" s="5">
        <v>59.68</v>
      </c>
      <c r="AF186" s="5">
        <v>59.68</v>
      </c>
      <c r="AG186" s="7">
        <v>7</v>
      </c>
      <c r="AH186" s="7">
        <v>0</v>
      </c>
      <c r="AI186" s="7">
        <v>17</v>
      </c>
      <c r="AJ186" s="7">
        <v>0</v>
      </c>
      <c r="AK186" s="8">
        <v>44115.528298611112</v>
      </c>
      <c r="AL186" s="7">
        <v>1.1100000000000001</v>
      </c>
      <c r="AM186" s="7">
        <v>100</v>
      </c>
      <c r="AN186" s="7">
        <v>0</v>
      </c>
      <c r="AO186" s="7">
        <v>0.78</v>
      </c>
      <c r="AP186" s="7">
        <v>0</v>
      </c>
      <c r="AQ186" s="7">
        <v>2.29</v>
      </c>
      <c r="AR186" s="7">
        <v>0.43</v>
      </c>
      <c r="AS186" s="4" t="s">
        <v>303</v>
      </c>
      <c r="AT186" s="7">
        <v>0</v>
      </c>
      <c r="AU186" s="4" t="s">
        <v>416</v>
      </c>
      <c r="AV186" s="4" t="s">
        <v>305</v>
      </c>
    </row>
    <row r="187" spans="1:49" s="4" customFormat="1" x14ac:dyDescent="0.25">
      <c r="A187" s="4" t="s">
        <v>11201</v>
      </c>
      <c r="B187" s="4" t="s">
        <v>293</v>
      </c>
      <c r="C187" s="4" t="s">
        <v>417</v>
      </c>
      <c r="D187" s="4" t="s">
        <v>418</v>
      </c>
      <c r="F187" s="4" t="s">
        <v>11462</v>
      </c>
      <c r="G187" s="4" t="s">
        <v>11463</v>
      </c>
      <c r="I187" s="4" t="s">
        <v>296</v>
      </c>
      <c r="J187" s="4" t="s">
        <v>297</v>
      </c>
      <c r="K187" s="4" t="s">
        <v>298</v>
      </c>
      <c r="L187" s="4" t="s">
        <v>299</v>
      </c>
      <c r="M187" s="4" t="s">
        <v>300</v>
      </c>
      <c r="N187" s="4" t="s">
        <v>11198</v>
      </c>
      <c r="O187" s="5">
        <v>276.34699999999998</v>
      </c>
      <c r="P187" s="6">
        <v>1</v>
      </c>
      <c r="Q187" s="7">
        <v>9.25</v>
      </c>
      <c r="R187" s="7">
        <v>12</v>
      </c>
      <c r="S187" s="4" t="s">
        <v>301</v>
      </c>
      <c r="T187" s="4" t="s">
        <v>302</v>
      </c>
      <c r="U187" s="5">
        <v>350.91699999999997</v>
      </c>
      <c r="V187" s="6">
        <v>0.45</v>
      </c>
      <c r="W187" s="7">
        <v>1.5</v>
      </c>
      <c r="X187" s="5">
        <v>126.96299999999999</v>
      </c>
      <c r="Y187" s="4" t="s">
        <v>292</v>
      </c>
      <c r="Z187" s="6">
        <v>1</v>
      </c>
      <c r="AA187" s="6">
        <v>1</v>
      </c>
      <c r="AB187" s="5">
        <v>126.96299999999999</v>
      </c>
      <c r="AC187" s="6">
        <v>1</v>
      </c>
      <c r="AD187" s="6">
        <v>1</v>
      </c>
      <c r="AE187" s="5">
        <v>126.96299999999999</v>
      </c>
      <c r="AF187" s="7">
        <v>10</v>
      </c>
      <c r="AG187" s="7">
        <v>12</v>
      </c>
      <c r="AH187" s="7">
        <v>9.25</v>
      </c>
      <c r="AI187" s="7">
        <v>0</v>
      </c>
      <c r="AJ187" s="7">
        <v>0</v>
      </c>
      <c r="AK187" s="8">
        <v>44115.509745370371</v>
      </c>
      <c r="AL187" s="7">
        <v>15.79</v>
      </c>
      <c r="AM187" s="7">
        <v>100</v>
      </c>
      <c r="AN187" s="7">
        <v>0</v>
      </c>
      <c r="AO187" s="7">
        <v>18.95</v>
      </c>
      <c r="AP187" s="7">
        <v>14.61</v>
      </c>
      <c r="AQ187" s="7">
        <v>0</v>
      </c>
      <c r="AR187" s="7">
        <v>2.61</v>
      </c>
      <c r="AS187" s="4" t="s">
        <v>303</v>
      </c>
      <c r="AT187" s="7">
        <v>0</v>
      </c>
      <c r="AU187" s="4" t="s">
        <v>419</v>
      </c>
      <c r="AV187" s="4" t="s">
        <v>305</v>
      </c>
      <c r="AW187" s="4" t="s">
        <v>292</v>
      </c>
    </row>
    <row r="188" spans="1:49" s="4" customFormat="1" x14ac:dyDescent="0.25">
      <c r="A188" s="4" t="s">
        <v>11199</v>
      </c>
      <c r="B188" s="4" t="s">
        <v>293</v>
      </c>
      <c r="C188" s="4" t="s">
        <v>417</v>
      </c>
      <c r="D188" s="4" t="s">
        <v>418</v>
      </c>
      <c r="F188" s="4" t="s">
        <v>11462</v>
      </c>
      <c r="G188" s="4" t="s">
        <v>11463</v>
      </c>
      <c r="I188" s="4" t="s">
        <v>296</v>
      </c>
      <c r="J188" s="4" t="s">
        <v>297</v>
      </c>
      <c r="K188" s="4" t="s">
        <v>298</v>
      </c>
      <c r="L188" s="4" t="s">
        <v>299</v>
      </c>
      <c r="M188" s="4" t="s">
        <v>300</v>
      </c>
      <c r="N188" s="4" t="s">
        <v>11198</v>
      </c>
      <c r="O188" s="5">
        <v>276.34800000000001</v>
      </c>
      <c r="P188" s="6">
        <v>1</v>
      </c>
      <c r="Q188" s="7">
        <v>9.25</v>
      </c>
      <c r="R188" s="7">
        <v>7</v>
      </c>
      <c r="S188" s="4" t="s">
        <v>301</v>
      </c>
      <c r="T188" s="4" t="s">
        <v>302</v>
      </c>
      <c r="U188" s="5">
        <v>329.96800000000002</v>
      </c>
      <c r="V188" s="6">
        <v>0.45</v>
      </c>
      <c r="W188" s="7">
        <v>2</v>
      </c>
      <c r="X188" s="5">
        <v>127.626</v>
      </c>
      <c r="Y188" s="4" t="s">
        <v>292</v>
      </c>
      <c r="Z188" s="6">
        <v>1</v>
      </c>
      <c r="AA188" s="6">
        <v>1</v>
      </c>
      <c r="AB188" s="5">
        <v>127.626</v>
      </c>
      <c r="AC188" s="6">
        <v>1</v>
      </c>
      <c r="AD188" s="6">
        <v>1</v>
      </c>
      <c r="AE188" s="5">
        <v>127.626</v>
      </c>
      <c r="AF188" s="7">
        <v>10</v>
      </c>
      <c r="AG188" s="7">
        <v>7</v>
      </c>
      <c r="AH188" s="7">
        <v>9.25</v>
      </c>
      <c r="AI188" s="7">
        <v>0</v>
      </c>
      <c r="AJ188" s="7">
        <v>0</v>
      </c>
      <c r="AK188" s="8">
        <v>44115.511562500003</v>
      </c>
      <c r="AL188" s="7">
        <v>14.85</v>
      </c>
      <c r="AM188" s="7">
        <v>100</v>
      </c>
      <c r="AN188" s="7">
        <v>0</v>
      </c>
      <c r="AO188" s="7">
        <v>10.39</v>
      </c>
      <c r="AP188" s="7">
        <v>13.74</v>
      </c>
      <c r="AQ188" s="7">
        <v>0</v>
      </c>
      <c r="AR188" s="7">
        <v>3.27</v>
      </c>
      <c r="AS188" s="4" t="s">
        <v>303</v>
      </c>
      <c r="AT188" s="7">
        <v>0</v>
      </c>
      <c r="AU188" s="4" t="s">
        <v>419</v>
      </c>
      <c r="AV188" s="4" t="s">
        <v>305</v>
      </c>
      <c r="AW188" s="4" t="s">
        <v>292</v>
      </c>
    </row>
    <row r="189" spans="1:49" s="4" customFormat="1" x14ac:dyDescent="0.25">
      <c r="A189" s="4" t="s">
        <v>395</v>
      </c>
      <c r="B189" s="4" t="s">
        <v>293</v>
      </c>
      <c r="C189" s="4" t="s">
        <v>417</v>
      </c>
      <c r="D189" s="4" t="s">
        <v>418</v>
      </c>
      <c r="F189" s="4" t="s">
        <v>11462</v>
      </c>
      <c r="G189" s="4" t="s">
        <v>11463</v>
      </c>
      <c r="I189" s="4" t="s">
        <v>296</v>
      </c>
      <c r="J189" s="4" t="s">
        <v>297</v>
      </c>
      <c r="K189" s="4" t="s">
        <v>298</v>
      </c>
      <c r="L189" s="4" t="s">
        <v>299</v>
      </c>
      <c r="M189" s="4" t="s">
        <v>300</v>
      </c>
      <c r="N189" s="4" t="s">
        <v>447</v>
      </c>
      <c r="O189" s="5">
        <v>276.34800000000001</v>
      </c>
      <c r="P189" s="6">
        <v>1</v>
      </c>
      <c r="Q189" s="7">
        <v>9.25</v>
      </c>
      <c r="R189" s="7">
        <v>7</v>
      </c>
      <c r="S189" s="4" t="s">
        <v>301</v>
      </c>
      <c r="T189" s="4" t="s">
        <v>302</v>
      </c>
      <c r="U189" s="5">
        <v>329.96800000000002</v>
      </c>
      <c r="V189" s="6">
        <v>0.45</v>
      </c>
      <c r="W189" s="7">
        <v>4</v>
      </c>
      <c r="X189" s="5">
        <v>173.90600000000001</v>
      </c>
      <c r="Y189" s="4" t="s">
        <v>292</v>
      </c>
      <c r="Z189" s="6">
        <v>1</v>
      </c>
      <c r="AA189" s="6">
        <v>0.75262499999999999</v>
      </c>
      <c r="AB189" s="5">
        <v>173.90600000000001</v>
      </c>
      <c r="AC189" s="6">
        <v>1</v>
      </c>
      <c r="AD189" s="6">
        <v>0.75262499999999999</v>
      </c>
      <c r="AE189" s="5">
        <v>173.90600000000001</v>
      </c>
      <c r="AF189" s="7">
        <v>10</v>
      </c>
      <c r="AG189" s="7">
        <v>7</v>
      </c>
      <c r="AH189" s="7">
        <v>9.25</v>
      </c>
      <c r="AI189" s="7">
        <v>17</v>
      </c>
      <c r="AJ189" s="7">
        <v>0</v>
      </c>
      <c r="AK189" s="8">
        <v>44115.511562500003</v>
      </c>
      <c r="AL189" s="7">
        <v>14.85</v>
      </c>
      <c r="AM189" s="7">
        <v>100</v>
      </c>
      <c r="AN189" s="7">
        <v>0</v>
      </c>
      <c r="AO189" s="7">
        <v>10.39</v>
      </c>
      <c r="AP189" s="7">
        <v>13.74</v>
      </c>
      <c r="AQ189" s="7">
        <v>31.37</v>
      </c>
      <c r="AR189" s="7">
        <v>7.79</v>
      </c>
      <c r="AS189" s="4" t="s">
        <v>303</v>
      </c>
      <c r="AT189" s="7">
        <v>0</v>
      </c>
      <c r="AU189" s="4" t="s">
        <v>419</v>
      </c>
      <c r="AV189" s="4" t="s">
        <v>305</v>
      </c>
      <c r="AW189" s="4" t="s">
        <v>292</v>
      </c>
    </row>
    <row r="190" spans="1:49" s="4" customFormat="1" x14ac:dyDescent="0.25">
      <c r="A190" s="4" t="s">
        <v>11200</v>
      </c>
      <c r="B190" s="4" t="s">
        <v>293</v>
      </c>
      <c r="C190" s="4" t="s">
        <v>417</v>
      </c>
      <c r="D190" s="4" t="s">
        <v>418</v>
      </c>
      <c r="F190" s="4" t="s">
        <v>11462</v>
      </c>
      <c r="G190" s="4" t="s">
        <v>11463</v>
      </c>
      <c r="I190" s="4" t="s">
        <v>296</v>
      </c>
      <c r="J190" s="4" t="s">
        <v>297</v>
      </c>
      <c r="K190" s="4" t="s">
        <v>298</v>
      </c>
      <c r="L190" s="4" t="s">
        <v>299</v>
      </c>
      <c r="M190" s="4" t="s">
        <v>300</v>
      </c>
      <c r="N190" s="4" t="s">
        <v>11198</v>
      </c>
      <c r="O190" s="5">
        <v>276.34800000000001</v>
      </c>
      <c r="P190" s="6">
        <v>1</v>
      </c>
      <c r="Q190" s="7">
        <v>9.25</v>
      </c>
      <c r="R190" s="7">
        <v>18</v>
      </c>
      <c r="S190" s="4" t="s">
        <v>301</v>
      </c>
      <c r="T190" s="4" t="s">
        <v>302</v>
      </c>
      <c r="U190" s="5">
        <v>379.86</v>
      </c>
      <c r="V190" s="6">
        <v>0.45</v>
      </c>
      <c r="W190" s="7">
        <v>1.5</v>
      </c>
      <c r="X190" s="5">
        <v>127.17700000000001</v>
      </c>
      <c r="Y190" s="4" t="s">
        <v>292</v>
      </c>
      <c r="Z190" s="6">
        <v>1</v>
      </c>
      <c r="AA190" s="6">
        <v>1</v>
      </c>
      <c r="AB190" s="5">
        <v>127.17700000000001</v>
      </c>
      <c r="AC190" s="6">
        <v>1</v>
      </c>
      <c r="AD190" s="6">
        <v>1</v>
      </c>
      <c r="AE190" s="5">
        <v>127.17700000000001</v>
      </c>
      <c r="AF190" s="7">
        <v>10</v>
      </c>
      <c r="AG190" s="7">
        <v>18</v>
      </c>
      <c r="AH190" s="7">
        <v>9.25</v>
      </c>
      <c r="AI190" s="7">
        <v>0</v>
      </c>
      <c r="AJ190" s="7">
        <v>0</v>
      </c>
      <c r="AK190" s="8">
        <v>44115.505277777775</v>
      </c>
      <c r="AL190" s="7">
        <v>17.09</v>
      </c>
      <c r="AM190" s="7">
        <v>100</v>
      </c>
      <c r="AN190" s="7">
        <v>0</v>
      </c>
      <c r="AO190" s="7">
        <v>30.77</v>
      </c>
      <c r="AP190" s="7">
        <v>15.81</v>
      </c>
      <c r="AQ190" s="7">
        <v>0</v>
      </c>
      <c r="AR190" s="7">
        <v>2.82</v>
      </c>
      <c r="AS190" s="4" t="s">
        <v>303</v>
      </c>
      <c r="AT190" s="7">
        <v>0</v>
      </c>
      <c r="AU190" s="4" t="s">
        <v>419</v>
      </c>
      <c r="AV190" s="4" t="s">
        <v>305</v>
      </c>
      <c r="AW190" s="4" t="s">
        <v>292</v>
      </c>
    </row>
    <row r="191" spans="1:49" s="4" customFormat="1" x14ac:dyDescent="0.25">
      <c r="A191" s="4" t="s">
        <v>11207</v>
      </c>
      <c r="B191" s="4" t="s">
        <v>293</v>
      </c>
      <c r="C191" s="4" t="s">
        <v>417</v>
      </c>
      <c r="D191" s="4" t="s">
        <v>418</v>
      </c>
      <c r="F191" s="4" t="s">
        <v>11236</v>
      </c>
      <c r="G191" s="4" t="s">
        <v>11237</v>
      </c>
      <c r="I191" s="4" t="s">
        <v>296</v>
      </c>
      <c r="J191" s="4" t="s">
        <v>297</v>
      </c>
      <c r="K191" s="4" t="s">
        <v>298</v>
      </c>
      <c r="L191" s="4" t="s">
        <v>299</v>
      </c>
      <c r="M191" s="4" t="s">
        <v>300</v>
      </c>
      <c r="N191" s="4" t="s">
        <v>11238</v>
      </c>
      <c r="O191" s="5">
        <v>127.18</v>
      </c>
      <c r="P191" s="6">
        <v>1</v>
      </c>
      <c r="Q191" s="7">
        <v>9.25</v>
      </c>
      <c r="R191" s="7">
        <v>7</v>
      </c>
      <c r="S191" s="4" t="s">
        <v>301</v>
      </c>
      <c r="T191" s="4" t="s">
        <v>302</v>
      </c>
      <c r="U191" s="5">
        <v>151.857</v>
      </c>
      <c r="V191" s="6">
        <v>0.25</v>
      </c>
      <c r="W191" s="7">
        <v>3</v>
      </c>
      <c r="X191" s="5">
        <v>51.103999999999999</v>
      </c>
      <c r="Y191" s="4" t="s">
        <v>292</v>
      </c>
      <c r="Z191" s="6">
        <v>4</v>
      </c>
      <c r="AA191" s="6">
        <v>1</v>
      </c>
      <c r="AB191" s="5">
        <v>204.416</v>
      </c>
      <c r="AC191" s="6">
        <v>1</v>
      </c>
      <c r="AD191" s="6">
        <v>1</v>
      </c>
      <c r="AE191" s="5">
        <v>204.416</v>
      </c>
      <c r="AF191" s="5">
        <v>204.416</v>
      </c>
      <c r="AG191" s="7">
        <v>7</v>
      </c>
      <c r="AH191" s="7">
        <v>0</v>
      </c>
      <c r="AI191" s="7">
        <v>17</v>
      </c>
      <c r="AJ191" s="7">
        <v>0</v>
      </c>
      <c r="AK191" s="8">
        <v>44115.528333333335</v>
      </c>
      <c r="AL191" s="7">
        <v>3.8</v>
      </c>
      <c r="AM191" s="7">
        <v>100</v>
      </c>
      <c r="AN191" s="7">
        <v>0</v>
      </c>
      <c r="AO191" s="7">
        <v>2.66</v>
      </c>
      <c r="AP191" s="7">
        <v>0</v>
      </c>
      <c r="AQ191" s="7">
        <v>7.85</v>
      </c>
      <c r="AR191" s="7">
        <v>1.49</v>
      </c>
      <c r="AS191" s="4" t="s">
        <v>303</v>
      </c>
      <c r="AT191" s="7">
        <v>0</v>
      </c>
      <c r="AU191" s="4" t="s">
        <v>419</v>
      </c>
      <c r="AV191" s="4" t="s">
        <v>305</v>
      </c>
    </row>
    <row r="192" spans="1:49" s="4" customFormat="1" x14ac:dyDescent="0.25">
      <c r="A192" s="4" t="s">
        <v>11201</v>
      </c>
      <c r="B192" s="4" t="s">
        <v>293</v>
      </c>
      <c r="C192" s="4" t="s">
        <v>11208</v>
      </c>
      <c r="D192" s="4" t="s">
        <v>11209</v>
      </c>
      <c r="F192" s="4" t="s">
        <v>11462</v>
      </c>
      <c r="G192" s="4" t="s">
        <v>11463</v>
      </c>
      <c r="I192" s="4" t="s">
        <v>296</v>
      </c>
      <c r="J192" s="4" t="s">
        <v>297</v>
      </c>
      <c r="K192" s="4" t="s">
        <v>298</v>
      </c>
      <c r="L192" s="4" t="s">
        <v>322</v>
      </c>
      <c r="M192" s="4" t="s">
        <v>300</v>
      </c>
      <c r="N192" s="4" t="s">
        <v>11205</v>
      </c>
      <c r="O192" s="5">
        <v>0</v>
      </c>
      <c r="P192" s="6">
        <v>1</v>
      </c>
      <c r="Q192" s="7">
        <v>0</v>
      </c>
      <c r="R192" s="7">
        <v>0</v>
      </c>
      <c r="S192" s="4" t="s">
        <v>301</v>
      </c>
      <c r="T192" s="4" t="s">
        <v>302</v>
      </c>
      <c r="U192" s="5">
        <v>2.99</v>
      </c>
      <c r="V192" s="6">
        <v>1</v>
      </c>
      <c r="W192" s="7">
        <v>1.5</v>
      </c>
      <c r="X192" s="5">
        <v>3.03</v>
      </c>
      <c r="Y192" s="4" t="s">
        <v>292</v>
      </c>
      <c r="Z192" s="6">
        <v>1</v>
      </c>
      <c r="AA192" s="6">
        <v>1</v>
      </c>
      <c r="AB192" s="5">
        <v>3.03</v>
      </c>
      <c r="AC192" s="6">
        <v>1</v>
      </c>
      <c r="AD192" s="6">
        <v>1</v>
      </c>
      <c r="AE192" s="5">
        <v>3.03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8">
        <v>44115.00503472222</v>
      </c>
      <c r="AL192" s="7">
        <v>0</v>
      </c>
      <c r="AM192" s="7">
        <v>100</v>
      </c>
      <c r="AN192" s="7">
        <v>0</v>
      </c>
      <c r="AO192" s="7">
        <v>0</v>
      </c>
      <c r="AP192" s="7">
        <v>0</v>
      </c>
      <c r="AQ192" s="7">
        <v>0</v>
      </c>
      <c r="AR192" s="7">
        <v>0.04</v>
      </c>
      <c r="AS192" s="4" t="s">
        <v>303</v>
      </c>
      <c r="AT192" s="7">
        <v>0</v>
      </c>
      <c r="AU192" s="4" t="s">
        <v>11210</v>
      </c>
      <c r="AV192" s="4" t="s">
        <v>305</v>
      </c>
      <c r="AW192" s="4" t="s">
        <v>296</v>
      </c>
    </row>
    <row r="193" spans="1:49" s="4" customFormat="1" x14ac:dyDescent="0.25">
      <c r="A193" s="4" t="s">
        <v>11201</v>
      </c>
      <c r="B193" s="4" t="s">
        <v>293</v>
      </c>
      <c r="C193" s="4" t="s">
        <v>11211</v>
      </c>
      <c r="D193" s="4" t="s">
        <v>11212</v>
      </c>
      <c r="F193" s="4" t="s">
        <v>11462</v>
      </c>
      <c r="G193" s="4" t="s">
        <v>11463</v>
      </c>
      <c r="I193" s="4" t="s">
        <v>296</v>
      </c>
      <c r="J193" s="4" t="s">
        <v>297</v>
      </c>
      <c r="K193" s="4" t="s">
        <v>298</v>
      </c>
      <c r="L193" s="4" t="s">
        <v>322</v>
      </c>
      <c r="M193" s="4" t="s">
        <v>300</v>
      </c>
      <c r="N193" s="4" t="s">
        <v>11205</v>
      </c>
      <c r="O193" s="5">
        <v>0</v>
      </c>
      <c r="P193" s="6">
        <v>1</v>
      </c>
      <c r="Q193" s="7">
        <v>0</v>
      </c>
      <c r="R193" s="7">
        <v>0</v>
      </c>
      <c r="S193" s="4" t="s">
        <v>301</v>
      </c>
      <c r="T193" s="4" t="s">
        <v>302</v>
      </c>
      <c r="U193" s="5">
        <v>5.13</v>
      </c>
      <c r="V193" s="6">
        <v>1</v>
      </c>
      <c r="W193" s="7">
        <v>1.5</v>
      </c>
      <c r="X193" s="5">
        <v>5.21</v>
      </c>
      <c r="Y193" s="4" t="s">
        <v>292</v>
      </c>
      <c r="Z193" s="6">
        <v>1</v>
      </c>
      <c r="AA193" s="6">
        <v>1</v>
      </c>
      <c r="AB193" s="5">
        <v>5.21</v>
      </c>
      <c r="AC193" s="6">
        <v>1</v>
      </c>
      <c r="AD193" s="6">
        <v>1</v>
      </c>
      <c r="AE193" s="5">
        <v>5.21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8">
        <v>44115.00503472222</v>
      </c>
      <c r="AL193" s="7">
        <v>0</v>
      </c>
      <c r="AM193" s="7">
        <v>100</v>
      </c>
      <c r="AN193" s="7">
        <v>0</v>
      </c>
      <c r="AO193" s="7">
        <v>0</v>
      </c>
      <c r="AP193" s="7">
        <v>0</v>
      </c>
      <c r="AQ193" s="7">
        <v>0</v>
      </c>
      <c r="AR193" s="7">
        <v>0.08</v>
      </c>
      <c r="AS193" s="4" t="s">
        <v>303</v>
      </c>
      <c r="AT193" s="7">
        <v>0</v>
      </c>
      <c r="AU193" s="4" t="s">
        <v>11213</v>
      </c>
      <c r="AV193" s="4" t="s">
        <v>305</v>
      </c>
      <c r="AW193" s="4" t="s">
        <v>296</v>
      </c>
    </row>
    <row r="194" spans="1:49" s="4" customFormat="1" x14ac:dyDescent="0.25">
      <c r="A194" s="4" t="s">
        <v>11201</v>
      </c>
      <c r="B194" s="4" t="s">
        <v>293</v>
      </c>
      <c r="C194" s="4" t="s">
        <v>420</v>
      </c>
      <c r="D194" s="4" t="s">
        <v>421</v>
      </c>
      <c r="F194" s="4" t="s">
        <v>11462</v>
      </c>
      <c r="G194" s="4" t="s">
        <v>11463</v>
      </c>
      <c r="I194" s="4" t="s">
        <v>296</v>
      </c>
      <c r="J194" s="4" t="s">
        <v>297</v>
      </c>
      <c r="K194" s="4" t="s">
        <v>368</v>
      </c>
      <c r="L194" s="4" t="s">
        <v>322</v>
      </c>
      <c r="M194" s="4" t="s">
        <v>300</v>
      </c>
      <c r="N194" s="4" t="s">
        <v>11198</v>
      </c>
      <c r="O194" s="5">
        <v>32.396000000000001</v>
      </c>
      <c r="P194" s="6">
        <v>1</v>
      </c>
      <c r="Q194" s="7">
        <v>9.25</v>
      </c>
      <c r="R194" s="7">
        <v>12</v>
      </c>
      <c r="S194" s="4" t="s">
        <v>301</v>
      </c>
      <c r="T194" s="4" t="s">
        <v>302</v>
      </c>
      <c r="U194" s="5">
        <v>41.137999999999998</v>
      </c>
      <c r="V194" s="6">
        <v>0.45</v>
      </c>
      <c r="W194" s="7">
        <v>1.5</v>
      </c>
      <c r="X194" s="5">
        <v>14.882</v>
      </c>
      <c r="Y194" s="4" t="s">
        <v>292</v>
      </c>
      <c r="Z194" s="6">
        <v>1</v>
      </c>
      <c r="AA194" s="6">
        <v>1</v>
      </c>
      <c r="AB194" s="5">
        <v>14.882</v>
      </c>
      <c r="AC194" s="6">
        <v>1</v>
      </c>
      <c r="AD194" s="6">
        <v>1</v>
      </c>
      <c r="AE194" s="5">
        <v>14.882</v>
      </c>
      <c r="AF194" s="7">
        <v>10</v>
      </c>
      <c r="AG194" s="7">
        <v>12</v>
      </c>
      <c r="AH194" s="7">
        <v>9.25</v>
      </c>
      <c r="AI194" s="7">
        <v>0</v>
      </c>
      <c r="AJ194" s="7">
        <v>0</v>
      </c>
      <c r="AK194" s="8">
        <v>44115.509756944448</v>
      </c>
      <c r="AL194" s="7">
        <v>1.85</v>
      </c>
      <c r="AM194" s="7">
        <v>100</v>
      </c>
      <c r="AN194" s="7">
        <v>0</v>
      </c>
      <c r="AO194" s="7">
        <v>2.2200000000000002</v>
      </c>
      <c r="AP194" s="7">
        <v>1.72</v>
      </c>
      <c r="AQ194" s="7">
        <v>0</v>
      </c>
      <c r="AR194" s="7">
        <v>0.31</v>
      </c>
      <c r="AS194" s="4" t="s">
        <v>303</v>
      </c>
      <c r="AT194" s="7">
        <v>0</v>
      </c>
      <c r="AU194" s="4" t="s">
        <v>422</v>
      </c>
      <c r="AV194" s="4" t="s">
        <v>305</v>
      </c>
      <c r="AW194" s="4" t="s">
        <v>292</v>
      </c>
    </row>
    <row r="195" spans="1:49" s="4" customFormat="1" x14ac:dyDescent="0.25">
      <c r="A195" s="4" t="s">
        <v>11199</v>
      </c>
      <c r="B195" s="4" t="s">
        <v>293</v>
      </c>
      <c r="C195" s="4" t="s">
        <v>420</v>
      </c>
      <c r="D195" s="4" t="s">
        <v>421</v>
      </c>
      <c r="F195" s="4" t="s">
        <v>11462</v>
      </c>
      <c r="G195" s="4" t="s">
        <v>11463</v>
      </c>
      <c r="I195" s="4" t="s">
        <v>296</v>
      </c>
      <c r="J195" s="4" t="s">
        <v>297</v>
      </c>
      <c r="K195" s="4" t="s">
        <v>368</v>
      </c>
      <c r="L195" s="4" t="s">
        <v>322</v>
      </c>
      <c r="M195" s="4" t="s">
        <v>300</v>
      </c>
      <c r="N195" s="4" t="s">
        <v>11198</v>
      </c>
      <c r="O195" s="5">
        <v>32.396000000000001</v>
      </c>
      <c r="P195" s="6">
        <v>1</v>
      </c>
      <c r="Q195" s="7">
        <v>9.25</v>
      </c>
      <c r="R195" s="7">
        <v>7</v>
      </c>
      <c r="S195" s="4" t="s">
        <v>301</v>
      </c>
      <c r="T195" s="4" t="s">
        <v>302</v>
      </c>
      <c r="U195" s="5">
        <v>38.682000000000002</v>
      </c>
      <c r="V195" s="6">
        <v>0.45</v>
      </c>
      <c r="W195" s="7">
        <v>2</v>
      </c>
      <c r="X195" s="5">
        <v>14.957000000000001</v>
      </c>
      <c r="Y195" s="4" t="s">
        <v>292</v>
      </c>
      <c r="Z195" s="6">
        <v>1</v>
      </c>
      <c r="AA195" s="6">
        <v>1</v>
      </c>
      <c r="AB195" s="5">
        <v>14.957000000000001</v>
      </c>
      <c r="AC195" s="6">
        <v>1</v>
      </c>
      <c r="AD195" s="6">
        <v>1</v>
      </c>
      <c r="AE195" s="5">
        <v>14.957000000000001</v>
      </c>
      <c r="AF195" s="7">
        <v>10</v>
      </c>
      <c r="AG195" s="7">
        <v>7</v>
      </c>
      <c r="AH195" s="7">
        <v>9.25</v>
      </c>
      <c r="AI195" s="7">
        <v>0</v>
      </c>
      <c r="AJ195" s="7">
        <v>0</v>
      </c>
      <c r="AK195" s="8">
        <v>44115.51158564815</v>
      </c>
      <c r="AL195" s="7">
        <v>1.74</v>
      </c>
      <c r="AM195" s="7">
        <v>100</v>
      </c>
      <c r="AN195" s="7">
        <v>0</v>
      </c>
      <c r="AO195" s="7">
        <v>1.22</v>
      </c>
      <c r="AP195" s="7">
        <v>1.61</v>
      </c>
      <c r="AQ195" s="7">
        <v>0</v>
      </c>
      <c r="AR195" s="7">
        <v>0.38</v>
      </c>
      <c r="AS195" s="4" t="s">
        <v>303</v>
      </c>
      <c r="AT195" s="7">
        <v>0</v>
      </c>
      <c r="AU195" s="4" t="s">
        <v>422</v>
      </c>
      <c r="AV195" s="4" t="s">
        <v>305</v>
      </c>
      <c r="AW195" s="4" t="s">
        <v>292</v>
      </c>
    </row>
    <row r="196" spans="1:49" s="4" customFormat="1" x14ac:dyDescent="0.25">
      <c r="A196" s="4" t="s">
        <v>395</v>
      </c>
      <c r="B196" s="4" t="s">
        <v>293</v>
      </c>
      <c r="C196" s="4" t="s">
        <v>420</v>
      </c>
      <c r="D196" s="4" t="s">
        <v>421</v>
      </c>
      <c r="F196" s="4" t="s">
        <v>11462</v>
      </c>
      <c r="G196" s="4" t="s">
        <v>11463</v>
      </c>
      <c r="I196" s="4" t="s">
        <v>296</v>
      </c>
      <c r="J196" s="4" t="s">
        <v>297</v>
      </c>
      <c r="K196" s="4" t="s">
        <v>368</v>
      </c>
      <c r="L196" s="4" t="s">
        <v>322</v>
      </c>
      <c r="M196" s="4" t="s">
        <v>300</v>
      </c>
      <c r="N196" s="4" t="s">
        <v>447</v>
      </c>
      <c r="O196" s="5">
        <v>32.396000000000001</v>
      </c>
      <c r="P196" s="6">
        <v>1</v>
      </c>
      <c r="Q196" s="7">
        <v>9.25</v>
      </c>
      <c r="R196" s="7">
        <v>7</v>
      </c>
      <c r="S196" s="4" t="s">
        <v>301</v>
      </c>
      <c r="T196" s="4" t="s">
        <v>302</v>
      </c>
      <c r="U196" s="5">
        <v>38.682000000000002</v>
      </c>
      <c r="V196" s="6">
        <v>0.45</v>
      </c>
      <c r="W196" s="7">
        <v>4</v>
      </c>
      <c r="X196" s="5">
        <v>20.387</v>
      </c>
      <c r="Y196" s="4" t="s">
        <v>292</v>
      </c>
      <c r="Z196" s="6">
        <v>1</v>
      </c>
      <c r="AA196" s="6">
        <v>0.75278400000000001</v>
      </c>
      <c r="AB196" s="5">
        <v>20.387</v>
      </c>
      <c r="AC196" s="6">
        <v>1</v>
      </c>
      <c r="AD196" s="6">
        <v>0.75278400000000001</v>
      </c>
      <c r="AE196" s="5">
        <v>20.387</v>
      </c>
      <c r="AF196" s="7">
        <v>10</v>
      </c>
      <c r="AG196" s="7">
        <v>7</v>
      </c>
      <c r="AH196" s="7">
        <v>9.25</v>
      </c>
      <c r="AI196" s="7">
        <v>17</v>
      </c>
      <c r="AJ196" s="7">
        <v>0</v>
      </c>
      <c r="AK196" s="8">
        <v>44115.51158564815</v>
      </c>
      <c r="AL196" s="7">
        <v>1.74</v>
      </c>
      <c r="AM196" s="7">
        <v>100</v>
      </c>
      <c r="AN196" s="7">
        <v>0</v>
      </c>
      <c r="AO196" s="7">
        <v>1.22</v>
      </c>
      <c r="AP196" s="7">
        <v>1.61</v>
      </c>
      <c r="AQ196" s="7">
        <v>3.68</v>
      </c>
      <c r="AR196" s="7">
        <v>0.91</v>
      </c>
      <c r="AS196" s="4" t="s">
        <v>303</v>
      </c>
      <c r="AT196" s="7">
        <v>0</v>
      </c>
      <c r="AU196" s="4" t="s">
        <v>422</v>
      </c>
      <c r="AV196" s="4" t="s">
        <v>305</v>
      </c>
      <c r="AW196" s="4" t="s">
        <v>292</v>
      </c>
    </row>
    <row r="197" spans="1:49" s="4" customFormat="1" x14ac:dyDescent="0.25">
      <c r="A197" s="4" t="s">
        <v>11200</v>
      </c>
      <c r="B197" s="4" t="s">
        <v>293</v>
      </c>
      <c r="C197" s="4" t="s">
        <v>420</v>
      </c>
      <c r="D197" s="4" t="s">
        <v>421</v>
      </c>
      <c r="F197" s="4" t="s">
        <v>11462</v>
      </c>
      <c r="G197" s="4" t="s">
        <v>11463</v>
      </c>
      <c r="I197" s="4" t="s">
        <v>296</v>
      </c>
      <c r="J197" s="4" t="s">
        <v>297</v>
      </c>
      <c r="K197" s="4" t="s">
        <v>368</v>
      </c>
      <c r="L197" s="4" t="s">
        <v>322</v>
      </c>
      <c r="M197" s="4" t="s">
        <v>300</v>
      </c>
      <c r="N197" s="4" t="s">
        <v>11198</v>
      </c>
      <c r="O197" s="5">
        <v>32.396000000000001</v>
      </c>
      <c r="P197" s="6">
        <v>1</v>
      </c>
      <c r="Q197" s="7">
        <v>9.25</v>
      </c>
      <c r="R197" s="7">
        <v>18</v>
      </c>
      <c r="S197" s="4" t="s">
        <v>301</v>
      </c>
      <c r="T197" s="4" t="s">
        <v>302</v>
      </c>
      <c r="U197" s="5">
        <v>44.530999999999999</v>
      </c>
      <c r="V197" s="6">
        <v>0.45</v>
      </c>
      <c r="W197" s="7">
        <v>1.5</v>
      </c>
      <c r="X197" s="5">
        <v>14.909000000000001</v>
      </c>
      <c r="Y197" s="4" t="s">
        <v>292</v>
      </c>
      <c r="Z197" s="6">
        <v>1</v>
      </c>
      <c r="AA197" s="6">
        <v>1</v>
      </c>
      <c r="AB197" s="5">
        <v>14.909000000000001</v>
      </c>
      <c r="AC197" s="6">
        <v>1</v>
      </c>
      <c r="AD197" s="6">
        <v>1</v>
      </c>
      <c r="AE197" s="5">
        <v>14.909000000000001</v>
      </c>
      <c r="AF197" s="7">
        <v>10</v>
      </c>
      <c r="AG197" s="7">
        <v>18</v>
      </c>
      <c r="AH197" s="7">
        <v>9.25</v>
      </c>
      <c r="AI197" s="7">
        <v>0</v>
      </c>
      <c r="AJ197" s="7">
        <v>0</v>
      </c>
      <c r="AK197" s="8">
        <v>44115.505312499998</v>
      </c>
      <c r="AL197" s="7">
        <v>2</v>
      </c>
      <c r="AM197" s="7">
        <v>100</v>
      </c>
      <c r="AN197" s="7">
        <v>0</v>
      </c>
      <c r="AO197" s="7">
        <v>3.61</v>
      </c>
      <c r="AP197" s="7">
        <v>1.85</v>
      </c>
      <c r="AQ197" s="7">
        <v>0</v>
      </c>
      <c r="AR197" s="7">
        <v>0.33</v>
      </c>
      <c r="AS197" s="4" t="s">
        <v>303</v>
      </c>
      <c r="AT197" s="7">
        <v>0</v>
      </c>
      <c r="AU197" s="4" t="s">
        <v>422</v>
      </c>
      <c r="AV197" s="4" t="s">
        <v>305</v>
      </c>
      <c r="AW197" s="4" t="s">
        <v>292</v>
      </c>
    </row>
    <row r="198" spans="1:49" s="4" customFormat="1" x14ac:dyDescent="0.25">
      <c r="A198" s="4" t="s">
        <v>11207</v>
      </c>
      <c r="B198" s="4" t="s">
        <v>293</v>
      </c>
      <c r="C198" s="4" t="s">
        <v>420</v>
      </c>
      <c r="D198" s="4" t="s">
        <v>421</v>
      </c>
      <c r="F198" s="4" t="s">
        <v>11236</v>
      </c>
      <c r="G198" s="4" t="s">
        <v>11237</v>
      </c>
      <c r="I198" s="4" t="s">
        <v>296</v>
      </c>
      <c r="J198" s="4" t="s">
        <v>297</v>
      </c>
      <c r="K198" s="4" t="s">
        <v>368</v>
      </c>
      <c r="L198" s="4" t="s">
        <v>322</v>
      </c>
      <c r="M198" s="4" t="s">
        <v>300</v>
      </c>
      <c r="N198" s="4" t="s">
        <v>11238</v>
      </c>
      <c r="O198" s="5">
        <v>14.91</v>
      </c>
      <c r="P198" s="6">
        <v>1</v>
      </c>
      <c r="Q198" s="7">
        <v>9.25</v>
      </c>
      <c r="R198" s="7">
        <v>7</v>
      </c>
      <c r="S198" s="4" t="s">
        <v>301</v>
      </c>
      <c r="T198" s="4" t="s">
        <v>302</v>
      </c>
      <c r="U198" s="5">
        <v>17.803000000000001</v>
      </c>
      <c r="V198" s="6">
        <v>0.25</v>
      </c>
      <c r="W198" s="7">
        <v>3</v>
      </c>
      <c r="X198" s="5">
        <v>5.9909999999999997</v>
      </c>
      <c r="Y198" s="4" t="s">
        <v>292</v>
      </c>
      <c r="Z198" s="6">
        <v>4</v>
      </c>
      <c r="AA198" s="6">
        <v>1</v>
      </c>
      <c r="AB198" s="5">
        <v>23.963999999999999</v>
      </c>
      <c r="AC198" s="6">
        <v>1</v>
      </c>
      <c r="AD198" s="6">
        <v>1</v>
      </c>
      <c r="AE198" s="5">
        <v>23.963999999999999</v>
      </c>
      <c r="AF198" s="5">
        <v>23.963999999999999</v>
      </c>
      <c r="AG198" s="7">
        <v>7</v>
      </c>
      <c r="AH198" s="7">
        <v>0</v>
      </c>
      <c r="AI198" s="7">
        <v>17</v>
      </c>
      <c r="AJ198" s="7">
        <v>0</v>
      </c>
      <c r="AK198" s="8">
        <v>44115.528356481482</v>
      </c>
      <c r="AL198" s="7">
        <v>0.45</v>
      </c>
      <c r="AM198" s="7">
        <v>100</v>
      </c>
      <c r="AN198" s="7">
        <v>0</v>
      </c>
      <c r="AO198" s="7">
        <v>0.31</v>
      </c>
      <c r="AP198" s="7">
        <v>0</v>
      </c>
      <c r="AQ198" s="7">
        <v>0.92</v>
      </c>
      <c r="AR198" s="7">
        <v>0.17</v>
      </c>
      <c r="AS198" s="4" t="s">
        <v>303</v>
      </c>
      <c r="AT198" s="7">
        <v>0</v>
      </c>
      <c r="AU198" s="4" t="s">
        <v>422</v>
      </c>
      <c r="AV198" s="4" t="s">
        <v>305</v>
      </c>
    </row>
    <row r="199" spans="1:49" s="4" customFormat="1" x14ac:dyDescent="0.25">
      <c r="A199" s="4" t="s">
        <v>11201</v>
      </c>
      <c r="B199" s="4" t="s">
        <v>293</v>
      </c>
      <c r="C199" s="4" t="s">
        <v>423</v>
      </c>
      <c r="D199" s="4" t="s">
        <v>424</v>
      </c>
      <c r="F199" s="4" t="s">
        <v>11462</v>
      </c>
      <c r="G199" s="4" t="s">
        <v>11463</v>
      </c>
      <c r="I199" s="4" t="s">
        <v>296</v>
      </c>
      <c r="J199" s="4" t="s">
        <v>297</v>
      </c>
      <c r="K199" s="4" t="s">
        <v>319</v>
      </c>
      <c r="L199" s="4" t="s">
        <v>299</v>
      </c>
      <c r="M199" s="4" t="s">
        <v>300</v>
      </c>
      <c r="N199" s="4" t="s">
        <v>11198</v>
      </c>
      <c r="O199" s="5">
        <v>21.381</v>
      </c>
      <c r="P199" s="6">
        <v>1</v>
      </c>
      <c r="Q199" s="7">
        <v>9.25</v>
      </c>
      <c r="R199" s="7">
        <v>12</v>
      </c>
      <c r="S199" s="4" t="s">
        <v>301</v>
      </c>
      <c r="T199" s="4" t="s">
        <v>302</v>
      </c>
      <c r="U199" s="5">
        <v>27.15</v>
      </c>
      <c r="V199" s="6">
        <v>0.45</v>
      </c>
      <c r="W199" s="7">
        <v>1.5</v>
      </c>
      <c r="X199" s="5">
        <v>9.8179999999999996</v>
      </c>
      <c r="Y199" s="4" t="s">
        <v>292</v>
      </c>
      <c r="Z199" s="6">
        <v>1</v>
      </c>
      <c r="AA199" s="6">
        <v>1</v>
      </c>
      <c r="AB199" s="5">
        <v>9.8179999999999996</v>
      </c>
      <c r="AC199" s="6">
        <v>1</v>
      </c>
      <c r="AD199" s="6">
        <v>1</v>
      </c>
      <c r="AE199" s="5">
        <v>9.8179999999999996</v>
      </c>
      <c r="AF199" s="7">
        <v>10</v>
      </c>
      <c r="AG199" s="7">
        <v>12</v>
      </c>
      <c r="AH199" s="7">
        <v>9.25</v>
      </c>
      <c r="AI199" s="7">
        <v>0</v>
      </c>
      <c r="AJ199" s="7">
        <v>0</v>
      </c>
      <c r="AK199" s="8">
        <v>44115.509837962964</v>
      </c>
      <c r="AL199" s="7">
        <v>1.22</v>
      </c>
      <c r="AM199" s="7">
        <v>100</v>
      </c>
      <c r="AN199" s="7">
        <v>0</v>
      </c>
      <c r="AO199" s="7">
        <v>1.47</v>
      </c>
      <c r="AP199" s="7">
        <v>1.1299999999999999</v>
      </c>
      <c r="AQ199" s="7">
        <v>0</v>
      </c>
      <c r="AR199" s="7">
        <v>0.2</v>
      </c>
      <c r="AS199" s="4" t="s">
        <v>303</v>
      </c>
      <c r="AT199" s="7">
        <v>0</v>
      </c>
      <c r="AU199" s="4" t="s">
        <v>425</v>
      </c>
      <c r="AV199" s="4" t="s">
        <v>305</v>
      </c>
      <c r="AW199" s="4" t="s">
        <v>292</v>
      </c>
    </row>
    <row r="200" spans="1:49" s="4" customFormat="1" x14ac:dyDescent="0.25">
      <c r="A200" s="4" t="s">
        <v>11199</v>
      </c>
      <c r="B200" s="4" t="s">
        <v>293</v>
      </c>
      <c r="C200" s="4" t="s">
        <v>423</v>
      </c>
      <c r="D200" s="4" t="s">
        <v>424</v>
      </c>
      <c r="F200" s="4" t="s">
        <v>11462</v>
      </c>
      <c r="G200" s="4" t="s">
        <v>11463</v>
      </c>
      <c r="I200" s="4" t="s">
        <v>296</v>
      </c>
      <c r="J200" s="4" t="s">
        <v>297</v>
      </c>
      <c r="K200" s="4" t="s">
        <v>319</v>
      </c>
      <c r="L200" s="4" t="s">
        <v>299</v>
      </c>
      <c r="M200" s="4" t="s">
        <v>300</v>
      </c>
      <c r="N200" s="4" t="s">
        <v>11198</v>
      </c>
      <c r="O200" s="5">
        <v>21.381</v>
      </c>
      <c r="P200" s="6">
        <v>1</v>
      </c>
      <c r="Q200" s="7">
        <v>9.25</v>
      </c>
      <c r="R200" s="7">
        <v>7</v>
      </c>
      <c r="S200" s="4" t="s">
        <v>301</v>
      </c>
      <c r="T200" s="4" t="s">
        <v>302</v>
      </c>
      <c r="U200" s="5">
        <v>25.53</v>
      </c>
      <c r="V200" s="6">
        <v>0.45</v>
      </c>
      <c r="W200" s="7">
        <v>2</v>
      </c>
      <c r="X200" s="5">
        <v>9.8789999999999996</v>
      </c>
      <c r="Y200" s="4" t="s">
        <v>292</v>
      </c>
      <c r="Z200" s="6">
        <v>1</v>
      </c>
      <c r="AA200" s="6">
        <v>1</v>
      </c>
      <c r="AB200" s="5">
        <v>9.8789999999999996</v>
      </c>
      <c r="AC200" s="6">
        <v>1</v>
      </c>
      <c r="AD200" s="6">
        <v>1</v>
      </c>
      <c r="AE200" s="5">
        <v>9.8789999999999996</v>
      </c>
      <c r="AF200" s="7">
        <v>10</v>
      </c>
      <c r="AG200" s="7">
        <v>7</v>
      </c>
      <c r="AH200" s="7">
        <v>9.25</v>
      </c>
      <c r="AI200" s="7">
        <v>0</v>
      </c>
      <c r="AJ200" s="7">
        <v>0</v>
      </c>
      <c r="AK200" s="8">
        <v>44115.511678240742</v>
      </c>
      <c r="AL200" s="7">
        <v>1.1499999999999999</v>
      </c>
      <c r="AM200" s="7">
        <v>100</v>
      </c>
      <c r="AN200" s="7">
        <v>0</v>
      </c>
      <c r="AO200" s="7">
        <v>0.8</v>
      </c>
      <c r="AP200" s="7">
        <v>1.06</v>
      </c>
      <c r="AQ200" s="7">
        <v>0</v>
      </c>
      <c r="AR200" s="7">
        <v>0.25</v>
      </c>
      <c r="AS200" s="4" t="s">
        <v>303</v>
      </c>
      <c r="AT200" s="7">
        <v>0</v>
      </c>
      <c r="AU200" s="4" t="s">
        <v>425</v>
      </c>
      <c r="AV200" s="4" t="s">
        <v>305</v>
      </c>
      <c r="AW200" s="4" t="s">
        <v>292</v>
      </c>
    </row>
    <row r="201" spans="1:49" s="4" customFormat="1" x14ac:dyDescent="0.25">
      <c r="A201" s="4" t="s">
        <v>395</v>
      </c>
      <c r="B201" s="4" t="s">
        <v>293</v>
      </c>
      <c r="C201" s="4" t="s">
        <v>423</v>
      </c>
      <c r="D201" s="4" t="s">
        <v>424</v>
      </c>
      <c r="F201" s="4" t="s">
        <v>11462</v>
      </c>
      <c r="G201" s="4" t="s">
        <v>11463</v>
      </c>
      <c r="I201" s="4" t="s">
        <v>296</v>
      </c>
      <c r="J201" s="4" t="s">
        <v>297</v>
      </c>
      <c r="K201" s="4" t="s">
        <v>319</v>
      </c>
      <c r="L201" s="4" t="s">
        <v>299</v>
      </c>
      <c r="M201" s="4" t="s">
        <v>300</v>
      </c>
      <c r="N201" s="4" t="s">
        <v>447</v>
      </c>
      <c r="O201" s="5">
        <v>21.381</v>
      </c>
      <c r="P201" s="6">
        <v>1</v>
      </c>
      <c r="Q201" s="7">
        <v>9.25</v>
      </c>
      <c r="R201" s="7">
        <v>7</v>
      </c>
      <c r="S201" s="4" t="s">
        <v>301</v>
      </c>
      <c r="T201" s="4" t="s">
        <v>302</v>
      </c>
      <c r="U201" s="5">
        <v>25.53</v>
      </c>
      <c r="V201" s="6">
        <v>0.45</v>
      </c>
      <c r="W201" s="7">
        <v>4</v>
      </c>
      <c r="X201" s="5">
        <v>13.459</v>
      </c>
      <c r="Y201" s="4" t="s">
        <v>292</v>
      </c>
      <c r="Z201" s="6">
        <v>1</v>
      </c>
      <c r="AA201" s="6">
        <v>0.75332500000000002</v>
      </c>
      <c r="AB201" s="5">
        <v>13.459</v>
      </c>
      <c r="AC201" s="6">
        <v>1</v>
      </c>
      <c r="AD201" s="6">
        <v>0.75332500000000002</v>
      </c>
      <c r="AE201" s="5">
        <v>13.459</v>
      </c>
      <c r="AF201" s="7">
        <v>10</v>
      </c>
      <c r="AG201" s="7">
        <v>7</v>
      </c>
      <c r="AH201" s="7">
        <v>9.25</v>
      </c>
      <c r="AI201" s="7">
        <v>17</v>
      </c>
      <c r="AJ201" s="7">
        <v>0</v>
      </c>
      <c r="AK201" s="8">
        <v>44115.511678240742</v>
      </c>
      <c r="AL201" s="7">
        <v>1.1499999999999999</v>
      </c>
      <c r="AM201" s="7">
        <v>100</v>
      </c>
      <c r="AN201" s="7">
        <v>0</v>
      </c>
      <c r="AO201" s="7">
        <v>0.8</v>
      </c>
      <c r="AP201" s="7">
        <v>1.06</v>
      </c>
      <c r="AQ201" s="7">
        <v>2.4300000000000002</v>
      </c>
      <c r="AR201" s="7">
        <v>0.6</v>
      </c>
      <c r="AS201" s="4" t="s">
        <v>303</v>
      </c>
      <c r="AT201" s="7">
        <v>0</v>
      </c>
      <c r="AU201" s="4" t="s">
        <v>425</v>
      </c>
      <c r="AV201" s="4" t="s">
        <v>305</v>
      </c>
      <c r="AW201" s="4" t="s">
        <v>292</v>
      </c>
    </row>
    <row r="202" spans="1:49" s="4" customFormat="1" x14ac:dyDescent="0.25">
      <c r="A202" s="4" t="s">
        <v>11200</v>
      </c>
      <c r="B202" s="4" t="s">
        <v>293</v>
      </c>
      <c r="C202" s="4" t="s">
        <v>423</v>
      </c>
      <c r="D202" s="4" t="s">
        <v>424</v>
      </c>
      <c r="F202" s="4" t="s">
        <v>11462</v>
      </c>
      <c r="G202" s="4" t="s">
        <v>11463</v>
      </c>
      <c r="I202" s="4" t="s">
        <v>296</v>
      </c>
      <c r="J202" s="4" t="s">
        <v>297</v>
      </c>
      <c r="K202" s="4" t="s">
        <v>319</v>
      </c>
      <c r="L202" s="4" t="s">
        <v>299</v>
      </c>
      <c r="M202" s="4" t="s">
        <v>300</v>
      </c>
      <c r="N202" s="4" t="s">
        <v>11198</v>
      </c>
      <c r="O202" s="5">
        <v>21.381</v>
      </c>
      <c r="P202" s="6">
        <v>1</v>
      </c>
      <c r="Q202" s="7">
        <v>9.25</v>
      </c>
      <c r="R202" s="7">
        <v>18</v>
      </c>
      <c r="S202" s="4" t="s">
        <v>301</v>
      </c>
      <c r="T202" s="4" t="s">
        <v>302</v>
      </c>
      <c r="U202" s="5">
        <v>29.39</v>
      </c>
      <c r="V202" s="6">
        <v>0.45</v>
      </c>
      <c r="W202" s="7">
        <v>1.5</v>
      </c>
      <c r="X202" s="5">
        <v>9.8360000000000003</v>
      </c>
      <c r="Y202" s="4" t="s">
        <v>292</v>
      </c>
      <c r="Z202" s="6">
        <v>1</v>
      </c>
      <c r="AA202" s="6">
        <v>1</v>
      </c>
      <c r="AB202" s="5">
        <v>9.8360000000000003</v>
      </c>
      <c r="AC202" s="6">
        <v>1</v>
      </c>
      <c r="AD202" s="6">
        <v>1</v>
      </c>
      <c r="AE202" s="5">
        <v>9.8360000000000003</v>
      </c>
      <c r="AF202" s="7">
        <v>10</v>
      </c>
      <c r="AG202" s="7">
        <v>18</v>
      </c>
      <c r="AH202" s="7">
        <v>9.25</v>
      </c>
      <c r="AI202" s="7">
        <v>0</v>
      </c>
      <c r="AJ202" s="7">
        <v>0</v>
      </c>
      <c r="AK202" s="8">
        <v>44115.50540509259</v>
      </c>
      <c r="AL202" s="7">
        <v>1.32</v>
      </c>
      <c r="AM202" s="7">
        <v>100</v>
      </c>
      <c r="AN202" s="7">
        <v>0</v>
      </c>
      <c r="AO202" s="7">
        <v>2.38</v>
      </c>
      <c r="AP202" s="7">
        <v>1.23</v>
      </c>
      <c r="AQ202" s="7">
        <v>0</v>
      </c>
      <c r="AR202" s="7">
        <v>0.22</v>
      </c>
      <c r="AS202" s="4" t="s">
        <v>303</v>
      </c>
      <c r="AT202" s="7">
        <v>0</v>
      </c>
      <c r="AU202" s="4" t="s">
        <v>425</v>
      </c>
      <c r="AV202" s="4" t="s">
        <v>305</v>
      </c>
      <c r="AW202" s="4" t="s">
        <v>292</v>
      </c>
    </row>
    <row r="203" spans="1:49" s="4" customFormat="1" x14ac:dyDescent="0.25">
      <c r="A203" s="4" t="s">
        <v>11207</v>
      </c>
      <c r="B203" s="4" t="s">
        <v>293</v>
      </c>
      <c r="C203" s="4" t="s">
        <v>423</v>
      </c>
      <c r="D203" s="4" t="s">
        <v>424</v>
      </c>
      <c r="F203" s="4" t="s">
        <v>11236</v>
      </c>
      <c r="G203" s="4" t="s">
        <v>11237</v>
      </c>
      <c r="I203" s="4" t="s">
        <v>296</v>
      </c>
      <c r="J203" s="4" t="s">
        <v>297</v>
      </c>
      <c r="K203" s="4" t="s">
        <v>319</v>
      </c>
      <c r="L203" s="4" t="s">
        <v>299</v>
      </c>
      <c r="M203" s="4" t="s">
        <v>300</v>
      </c>
      <c r="N203" s="4" t="s">
        <v>11238</v>
      </c>
      <c r="O203" s="5">
        <v>9.84</v>
      </c>
      <c r="P203" s="6">
        <v>1</v>
      </c>
      <c r="Q203" s="7">
        <v>9.25</v>
      </c>
      <c r="R203" s="7">
        <v>7</v>
      </c>
      <c r="S203" s="4" t="s">
        <v>301</v>
      </c>
      <c r="T203" s="4" t="s">
        <v>302</v>
      </c>
      <c r="U203" s="5">
        <v>11.749000000000001</v>
      </c>
      <c r="V203" s="6">
        <v>0.25</v>
      </c>
      <c r="W203" s="7">
        <v>3</v>
      </c>
      <c r="X203" s="5">
        <v>3.9569999999999999</v>
      </c>
      <c r="Y203" s="4" t="s">
        <v>292</v>
      </c>
      <c r="Z203" s="6">
        <v>4</v>
      </c>
      <c r="AA203" s="6">
        <v>1</v>
      </c>
      <c r="AB203" s="5">
        <v>15.827999999999999</v>
      </c>
      <c r="AC203" s="6">
        <v>1</v>
      </c>
      <c r="AD203" s="6">
        <v>1</v>
      </c>
      <c r="AE203" s="5">
        <v>15.827999999999999</v>
      </c>
      <c r="AF203" s="5">
        <v>15.827999999999999</v>
      </c>
      <c r="AG203" s="7">
        <v>7</v>
      </c>
      <c r="AH203" s="7">
        <v>0</v>
      </c>
      <c r="AI203" s="7">
        <v>17</v>
      </c>
      <c r="AJ203" s="7">
        <v>0</v>
      </c>
      <c r="AK203" s="8">
        <v>44115.52847222222</v>
      </c>
      <c r="AL203" s="7">
        <v>0.28999999999999998</v>
      </c>
      <c r="AM203" s="7">
        <v>100</v>
      </c>
      <c r="AN203" s="7">
        <v>0</v>
      </c>
      <c r="AO203" s="7">
        <v>0.21</v>
      </c>
      <c r="AP203" s="7">
        <v>0</v>
      </c>
      <c r="AQ203" s="7">
        <v>0.61</v>
      </c>
      <c r="AR203" s="7">
        <v>0.12</v>
      </c>
      <c r="AS203" s="4" t="s">
        <v>303</v>
      </c>
      <c r="AT203" s="7">
        <v>0</v>
      </c>
      <c r="AU203" s="4" t="s">
        <v>425</v>
      </c>
      <c r="AV203" s="4" t="s">
        <v>305</v>
      </c>
    </row>
    <row r="204" spans="1:49" s="4" customFormat="1" x14ac:dyDescent="0.25">
      <c r="A204" s="4" t="s">
        <v>11201</v>
      </c>
      <c r="B204" s="4" t="s">
        <v>293</v>
      </c>
      <c r="C204" s="4" t="s">
        <v>426</v>
      </c>
      <c r="D204" s="4" t="s">
        <v>427</v>
      </c>
      <c r="F204" s="4" t="s">
        <v>11462</v>
      </c>
      <c r="G204" s="4" t="s">
        <v>11463</v>
      </c>
      <c r="I204" s="4" t="s">
        <v>296</v>
      </c>
      <c r="J204" s="4" t="s">
        <v>297</v>
      </c>
      <c r="K204" s="4" t="s">
        <v>319</v>
      </c>
      <c r="L204" s="4" t="s">
        <v>299</v>
      </c>
      <c r="M204" s="4" t="s">
        <v>300</v>
      </c>
      <c r="N204" s="4" t="s">
        <v>11198</v>
      </c>
      <c r="O204" s="5">
        <v>25.292000000000002</v>
      </c>
      <c r="P204" s="6">
        <v>1</v>
      </c>
      <c r="Q204" s="7">
        <v>9.25</v>
      </c>
      <c r="R204" s="7">
        <v>12</v>
      </c>
      <c r="S204" s="4" t="s">
        <v>301</v>
      </c>
      <c r="T204" s="4" t="s">
        <v>302</v>
      </c>
      <c r="U204" s="5">
        <v>32.116999999999997</v>
      </c>
      <c r="V204" s="6">
        <v>0.45</v>
      </c>
      <c r="W204" s="7">
        <v>1.5</v>
      </c>
      <c r="X204" s="5">
        <v>11.622999999999999</v>
      </c>
      <c r="Y204" s="4" t="s">
        <v>292</v>
      </c>
      <c r="Z204" s="6">
        <v>1</v>
      </c>
      <c r="AA204" s="6">
        <v>1</v>
      </c>
      <c r="AB204" s="5">
        <v>11.622999999999999</v>
      </c>
      <c r="AC204" s="6">
        <v>1</v>
      </c>
      <c r="AD204" s="6">
        <v>1</v>
      </c>
      <c r="AE204" s="5">
        <v>11.622999999999999</v>
      </c>
      <c r="AF204" s="7">
        <v>10</v>
      </c>
      <c r="AG204" s="7">
        <v>12</v>
      </c>
      <c r="AH204" s="7">
        <v>9.25</v>
      </c>
      <c r="AI204" s="7">
        <v>0</v>
      </c>
      <c r="AJ204" s="7">
        <v>0</v>
      </c>
      <c r="AK204" s="8">
        <v>44115.509837962964</v>
      </c>
      <c r="AL204" s="7">
        <v>1.45</v>
      </c>
      <c r="AM204" s="7">
        <v>100</v>
      </c>
      <c r="AN204" s="7">
        <v>0</v>
      </c>
      <c r="AO204" s="7">
        <v>1.73</v>
      </c>
      <c r="AP204" s="7">
        <v>1.34</v>
      </c>
      <c r="AQ204" s="7">
        <v>0</v>
      </c>
      <c r="AR204" s="7">
        <v>0.24</v>
      </c>
      <c r="AS204" s="4" t="s">
        <v>303</v>
      </c>
      <c r="AT204" s="7">
        <v>0</v>
      </c>
      <c r="AU204" s="4" t="s">
        <v>428</v>
      </c>
      <c r="AV204" s="4" t="s">
        <v>305</v>
      </c>
      <c r="AW204" s="4" t="s">
        <v>292</v>
      </c>
    </row>
    <row r="205" spans="1:49" s="4" customFormat="1" x14ac:dyDescent="0.25">
      <c r="A205" s="4" t="s">
        <v>11199</v>
      </c>
      <c r="B205" s="4" t="s">
        <v>293</v>
      </c>
      <c r="C205" s="4" t="s">
        <v>426</v>
      </c>
      <c r="D205" s="4" t="s">
        <v>427</v>
      </c>
      <c r="F205" s="4" t="s">
        <v>11462</v>
      </c>
      <c r="G205" s="4" t="s">
        <v>11463</v>
      </c>
      <c r="I205" s="4" t="s">
        <v>296</v>
      </c>
      <c r="J205" s="4" t="s">
        <v>297</v>
      </c>
      <c r="K205" s="4" t="s">
        <v>319</v>
      </c>
      <c r="L205" s="4" t="s">
        <v>299</v>
      </c>
      <c r="M205" s="4" t="s">
        <v>300</v>
      </c>
      <c r="N205" s="4" t="s">
        <v>11198</v>
      </c>
      <c r="O205" s="5">
        <v>25.295000000000002</v>
      </c>
      <c r="P205" s="6">
        <v>1</v>
      </c>
      <c r="Q205" s="7">
        <v>9.25</v>
      </c>
      <c r="R205" s="7">
        <v>7</v>
      </c>
      <c r="S205" s="4" t="s">
        <v>301</v>
      </c>
      <c r="T205" s="4" t="s">
        <v>302</v>
      </c>
      <c r="U205" s="5">
        <v>30.202999999999999</v>
      </c>
      <c r="V205" s="6">
        <v>0.45</v>
      </c>
      <c r="W205" s="7">
        <v>2</v>
      </c>
      <c r="X205" s="5">
        <v>11.691000000000001</v>
      </c>
      <c r="Y205" s="4" t="s">
        <v>292</v>
      </c>
      <c r="Z205" s="6">
        <v>1</v>
      </c>
      <c r="AA205" s="6">
        <v>1</v>
      </c>
      <c r="AB205" s="5">
        <v>11.691000000000001</v>
      </c>
      <c r="AC205" s="6">
        <v>1</v>
      </c>
      <c r="AD205" s="6">
        <v>1</v>
      </c>
      <c r="AE205" s="5">
        <v>11.691000000000001</v>
      </c>
      <c r="AF205" s="7">
        <v>10</v>
      </c>
      <c r="AG205" s="7">
        <v>7</v>
      </c>
      <c r="AH205" s="7">
        <v>9.25</v>
      </c>
      <c r="AI205" s="7">
        <v>0</v>
      </c>
      <c r="AJ205" s="7">
        <v>0</v>
      </c>
      <c r="AK205" s="8">
        <v>44115.511689814812</v>
      </c>
      <c r="AL205" s="7">
        <v>1.36</v>
      </c>
      <c r="AM205" s="7">
        <v>100</v>
      </c>
      <c r="AN205" s="7">
        <v>0</v>
      </c>
      <c r="AO205" s="7">
        <v>0.95</v>
      </c>
      <c r="AP205" s="7">
        <v>1.25</v>
      </c>
      <c r="AQ205" s="7">
        <v>0</v>
      </c>
      <c r="AR205" s="7">
        <v>0.3</v>
      </c>
      <c r="AS205" s="4" t="s">
        <v>303</v>
      </c>
      <c r="AT205" s="7">
        <v>0</v>
      </c>
      <c r="AU205" s="4" t="s">
        <v>428</v>
      </c>
      <c r="AV205" s="4" t="s">
        <v>305</v>
      </c>
      <c r="AW205" s="4" t="s">
        <v>292</v>
      </c>
    </row>
    <row r="206" spans="1:49" s="4" customFormat="1" x14ac:dyDescent="0.25">
      <c r="A206" s="4" t="s">
        <v>395</v>
      </c>
      <c r="B206" s="4" t="s">
        <v>293</v>
      </c>
      <c r="C206" s="4" t="s">
        <v>426</v>
      </c>
      <c r="D206" s="4" t="s">
        <v>427</v>
      </c>
      <c r="F206" s="4" t="s">
        <v>11462</v>
      </c>
      <c r="G206" s="4" t="s">
        <v>11463</v>
      </c>
      <c r="I206" s="4" t="s">
        <v>296</v>
      </c>
      <c r="J206" s="4" t="s">
        <v>297</v>
      </c>
      <c r="K206" s="4" t="s">
        <v>319</v>
      </c>
      <c r="L206" s="4" t="s">
        <v>299</v>
      </c>
      <c r="M206" s="4" t="s">
        <v>300</v>
      </c>
      <c r="N206" s="4" t="s">
        <v>447</v>
      </c>
      <c r="O206" s="5">
        <v>25.295000000000002</v>
      </c>
      <c r="P206" s="6">
        <v>1</v>
      </c>
      <c r="Q206" s="7">
        <v>9.25</v>
      </c>
      <c r="R206" s="7">
        <v>7</v>
      </c>
      <c r="S206" s="4" t="s">
        <v>301</v>
      </c>
      <c r="T206" s="4" t="s">
        <v>302</v>
      </c>
      <c r="U206" s="5">
        <v>30.202999999999999</v>
      </c>
      <c r="V206" s="6">
        <v>0.45</v>
      </c>
      <c r="W206" s="7">
        <v>4</v>
      </c>
      <c r="X206" s="5">
        <v>15.920999999999999</v>
      </c>
      <c r="Y206" s="4" t="s">
        <v>292</v>
      </c>
      <c r="Z206" s="6">
        <v>1</v>
      </c>
      <c r="AA206" s="6">
        <v>0.75315600000000005</v>
      </c>
      <c r="AB206" s="5">
        <v>15.920999999999999</v>
      </c>
      <c r="AC206" s="6">
        <v>1</v>
      </c>
      <c r="AD206" s="6">
        <v>0.75315600000000005</v>
      </c>
      <c r="AE206" s="5">
        <v>15.920999999999999</v>
      </c>
      <c r="AF206" s="7">
        <v>10</v>
      </c>
      <c r="AG206" s="7">
        <v>7</v>
      </c>
      <c r="AH206" s="7">
        <v>9.25</v>
      </c>
      <c r="AI206" s="7">
        <v>17</v>
      </c>
      <c r="AJ206" s="7">
        <v>0</v>
      </c>
      <c r="AK206" s="8">
        <v>44115.511689814812</v>
      </c>
      <c r="AL206" s="7">
        <v>1.36</v>
      </c>
      <c r="AM206" s="7">
        <v>100</v>
      </c>
      <c r="AN206" s="7">
        <v>0</v>
      </c>
      <c r="AO206" s="7">
        <v>0.95</v>
      </c>
      <c r="AP206" s="7">
        <v>1.25</v>
      </c>
      <c r="AQ206" s="7">
        <v>2.87</v>
      </c>
      <c r="AR206" s="7">
        <v>0.71</v>
      </c>
      <c r="AS206" s="4" t="s">
        <v>303</v>
      </c>
      <c r="AT206" s="7">
        <v>0</v>
      </c>
      <c r="AU206" s="4" t="s">
        <v>428</v>
      </c>
      <c r="AV206" s="4" t="s">
        <v>305</v>
      </c>
      <c r="AW206" s="4" t="s">
        <v>292</v>
      </c>
    </row>
    <row r="207" spans="1:49" s="4" customFormat="1" x14ac:dyDescent="0.25">
      <c r="A207" s="4" t="s">
        <v>11200</v>
      </c>
      <c r="B207" s="4" t="s">
        <v>293</v>
      </c>
      <c r="C207" s="4" t="s">
        <v>426</v>
      </c>
      <c r="D207" s="4" t="s">
        <v>427</v>
      </c>
      <c r="F207" s="4" t="s">
        <v>11462</v>
      </c>
      <c r="G207" s="4" t="s">
        <v>11463</v>
      </c>
      <c r="I207" s="4" t="s">
        <v>296</v>
      </c>
      <c r="J207" s="4" t="s">
        <v>297</v>
      </c>
      <c r="K207" s="4" t="s">
        <v>319</v>
      </c>
      <c r="L207" s="4" t="s">
        <v>299</v>
      </c>
      <c r="M207" s="4" t="s">
        <v>300</v>
      </c>
      <c r="N207" s="4" t="s">
        <v>11198</v>
      </c>
      <c r="O207" s="5">
        <v>25.295000000000002</v>
      </c>
      <c r="P207" s="6">
        <v>1</v>
      </c>
      <c r="Q207" s="7">
        <v>9.25</v>
      </c>
      <c r="R207" s="7">
        <v>18</v>
      </c>
      <c r="S207" s="4" t="s">
        <v>301</v>
      </c>
      <c r="T207" s="4" t="s">
        <v>302</v>
      </c>
      <c r="U207" s="5">
        <v>34.770000000000003</v>
      </c>
      <c r="V207" s="6">
        <v>0.45</v>
      </c>
      <c r="W207" s="7">
        <v>1.5</v>
      </c>
      <c r="X207" s="5">
        <v>11.637</v>
      </c>
      <c r="Y207" s="4" t="s">
        <v>292</v>
      </c>
      <c r="Z207" s="6">
        <v>1</v>
      </c>
      <c r="AA207" s="6">
        <v>1</v>
      </c>
      <c r="AB207" s="5">
        <v>11.637</v>
      </c>
      <c r="AC207" s="6">
        <v>1</v>
      </c>
      <c r="AD207" s="6">
        <v>1</v>
      </c>
      <c r="AE207" s="5">
        <v>11.637</v>
      </c>
      <c r="AF207" s="7">
        <v>10</v>
      </c>
      <c r="AG207" s="7">
        <v>18</v>
      </c>
      <c r="AH207" s="7">
        <v>9.25</v>
      </c>
      <c r="AI207" s="7">
        <v>0</v>
      </c>
      <c r="AJ207" s="7">
        <v>0</v>
      </c>
      <c r="AK207" s="8">
        <v>44115.50540509259</v>
      </c>
      <c r="AL207" s="7">
        <v>1.57</v>
      </c>
      <c r="AM207" s="7">
        <v>100</v>
      </c>
      <c r="AN207" s="7">
        <v>0</v>
      </c>
      <c r="AO207" s="7">
        <v>2.82</v>
      </c>
      <c r="AP207" s="7">
        <v>1.45</v>
      </c>
      <c r="AQ207" s="7">
        <v>0</v>
      </c>
      <c r="AR207" s="7">
        <v>0.26</v>
      </c>
      <c r="AS207" s="4" t="s">
        <v>303</v>
      </c>
      <c r="AT207" s="7">
        <v>0</v>
      </c>
      <c r="AU207" s="4" t="s">
        <v>428</v>
      </c>
      <c r="AV207" s="4" t="s">
        <v>305</v>
      </c>
      <c r="AW207" s="4" t="s">
        <v>292</v>
      </c>
    </row>
    <row r="208" spans="1:49" s="4" customFormat="1" x14ac:dyDescent="0.25">
      <c r="A208" s="4" t="s">
        <v>11207</v>
      </c>
      <c r="B208" s="4" t="s">
        <v>293</v>
      </c>
      <c r="C208" s="4" t="s">
        <v>426</v>
      </c>
      <c r="D208" s="4" t="s">
        <v>427</v>
      </c>
      <c r="F208" s="4" t="s">
        <v>11236</v>
      </c>
      <c r="G208" s="4" t="s">
        <v>11237</v>
      </c>
      <c r="I208" s="4" t="s">
        <v>296</v>
      </c>
      <c r="J208" s="4" t="s">
        <v>297</v>
      </c>
      <c r="K208" s="4" t="s">
        <v>319</v>
      </c>
      <c r="L208" s="4" t="s">
        <v>299</v>
      </c>
      <c r="M208" s="4" t="s">
        <v>300</v>
      </c>
      <c r="N208" s="4" t="s">
        <v>11238</v>
      </c>
      <c r="O208" s="5">
        <v>11.64</v>
      </c>
      <c r="P208" s="6">
        <v>1</v>
      </c>
      <c r="Q208" s="7">
        <v>9.25</v>
      </c>
      <c r="R208" s="7">
        <v>7</v>
      </c>
      <c r="S208" s="4" t="s">
        <v>301</v>
      </c>
      <c r="T208" s="4" t="s">
        <v>302</v>
      </c>
      <c r="U208" s="5">
        <v>13.898999999999999</v>
      </c>
      <c r="V208" s="6">
        <v>0.25</v>
      </c>
      <c r="W208" s="7">
        <v>3</v>
      </c>
      <c r="X208" s="5">
        <v>4.6849999999999996</v>
      </c>
      <c r="Y208" s="4" t="s">
        <v>292</v>
      </c>
      <c r="Z208" s="6">
        <v>4</v>
      </c>
      <c r="AA208" s="6">
        <v>1</v>
      </c>
      <c r="AB208" s="5">
        <v>18.739999999999998</v>
      </c>
      <c r="AC208" s="6">
        <v>1</v>
      </c>
      <c r="AD208" s="6">
        <v>1</v>
      </c>
      <c r="AE208" s="5">
        <v>18.739999999999998</v>
      </c>
      <c r="AF208" s="5">
        <v>18.739999999999998</v>
      </c>
      <c r="AG208" s="7">
        <v>7</v>
      </c>
      <c r="AH208" s="7">
        <v>0</v>
      </c>
      <c r="AI208" s="7">
        <v>17</v>
      </c>
      <c r="AJ208" s="7">
        <v>0</v>
      </c>
      <c r="AK208" s="8">
        <v>44115.528483796297</v>
      </c>
      <c r="AL208" s="7">
        <v>0.35</v>
      </c>
      <c r="AM208" s="7">
        <v>100</v>
      </c>
      <c r="AN208" s="7">
        <v>0</v>
      </c>
      <c r="AO208" s="7">
        <v>0.24</v>
      </c>
      <c r="AP208" s="7">
        <v>0</v>
      </c>
      <c r="AQ208" s="7">
        <v>0.72</v>
      </c>
      <c r="AR208" s="7">
        <v>0.14000000000000001</v>
      </c>
      <c r="AS208" s="4" t="s">
        <v>303</v>
      </c>
      <c r="AT208" s="7">
        <v>0</v>
      </c>
      <c r="AU208" s="4" t="s">
        <v>428</v>
      </c>
      <c r="AV208" s="4" t="s">
        <v>305</v>
      </c>
    </row>
    <row r="209" spans="1:49" s="4" customFormat="1" x14ac:dyDescent="0.25">
      <c r="A209" s="4" t="s">
        <v>11201</v>
      </c>
      <c r="B209" s="4" t="s">
        <v>293</v>
      </c>
      <c r="C209" s="4" t="s">
        <v>429</v>
      </c>
      <c r="D209" s="4" t="s">
        <v>430</v>
      </c>
      <c r="F209" s="4" t="s">
        <v>11462</v>
      </c>
      <c r="G209" s="4" t="s">
        <v>11463</v>
      </c>
      <c r="I209" s="4" t="s">
        <v>296</v>
      </c>
      <c r="J209" s="4" t="s">
        <v>297</v>
      </c>
      <c r="K209" s="4" t="s">
        <v>319</v>
      </c>
      <c r="L209" s="4" t="s">
        <v>299</v>
      </c>
      <c r="M209" s="4" t="s">
        <v>300</v>
      </c>
      <c r="N209" s="4" t="s">
        <v>11198</v>
      </c>
      <c r="O209" s="5">
        <v>27.170999999999999</v>
      </c>
      <c r="P209" s="6">
        <v>1</v>
      </c>
      <c r="Q209" s="7">
        <v>9.25</v>
      </c>
      <c r="R209" s="7">
        <v>12</v>
      </c>
      <c r="S209" s="4" t="s">
        <v>301</v>
      </c>
      <c r="T209" s="4" t="s">
        <v>302</v>
      </c>
      <c r="U209" s="5">
        <v>34.503</v>
      </c>
      <c r="V209" s="6">
        <v>0.45</v>
      </c>
      <c r="W209" s="7">
        <v>1.5</v>
      </c>
      <c r="X209" s="5">
        <v>12.486000000000001</v>
      </c>
      <c r="Y209" s="4" t="s">
        <v>292</v>
      </c>
      <c r="Z209" s="6">
        <v>1</v>
      </c>
      <c r="AA209" s="6">
        <v>1</v>
      </c>
      <c r="AB209" s="5">
        <v>12.486000000000001</v>
      </c>
      <c r="AC209" s="6">
        <v>1</v>
      </c>
      <c r="AD209" s="6">
        <v>1</v>
      </c>
      <c r="AE209" s="5">
        <v>12.486000000000001</v>
      </c>
      <c r="AF209" s="7">
        <v>10</v>
      </c>
      <c r="AG209" s="7">
        <v>12</v>
      </c>
      <c r="AH209" s="7">
        <v>9.25</v>
      </c>
      <c r="AI209" s="7">
        <v>0</v>
      </c>
      <c r="AJ209" s="7">
        <v>0</v>
      </c>
      <c r="AK209" s="8">
        <v>44115.509884259256</v>
      </c>
      <c r="AL209" s="7">
        <v>1.55</v>
      </c>
      <c r="AM209" s="7">
        <v>100</v>
      </c>
      <c r="AN209" s="7">
        <v>0</v>
      </c>
      <c r="AO209" s="7">
        <v>1.86</v>
      </c>
      <c r="AP209" s="7">
        <v>1.44</v>
      </c>
      <c r="AQ209" s="7">
        <v>0</v>
      </c>
      <c r="AR209" s="7">
        <v>0.26</v>
      </c>
      <c r="AS209" s="4" t="s">
        <v>303</v>
      </c>
      <c r="AT209" s="7">
        <v>0</v>
      </c>
      <c r="AU209" s="4" t="s">
        <v>431</v>
      </c>
      <c r="AV209" s="4" t="s">
        <v>305</v>
      </c>
      <c r="AW209" s="4" t="s">
        <v>292</v>
      </c>
    </row>
    <row r="210" spans="1:49" s="4" customFormat="1" x14ac:dyDescent="0.25">
      <c r="A210" s="4" t="s">
        <v>11199</v>
      </c>
      <c r="B210" s="4" t="s">
        <v>293</v>
      </c>
      <c r="C210" s="4" t="s">
        <v>429</v>
      </c>
      <c r="D210" s="4" t="s">
        <v>430</v>
      </c>
      <c r="F210" s="4" t="s">
        <v>11462</v>
      </c>
      <c r="G210" s="4" t="s">
        <v>11463</v>
      </c>
      <c r="I210" s="4" t="s">
        <v>296</v>
      </c>
      <c r="J210" s="4" t="s">
        <v>297</v>
      </c>
      <c r="K210" s="4" t="s">
        <v>319</v>
      </c>
      <c r="L210" s="4" t="s">
        <v>299</v>
      </c>
      <c r="M210" s="4" t="s">
        <v>300</v>
      </c>
      <c r="N210" s="4" t="s">
        <v>11198</v>
      </c>
      <c r="O210" s="5">
        <v>27.172000000000001</v>
      </c>
      <c r="P210" s="6">
        <v>1</v>
      </c>
      <c r="Q210" s="7">
        <v>9.25</v>
      </c>
      <c r="R210" s="7">
        <v>7</v>
      </c>
      <c r="S210" s="4" t="s">
        <v>301</v>
      </c>
      <c r="T210" s="4" t="s">
        <v>302</v>
      </c>
      <c r="U210" s="5">
        <v>32.444000000000003</v>
      </c>
      <c r="V210" s="6">
        <v>0.45</v>
      </c>
      <c r="W210" s="7">
        <v>2</v>
      </c>
      <c r="X210" s="5">
        <v>12.55</v>
      </c>
      <c r="Y210" s="4" t="s">
        <v>292</v>
      </c>
      <c r="Z210" s="6">
        <v>1</v>
      </c>
      <c r="AA210" s="6">
        <v>1</v>
      </c>
      <c r="AB210" s="5">
        <v>12.55</v>
      </c>
      <c r="AC210" s="6">
        <v>1</v>
      </c>
      <c r="AD210" s="6">
        <v>1</v>
      </c>
      <c r="AE210" s="5">
        <v>12.55</v>
      </c>
      <c r="AF210" s="7">
        <v>10</v>
      </c>
      <c r="AG210" s="7">
        <v>7</v>
      </c>
      <c r="AH210" s="7">
        <v>9.25</v>
      </c>
      <c r="AI210" s="7">
        <v>0</v>
      </c>
      <c r="AJ210" s="7">
        <v>0</v>
      </c>
      <c r="AK210" s="8">
        <v>44115.511747685188</v>
      </c>
      <c r="AL210" s="7">
        <v>1.46</v>
      </c>
      <c r="AM210" s="7">
        <v>100</v>
      </c>
      <c r="AN210" s="7">
        <v>0</v>
      </c>
      <c r="AO210" s="7">
        <v>1.02</v>
      </c>
      <c r="AP210" s="7">
        <v>1.35</v>
      </c>
      <c r="AQ210" s="7">
        <v>0</v>
      </c>
      <c r="AR210" s="7">
        <v>0.32</v>
      </c>
      <c r="AS210" s="4" t="s">
        <v>303</v>
      </c>
      <c r="AT210" s="7">
        <v>0</v>
      </c>
      <c r="AU210" s="4" t="s">
        <v>431</v>
      </c>
      <c r="AV210" s="4" t="s">
        <v>305</v>
      </c>
      <c r="AW210" s="4" t="s">
        <v>292</v>
      </c>
    </row>
    <row r="211" spans="1:49" s="4" customFormat="1" x14ac:dyDescent="0.25">
      <c r="A211" s="4" t="s">
        <v>395</v>
      </c>
      <c r="B211" s="4" t="s">
        <v>293</v>
      </c>
      <c r="C211" s="4" t="s">
        <v>429</v>
      </c>
      <c r="D211" s="4" t="s">
        <v>430</v>
      </c>
      <c r="F211" s="4" t="s">
        <v>11462</v>
      </c>
      <c r="G211" s="4" t="s">
        <v>11463</v>
      </c>
      <c r="I211" s="4" t="s">
        <v>296</v>
      </c>
      <c r="J211" s="4" t="s">
        <v>297</v>
      </c>
      <c r="K211" s="4" t="s">
        <v>319</v>
      </c>
      <c r="L211" s="4" t="s">
        <v>299</v>
      </c>
      <c r="M211" s="4" t="s">
        <v>300</v>
      </c>
      <c r="N211" s="4" t="s">
        <v>447</v>
      </c>
      <c r="O211" s="5">
        <v>27.172000000000001</v>
      </c>
      <c r="P211" s="6">
        <v>1</v>
      </c>
      <c r="Q211" s="7">
        <v>9.25</v>
      </c>
      <c r="R211" s="7">
        <v>7</v>
      </c>
      <c r="S211" s="4" t="s">
        <v>301</v>
      </c>
      <c r="T211" s="4" t="s">
        <v>302</v>
      </c>
      <c r="U211" s="5">
        <v>32.444000000000003</v>
      </c>
      <c r="V211" s="6">
        <v>0.45</v>
      </c>
      <c r="W211" s="7">
        <v>4</v>
      </c>
      <c r="X211" s="5">
        <v>17.100000000000001</v>
      </c>
      <c r="Y211" s="4" t="s">
        <v>292</v>
      </c>
      <c r="Z211" s="6">
        <v>1</v>
      </c>
      <c r="AA211" s="6">
        <v>0.75263199999999997</v>
      </c>
      <c r="AB211" s="5">
        <v>17.100000000000001</v>
      </c>
      <c r="AC211" s="6">
        <v>1</v>
      </c>
      <c r="AD211" s="6">
        <v>0.75263199999999997</v>
      </c>
      <c r="AE211" s="5">
        <v>17.100000000000001</v>
      </c>
      <c r="AF211" s="7">
        <v>10</v>
      </c>
      <c r="AG211" s="7">
        <v>7</v>
      </c>
      <c r="AH211" s="7">
        <v>9.25</v>
      </c>
      <c r="AI211" s="7">
        <v>17</v>
      </c>
      <c r="AJ211" s="7">
        <v>0</v>
      </c>
      <c r="AK211" s="8">
        <v>44115.511747685188</v>
      </c>
      <c r="AL211" s="7">
        <v>1.46</v>
      </c>
      <c r="AM211" s="7">
        <v>100</v>
      </c>
      <c r="AN211" s="7">
        <v>0</v>
      </c>
      <c r="AO211" s="7">
        <v>1.02</v>
      </c>
      <c r="AP211" s="7">
        <v>1.35</v>
      </c>
      <c r="AQ211" s="7">
        <v>3.08</v>
      </c>
      <c r="AR211" s="7">
        <v>0.77</v>
      </c>
      <c r="AS211" s="4" t="s">
        <v>303</v>
      </c>
      <c r="AT211" s="7">
        <v>0</v>
      </c>
      <c r="AU211" s="4" t="s">
        <v>431</v>
      </c>
      <c r="AV211" s="4" t="s">
        <v>305</v>
      </c>
      <c r="AW211" s="4" t="s">
        <v>292</v>
      </c>
    </row>
    <row r="212" spans="1:49" s="4" customFormat="1" x14ac:dyDescent="0.25">
      <c r="A212" s="4" t="s">
        <v>11200</v>
      </c>
      <c r="B212" s="4" t="s">
        <v>293</v>
      </c>
      <c r="C212" s="4" t="s">
        <v>429</v>
      </c>
      <c r="D212" s="4" t="s">
        <v>430</v>
      </c>
      <c r="F212" s="4" t="s">
        <v>11462</v>
      </c>
      <c r="G212" s="4" t="s">
        <v>11463</v>
      </c>
      <c r="I212" s="4" t="s">
        <v>296</v>
      </c>
      <c r="J212" s="4" t="s">
        <v>297</v>
      </c>
      <c r="K212" s="4" t="s">
        <v>319</v>
      </c>
      <c r="L212" s="4" t="s">
        <v>299</v>
      </c>
      <c r="M212" s="4" t="s">
        <v>300</v>
      </c>
      <c r="N212" s="4" t="s">
        <v>11198</v>
      </c>
      <c r="O212" s="5">
        <v>27.172000000000001</v>
      </c>
      <c r="P212" s="6">
        <v>1</v>
      </c>
      <c r="Q212" s="7">
        <v>9.25</v>
      </c>
      <c r="R212" s="7">
        <v>18</v>
      </c>
      <c r="S212" s="4" t="s">
        <v>301</v>
      </c>
      <c r="T212" s="4" t="s">
        <v>302</v>
      </c>
      <c r="U212" s="5">
        <v>37.35</v>
      </c>
      <c r="V212" s="6">
        <v>0.45</v>
      </c>
      <c r="W212" s="7">
        <v>1.5</v>
      </c>
      <c r="X212" s="5">
        <v>12.507999999999999</v>
      </c>
      <c r="Y212" s="4" t="s">
        <v>292</v>
      </c>
      <c r="Z212" s="6">
        <v>1</v>
      </c>
      <c r="AA212" s="6">
        <v>1</v>
      </c>
      <c r="AB212" s="5">
        <v>12.507999999999999</v>
      </c>
      <c r="AC212" s="6">
        <v>1</v>
      </c>
      <c r="AD212" s="6">
        <v>1</v>
      </c>
      <c r="AE212" s="5">
        <v>12.507999999999999</v>
      </c>
      <c r="AF212" s="7">
        <v>10</v>
      </c>
      <c r="AG212" s="7">
        <v>18</v>
      </c>
      <c r="AH212" s="7">
        <v>9.25</v>
      </c>
      <c r="AI212" s="7">
        <v>0</v>
      </c>
      <c r="AJ212" s="7">
        <v>0</v>
      </c>
      <c r="AK212" s="8">
        <v>44115.505439814813</v>
      </c>
      <c r="AL212" s="7">
        <v>1.68</v>
      </c>
      <c r="AM212" s="7">
        <v>100</v>
      </c>
      <c r="AN212" s="7">
        <v>0</v>
      </c>
      <c r="AO212" s="7">
        <v>3.02</v>
      </c>
      <c r="AP212" s="7">
        <v>1.56</v>
      </c>
      <c r="AQ212" s="7">
        <v>0</v>
      </c>
      <c r="AR212" s="7">
        <v>0.28000000000000003</v>
      </c>
      <c r="AS212" s="4" t="s">
        <v>303</v>
      </c>
      <c r="AT212" s="7">
        <v>0</v>
      </c>
      <c r="AU212" s="4" t="s">
        <v>431</v>
      </c>
      <c r="AV212" s="4" t="s">
        <v>305</v>
      </c>
      <c r="AW212" s="4" t="s">
        <v>292</v>
      </c>
    </row>
    <row r="213" spans="1:49" s="4" customFormat="1" x14ac:dyDescent="0.25">
      <c r="A213" s="4" t="s">
        <v>11207</v>
      </c>
      <c r="B213" s="4" t="s">
        <v>293</v>
      </c>
      <c r="C213" s="4" t="s">
        <v>429</v>
      </c>
      <c r="D213" s="4" t="s">
        <v>430</v>
      </c>
      <c r="F213" s="4" t="s">
        <v>11236</v>
      </c>
      <c r="G213" s="4" t="s">
        <v>11237</v>
      </c>
      <c r="I213" s="4" t="s">
        <v>296</v>
      </c>
      <c r="J213" s="4" t="s">
        <v>297</v>
      </c>
      <c r="K213" s="4" t="s">
        <v>319</v>
      </c>
      <c r="L213" s="4" t="s">
        <v>299</v>
      </c>
      <c r="M213" s="4" t="s">
        <v>300</v>
      </c>
      <c r="N213" s="4" t="s">
        <v>11238</v>
      </c>
      <c r="O213" s="5">
        <v>12.51</v>
      </c>
      <c r="P213" s="6">
        <v>1</v>
      </c>
      <c r="Q213" s="7">
        <v>9.25</v>
      </c>
      <c r="R213" s="7">
        <v>7</v>
      </c>
      <c r="S213" s="4" t="s">
        <v>301</v>
      </c>
      <c r="T213" s="4" t="s">
        <v>302</v>
      </c>
      <c r="U213" s="5">
        <v>14.936999999999999</v>
      </c>
      <c r="V213" s="6">
        <v>0.25</v>
      </c>
      <c r="W213" s="7">
        <v>3</v>
      </c>
      <c r="X213" s="5">
        <v>5.024</v>
      </c>
      <c r="Y213" s="4" t="s">
        <v>292</v>
      </c>
      <c r="Z213" s="6">
        <v>4</v>
      </c>
      <c r="AA213" s="6">
        <v>1</v>
      </c>
      <c r="AB213" s="5">
        <v>20.096</v>
      </c>
      <c r="AC213" s="6">
        <v>1</v>
      </c>
      <c r="AD213" s="6">
        <v>1</v>
      </c>
      <c r="AE213" s="5">
        <v>20.096</v>
      </c>
      <c r="AF213" s="5">
        <v>20.096</v>
      </c>
      <c r="AG213" s="7">
        <v>7</v>
      </c>
      <c r="AH213" s="7">
        <v>0</v>
      </c>
      <c r="AI213" s="7">
        <v>17</v>
      </c>
      <c r="AJ213" s="7">
        <v>0</v>
      </c>
      <c r="AK213" s="8">
        <v>44115.528599537036</v>
      </c>
      <c r="AL213" s="7">
        <v>0.37</v>
      </c>
      <c r="AM213" s="7">
        <v>100</v>
      </c>
      <c r="AN213" s="7">
        <v>0</v>
      </c>
      <c r="AO213" s="7">
        <v>0.26</v>
      </c>
      <c r="AP213" s="7">
        <v>0</v>
      </c>
      <c r="AQ213" s="7">
        <v>0.77</v>
      </c>
      <c r="AR213" s="7">
        <v>0.15</v>
      </c>
      <c r="AS213" s="4" t="s">
        <v>303</v>
      </c>
      <c r="AT213" s="7">
        <v>0</v>
      </c>
      <c r="AU213" s="4" t="s">
        <v>431</v>
      </c>
      <c r="AV213" s="4" t="s">
        <v>305</v>
      </c>
    </row>
    <row r="214" spans="1:49" s="4" customFormat="1" x14ac:dyDescent="0.25">
      <c r="A214" s="4" t="s">
        <v>11201</v>
      </c>
      <c r="B214" s="4" t="s">
        <v>293</v>
      </c>
      <c r="C214" s="4" t="s">
        <v>432</v>
      </c>
      <c r="D214" s="4" t="s">
        <v>433</v>
      </c>
      <c r="F214" s="4" t="s">
        <v>11462</v>
      </c>
      <c r="G214" s="4" t="s">
        <v>11463</v>
      </c>
      <c r="I214" s="4" t="s">
        <v>296</v>
      </c>
      <c r="J214" s="4" t="s">
        <v>297</v>
      </c>
      <c r="K214" s="4" t="s">
        <v>319</v>
      </c>
      <c r="L214" s="4" t="s">
        <v>299</v>
      </c>
      <c r="M214" s="4" t="s">
        <v>300</v>
      </c>
      <c r="N214" s="4" t="s">
        <v>11198</v>
      </c>
      <c r="O214" s="5">
        <v>31.204000000000001</v>
      </c>
      <c r="P214" s="6">
        <v>1</v>
      </c>
      <c r="Q214" s="7">
        <v>9.25</v>
      </c>
      <c r="R214" s="7">
        <v>12</v>
      </c>
      <c r="S214" s="4" t="s">
        <v>301</v>
      </c>
      <c r="T214" s="4" t="s">
        <v>302</v>
      </c>
      <c r="U214" s="5">
        <v>39.624000000000002</v>
      </c>
      <c r="V214" s="6">
        <v>0.45</v>
      </c>
      <c r="W214" s="7">
        <v>1.5</v>
      </c>
      <c r="X214" s="5">
        <v>14.331</v>
      </c>
      <c r="Y214" s="4" t="s">
        <v>292</v>
      </c>
      <c r="Z214" s="6">
        <v>1</v>
      </c>
      <c r="AA214" s="6">
        <v>1</v>
      </c>
      <c r="AB214" s="5">
        <v>14.331</v>
      </c>
      <c r="AC214" s="6">
        <v>1</v>
      </c>
      <c r="AD214" s="6">
        <v>1</v>
      </c>
      <c r="AE214" s="5">
        <v>14.331</v>
      </c>
      <c r="AF214" s="7">
        <v>10</v>
      </c>
      <c r="AG214" s="7">
        <v>12</v>
      </c>
      <c r="AH214" s="7">
        <v>9.25</v>
      </c>
      <c r="AI214" s="7">
        <v>0</v>
      </c>
      <c r="AJ214" s="7">
        <v>0</v>
      </c>
      <c r="AK214" s="8">
        <v>44115.509884259256</v>
      </c>
      <c r="AL214" s="7">
        <v>1.78</v>
      </c>
      <c r="AM214" s="7">
        <v>100</v>
      </c>
      <c r="AN214" s="7">
        <v>0</v>
      </c>
      <c r="AO214" s="7">
        <v>2.14</v>
      </c>
      <c r="AP214" s="7">
        <v>1.65</v>
      </c>
      <c r="AQ214" s="7">
        <v>0</v>
      </c>
      <c r="AR214" s="7">
        <v>0.28999999999999998</v>
      </c>
      <c r="AS214" s="4" t="s">
        <v>303</v>
      </c>
      <c r="AT214" s="7">
        <v>0</v>
      </c>
      <c r="AU214" s="4" t="s">
        <v>434</v>
      </c>
      <c r="AV214" s="4" t="s">
        <v>305</v>
      </c>
      <c r="AW214" s="4" t="s">
        <v>292</v>
      </c>
    </row>
    <row r="215" spans="1:49" s="4" customFormat="1" x14ac:dyDescent="0.25">
      <c r="A215" s="4" t="s">
        <v>11199</v>
      </c>
      <c r="B215" s="4" t="s">
        <v>293</v>
      </c>
      <c r="C215" s="4" t="s">
        <v>432</v>
      </c>
      <c r="D215" s="4" t="s">
        <v>433</v>
      </c>
      <c r="F215" s="4" t="s">
        <v>11462</v>
      </c>
      <c r="G215" s="4" t="s">
        <v>11463</v>
      </c>
      <c r="I215" s="4" t="s">
        <v>296</v>
      </c>
      <c r="J215" s="4" t="s">
        <v>297</v>
      </c>
      <c r="K215" s="4" t="s">
        <v>319</v>
      </c>
      <c r="L215" s="4" t="s">
        <v>299</v>
      </c>
      <c r="M215" s="4" t="s">
        <v>300</v>
      </c>
      <c r="N215" s="4" t="s">
        <v>11198</v>
      </c>
      <c r="O215" s="5">
        <v>31.202000000000002</v>
      </c>
      <c r="P215" s="6">
        <v>1</v>
      </c>
      <c r="Q215" s="7">
        <v>9.25</v>
      </c>
      <c r="R215" s="7">
        <v>7</v>
      </c>
      <c r="S215" s="4" t="s">
        <v>301</v>
      </c>
      <c r="T215" s="4" t="s">
        <v>302</v>
      </c>
      <c r="U215" s="5">
        <v>37.256</v>
      </c>
      <c r="V215" s="6">
        <v>0.45</v>
      </c>
      <c r="W215" s="7">
        <v>2</v>
      </c>
      <c r="X215" s="5">
        <v>14.414999999999999</v>
      </c>
      <c r="Y215" s="4" t="s">
        <v>292</v>
      </c>
      <c r="Z215" s="6">
        <v>1</v>
      </c>
      <c r="AA215" s="6">
        <v>1</v>
      </c>
      <c r="AB215" s="5">
        <v>14.414999999999999</v>
      </c>
      <c r="AC215" s="6">
        <v>1</v>
      </c>
      <c r="AD215" s="6">
        <v>1</v>
      </c>
      <c r="AE215" s="5">
        <v>14.414999999999999</v>
      </c>
      <c r="AF215" s="7">
        <v>10</v>
      </c>
      <c r="AG215" s="7">
        <v>7</v>
      </c>
      <c r="AH215" s="7">
        <v>9.25</v>
      </c>
      <c r="AI215" s="7">
        <v>0</v>
      </c>
      <c r="AJ215" s="7">
        <v>0</v>
      </c>
      <c r="AK215" s="8">
        <v>44115.511747685188</v>
      </c>
      <c r="AL215" s="7">
        <v>1.68</v>
      </c>
      <c r="AM215" s="7">
        <v>100</v>
      </c>
      <c r="AN215" s="7">
        <v>0</v>
      </c>
      <c r="AO215" s="7">
        <v>1.17</v>
      </c>
      <c r="AP215" s="7">
        <v>1.55</v>
      </c>
      <c r="AQ215" s="7">
        <v>0</v>
      </c>
      <c r="AR215" s="7">
        <v>0.37</v>
      </c>
      <c r="AS215" s="4" t="s">
        <v>303</v>
      </c>
      <c r="AT215" s="7">
        <v>0</v>
      </c>
      <c r="AU215" s="4" t="s">
        <v>434</v>
      </c>
      <c r="AV215" s="4" t="s">
        <v>305</v>
      </c>
      <c r="AW215" s="4" t="s">
        <v>292</v>
      </c>
    </row>
    <row r="216" spans="1:49" s="4" customFormat="1" x14ac:dyDescent="0.25">
      <c r="A216" s="4" t="s">
        <v>395</v>
      </c>
      <c r="B216" s="4" t="s">
        <v>293</v>
      </c>
      <c r="C216" s="4" t="s">
        <v>432</v>
      </c>
      <c r="D216" s="4" t="s">
        <v>433</v>
      </c>
      <c r="F216" s="4" t="s">
        <v>11462</v>
      </c>
      <c r="G216" s="4" t="s">
        <v>11463</v>
      </c>
      <c r="I216" s="4" t="s">
        <v>296</v>
      </c>
      <c r="J216" s="4" t="s">
        <v>297</v>
      </c>
      <c r="K216" s="4" t="s">
        <v>319</v>
      </c>
      <c r="L216" s="4" t="s">
        <v>299</v>
      </c>
      <c r="M216" s="4" t="s">
        <v>300</v>
      </c>
      <c r="N216" s="4" t="s">
        <v>447</v>
      </c>
      <c r="O216" s="5">
        <v>31.202000000000002</v>
      </c>
      <c r="P216" s="6">
        <v>1</v>
      </c>
      <c r="Q216" s="7">
        <v>9.25</v>
      </c>
      <c r="R216" s="7">
        <v>7</v>
      </c>
      <c r="S216" s="4" t="s">
        <v>301</v>
      </c>
      <c r="T216" s="4" t="s">
        <v>302</v>
      </c>
      <c r="U216" s="5">
        <v>37.256</v>
      </c>
      <c r="V216" s="6">
        <v>0.45</v>
      </c>
      <c r="W216" s="7">
        <v>4</v>
      </c>
      <c r="X216" s="5">
        <v>19.635000000000002</v>
      </c>
      <c r="Y216" s="4" t="s">
        <v>292</v>
      </c>
      <c r="Z216" s="6">
        <v>1</v>
      </c>
      <c r="AA216" s="6">
        <v>0.75299199999999999</v>
      </c>
      <c r="AB216" s="5">
        <v>19.635000000000002</v>
      </c>
      <c r="AC216" s="6">
        <v>1</v>
      </c>
      <c r="AD216" s="6">
        <v>0.75299199999999999</v>
      </c>
      <c r="AE216" s="5">
        <v>19.635000000000002</v>
      </c>
      <c r="AF216" s="7">
        <v>10</v>
      </c>
      <c r="AG216" s="7">
        <v>7</v>
      </c>
      <c r="AH216" s="7">
        <v>9.25</v>
      </c>
      <c r="AI216" s="7">
        <v>17</v>
      </c>
      <c r="AJ216" s="7">
        <v>0</v>
      </c>
      <c r="AK216" s="8">
        <v>44115.511759259258</v>
      </c>
      <c r="AL216" s="7">
        <v>1.68</v>
      </c>
      <c r="AM216" s="7">
        <v>100</v>
      </c>
      <c r="AN216" s="7">
        <v>0</v>
      </c>
      <c r="AO216" s="7">
        <v>1.17</v>
      </c>
      <c r="AP216" s="7">
        <v>1.55</v>
      </c>
      <c r="AQ216" s="7">
        <v>3.54</v>
      </c>
      <c r="AR216" s="7">
        <v>0.88</v>
      </c>
      <c r="AS216" s="4" t="s">
        <v>303</v>
      </c>
      <c r="AT216" s="7">
        <v>0</v>
      </c>
      <c r="AU216" s="4" t="s">
        <v>434</v>
      </c>
      <c r="AV216" s="4" t="s">
        <v>305</v>
      </c>
      <c r="AW216" s="4" t="s">
        <v>292</v>
      </c>
    </row>
    <row r="217" spans="1:49" s="4" customFormat="1" x14ac:dyDescent="0.25">
      <c r="A217" s="4" t="s">
        <v>11200</v>
      </c>
      <c r="B217" s="4" t="s">
        <v>293</v>
      </c>
      <c r="C217" s="4" t="s">
        <v>432</v>
      </c>
      <c r="D217" s="4" t="s">
        <v>433</v>
      </c>
      <c r="F217" s="4" t="s">
        <v>11462</v>
      </c>
      <c r="G217" s="4" t="s">
        <v>11463</v>
      </c>
      <c r="I217" s="4" t="s">
        <v>296</v>
      </c>
      <c r="J217" s="4" t="s">
        <v>297</v>
      </c>
      <c r="K217" s="4" t="s">
        <v>319</v>
      </c>
      <c r="L217" s="4" t="s">
        <v>299</v>
      </c>
      <c r="M217" s="4" t="s">
        <v>300</v>
      </c>
      <c r="N217" s="4" t="s">
        <v>11198</v>
      </c>
      <c r="O217" s="5">
        <v>31.202000000000002</v>
      </c>
      <c r="P217" s="6">
        <v>1</v>
      </c>
      <c r="Q217" s="7">
        <v>9.25</v>
      </c>
      <c r="R217" s="7">
        <v>18</v>
      </c>
      <c r="S217" s="4" t="s">
        <v>301</v>
      </c>
      <c r="T217" s="4" t="s">
        <v>302</v>
      </c>
      <c r="U217" s="5">
        <v>42.889000000000003</v>
      </c>
      <c r="V217" s="6">
        <v>0.45</v>
      </c>
      <c r="W217" s="7">
        <v>1.5</v>
      </c>
      <c r="X217" s="5">
        <v>14.36</v>
      </c>
      <c r="Y217" s="4" t="s">
        <v>292</v>
      </c>
      <c r="Z217" s="6">
        <v>1</v>
      </c>
      <c r="AA217" s="6">
        <v>1</v>
      </c>
      <c r="AB217" s="5">
        <v>14.36</v>
      </c>
      <c r="AC217" s="6">
        <v>1</v>
      </c>
      <c r="AD217" s="6">
        <v>1</v>
      </c>
      <c r="AE217" s="5">
        <v>14.36</v>
      </c>
      <c r="AF217" s="7">
        <v>10</v>
      </c>
      <c r="AG217" s="7">
        <v>18</v>
      </c>
      <c r="AH217" s="7">
        <v>9.25</v>
      </c>
      <c r="AI217" s="7">
        <v>0</v>
      </c>
      <c r="AJ217" s="7">
        <v>0</v>
      </c>
      <c r="AK217" s="8">
        <v>44115.505439814813</v>
      </c>
      <c r="AL217" s="7">
        <v>1.93</v>
      </c>
      <c r="AM217" s="7">
        <v>100</v>
      </c>
      <c r="AN217" s="7">
        <v>0</v>
      </c>
      <c r="AO217" s="7">
        <v>3.47</v>
      </c>
      <c r="AP217" s="7">
        <v>1.79</v>
      </c>
      <c r="AQ217" s="7">
        <v>0</v>
      </c>
      <c r="AR217" s="7">
        <v>0.32</v>
      </c>
      <c r="AS217" s="4" t="s">
        <v>303</v>
      </c>
      <c r="AT217" s="7">
        <v>0</v>
      </c>
      <c r="AU217" s="4" t="s">
        <v>434</v>
      </c>
      <c r="AV217" s="4" t="s">
        <v>305</v>
      </c>
      <c r="AW217" s="4" t="s">
        <v>292</v>
      </c>
    </row>
    <row r="218" spans="1:49" s="4" customFormat="1" x14ac:dyDescent="0.25">
      <c r="A218" s="4" t="s">
        <v>11207</v>
      </c>
      <c r="B218" s="4" t="s">
        <v>293</v>
      </c>
      <c r="C218" s="4" t="s">
        <v>432</v>
      </c>
      <c r="D218" s="4" t="s">
        <v>433</v>
      </c>
      <c r="F218" s="4" t="s">
        <v>11236</v>
      </c>
      <c r="G218" s="4" t="s">
        <v>11237</v>
      </c>
      <c r="I218" s="4" t="s">
        <v>296</v>
      </c>
      <c r="J218" s="4" t="s">
        <v>297</v>
      </c>
      <c r="K218" s="4" t="s">
        <v>319</v>
      </c>
      <c r="L218" s="4" t="s">
        <v>299</v>
      </c>
      <c r="M218" s="4" t="s">
        <v>300</v>
      </c>
      <c r="N218" s="4" t="s">
        <v>11238</v>
      </c>
      <c r="O218" s="5">
        <v>14.36</v>
      </c>
      <c r="P218" s="6">
        <v>1</v>
      </c>
      <c r="Q218" s="7">
        <v>9.25</v>
      </c>
      <c r="R218" s="7">
        <v>7</v>
      </c>
      <c r="S218" s="4" t="s">
        <v>301</v>
      </c>
      <c r="T218" s="4" t="s">
        <v>302</v>
      </c>
      <c r="U218" s="5">
        <v>17.146000000000001</v>
      </c>
      <c r="V218" s="6">
        <v>0.25</v>
      </c>
      <c r="W218" s="7">
        <v>3</v>
      </c>
      <c r="X218" s="5">
        <v>5.7770000000000001</v>
      </c>
      <c r="Y218" s="4" t="s">
        <v>292</v>
      </c>
      <c r="Z218" s="6">
        <v>4</v>
      </c>
      <c r="AA218" s="6">
        <v>1</v>
      </c>
      <c r="AB218" s="5">
        <v>23.108000000000001</v>
      </c>
      <c r="AC218" s="6">
        <v>1</v>
      </c>
      <c r="AD218" s="6">
        <v>1</v>
      </c>
      <c r="AE218" s="5">
        <v>23.108000000000001</v>
      </c>
      <c r="AF218" s="5">
        <v>23.108000000000001</v>
      </c>
      <c r="AG218" s="7">
        <v>7</v>
      </c>
      <c r="AH218" s="7">
        <v>0</v>
      </c>
      <c r="AI218" s="7">
        <v>17</v>
      </c>
      <c r="AJ218" s="7">
        <v>0</v>
      </c>
      <c r="AK218" s="8">
        <v>44115.528622685182</v>
      </c>
      <c r="AL218" s="7">
        <v>0.43</v>
      </c>
      <c r="AM218" s="7">
        <v>100</v>
      </c>
      <c r="AN218" s="7">
        <v>0</v>
      </c>
      <c r="AO218" s="7">
        <v>0.3</v>
      </c>
      <c r="AP218" s="7">
        <v>0</v>
      </c>
      <c r="AQ218" s="7">
        <v>0.89</v>
      </c>
      <c r="AR218" s="7">
        <v>0.17</v>
      </c>
      <c r="AS218" s="4" t="s">
        <v>303</v>
      </c>
      <c r="AT218" s="7">
        <v>0</v>
      </c>
      <c r="AU218" s="4" t="s">
        <v>434</v>
      </c>
      <c r="AV218" s="4" t="s">
        <v>305</v>
      </c>
    </row>
    <row r="219" spans="1:49" s="4" customFormat="1" x14ac:dyDescent="0.25">
      <c r="A219" s="4" t="s">
        <v>11201</v>
      </c>
      <c r="B219" s="4" t="s">
        <v>293</v>
      </c>
      <c r="C219" s="4" t="s">
        <v>435</v>
      </c>
      <c r="D219" s="4" t="s">
        <v>436</v>
      </c>
      <c r="F219" s="4" t="s">
        <v>11462</v>
      </c>
      <c r="G219" s="4" t="s">
        <v>11463</v>
      </c>
      <c r="I219" s="4" t="s">
        <v>296</v>
      </c>
      <c r="J219" s="4" t="s">
        <v>297</v>
      </c>
      <c r="K219" s="4" t="s">
        <v>319</v>
      </c>
      <c r="L219" s="4" t="s">
        <v>299</v>
      </c>
      <c r="M219" s="4" t="s">
        <v>300</v>
      </c>
      <c r="N219" s="4" t="s">
        <v>11198</v>
      </c>
      <c r="O219" s="5">
        <v>30.547999999999998</v>
      </c>
      <c r="P219" s="6">
        <v>1</v>
      </c>
      <c r="Q219" s="7">
        <v>9.25</v>
      </c>
      <c r="R219" s="7">
        <v>12</v>
      </c>
      <c r="S219" s="4" t="s">
        <v>301</v>
      </c>
      <c r="T219" s="4" t="s">
        <v>302</v>
      </c>
      <c r="U219" s="5">
        <v>38.790999999999997</v>
      </c>
      <c r="V219" s="6">
        <v>0.45</v>
      </c>
      <c r="W219" s="7">
        <v>1.5</v>
      </c>
      <c r="X219" s="5">
        <v>14.026</v>
      </c>
      <c r="Y219" s="4" t="s">
        <v>292</v>
      </c>
      <c r="Z219" s="6">
        <v>1</v>
      </c>
      <c r="AA219" s="6">
        <v>1</v>
      </c>
      <c r="AB219" s="5">
        <v>14.026</v>
      </c>
      <c r="AC219" s="6">
        <v>1</v>
      </c>
      <c r="AD219" s="6">
        <v>1</v>
      </c>
      <c r="AE219" s="5">
        <v>14.026</v>
      </c>
      <c r="AF219" s="7">
        <v>10</v>
      </c>
      <c r="AG219" s="7">
        <v>12</v>
      </c>
      <c r="AH219" s="7">
        <v>9.25</v>
      </c>
      <c r="AI219" s="7">
        <v>0</v>
      </c>
      <c r="AJ219" s="7">
        <v>0</v>
      </c>
      <c r="AK219" s="8">
        <v>44115.509884259256</v>
      </c>
      <c r="AL219" s="7">
        <v>1.75</v>
      </c>
      <c r="AM219" s="7">
        <v>100</v>
      </c>
      <c r="AN219" s="7">
        <v>0</v>
      </c>
      <c r="AO219" s="7">
        <v>2.1</v>
      </c>
      <c r="AP219" s="7">
        <v>1.62</v>
      </c>
      <c r="AQ219" s="7">
        <v>0</v>
      </c>
      <c r="AR219" s="7">
        <v>0.28999999999999998</v>
      </c>
      <c r="AS219" s="4" t="s">
        <v>303</v>
      </c>
      <c r="AT219" s="7">
        <v>0</v>
      </c>
      <c r="AU219" s="4" t="s">
        <v>437</v>
      </c>
      <c r="AV219" s="4" t="s">
        <v>305</v>
      </c>
      <c r="AW219" s="4" t="s">
        <v>292</v>
      </c>
    </row>
    <row r="220" spans="1:49" s="4" customFormat="1" x14ac:dyDescent="0.25">
      <c r="A220" s="4" t="s">
        <v>11199</v>
      </c>
      <c r="B220" s="4" t="s">
        <v>293</v>
      </c>
      <c r="C220" s="4" t="s">
        <v>435</v>
      </c>
      <c r="D220" s="4" t="s">
        <v>436</v>
      </c>
      <c r="F220" s="4" t="s">
        <v>11462</v>
      </c>
      <c r="G220" s="4" t="s">
        <v>11463</v>
      </c>
      <c r="I220" s="4" t="s">
        <v>296</v>
      </c>
      <c r="J220" s="4" t="s">
        <v>297</v>
      </c>
      <c r="K220" s="4" t="s">
        <v>319</v>
      </c>
      <c r="L220" s="4" t="s">
        <v>299</v>
      </c>
      <c r="M220" s="4" t="s">
        <v>300</v>
      </c>
      <c r="N220" s="4" t="s">
        <v>11198</v>
      </c>
      <c r="O220" s="5">
        <v>30.547999999999998</v>
      </c>
      <c r="P220" s="6">
        <v>1</v>
      </c>
      <c r="Q220" s="7">
        <v>9.25</v>
      </c>
      <c r="R220" s="7">
        <v>7</v>
      </c>
      <c r="S220" s="4" t="s">
        <v>301</v>
      </c>
      <c r="T220" s="4" t="s">
        <v>302</v>
      </c>
      <c r="U220" s="5">
        <v>36.475000000000001</v>
      </c>
      <c r="V220" s="6">
        <v>0.45</v>
      </c>
      <c r="W220" s="7">
        <v>2</v>
      </c>
      <c r="X220" s="5">
        <v>14.103999999999999</v>
      </c>
      <c r="Y220" s="4" t="s">
        <v>292</v>
      </c>
      <c r="Z220" s="6">
        <v>1</v>
      </c>
      <c r="AA220" s="6">
        <v>1</v>
      </c>
      <c r="AB220" s="5">
        <v>14.103999999999999</v>
      </c>
      <c r="AC220" s="6">
        <v>1</v>
      </c>
      <c r="AD220" s="6">
        <v>1</v>
      </c>
      <c r="AE220" s="5">
        <v>14.103999999999999</v>
      </c>
      <c r="AF220" s="7">
        <v>10</v>
      </c>
      <c r="AG220" s="7">
        <v>7</v>
      </c>
      <c r="AH220" s="7">
        <v>9.25</v>
      </c>
      <c r="AI220" s="7">
        <v>0</v>
      </c>
      <c r="AJ220" s="7">
        <v>0</v>
      </c>
      <c r="AK220" s="8">
        <v>44115.511759259258</v>
      </c>
      <c r="AL220" s="7">
        <v>1.64</v>
      </c>
      <c r="AM220" s="7">
        <v>100</v>
      </c>
      <c r="AN220" s="7">
        <v>0</v>
      </c>
      <c r="AO220" s="7">
        <v>1.1499999999999999</v>
      </c>
      <c r="AP220" s="7">
        <v>1.52</v>
      </c>
      <c r="AQ220" s="7">
        <v>0</v>
      </c>
      <c r="AR220" s="7">
        <v>0.36</v>
      </c>
      <c r="AS220" s="4" t="s">
        <v>303</v>
      </c>
      <c r="AT220" s="7">
        <v>0</v>
      </c>
      <c r="AU220" s="4" t="s">
        <v>437</v>
      </c>
      <c r="AV220" s="4" t="s">
        <v>305</v>
      </c>
      <c r="AW220" s="4" t="s">
        <v>292</v>
      </c>
    </row>
    <row r="221" spans="1:49" s="4" customFormat="1" x14ac:dyDescent="0.25">
      <c r="A221" s="4" t="s">
        <v>395</v>
      </c>
      <c r="B221" s="4" t="s">
        <v>293</v>
      </c>
      <c r="C221" s="4" t="s">
        <v>435</v>
      </c>
      <c r="D221" s="4" t="s">
        <v>436</v>
      </c>
      <c r="F221" s="4" t="s">
        <v>11462</v>
      </c>
      <c r="G221" s="4" t="s">
        <v>11463</v>
      </c>
      <c r="I221" s="4" t="s">
        <v>296</v>
      </c>
      <c r="J221" s="4" t="s">
        <v>297</v>
      </c>
      <c r="K221" s="4" t="s">
        <v>319</v>
      </c>
      <c r="L221" s="4" t="s">
        <v>299</v>
      </c>
      <c r="M221" s="4" t="s">
        <v>300</v>
      </c>
      <c r="N221" s="4" t="s">
        <v>447</v>
      </c>
      <c r="O221" s="5">
        <v>30.547999999999998</v>
      </c>
      <c r="P221" s="6">
        <v>1</v>
      </c>
      <c r="Q221" s="7">
        <v>9.25</v>
      </c>
      <c r="R221" s="7">
        <v>7</v>
      </c>
      <c r="S221" s="4" t="s">
        <v>301</v>
      </c>
      <c r="T221" s="4" t="s">
        <v>302</v>
      </c>
      <c r="U221" s="5">
        <v>36.475000000000001</v>
      </c>
      <c r="V221" s="6">
        <v>0.45</v>
      </c>
      <c r="W221" s="7">
        <v>4</v>
      </c>
      <c r="X221" s="5">
        <v>19.224</v>
      </c>
      <c r="Y221" s="4" t="s">
        <v>292</v>
      </c>
      <c r="Z221" s="6">
        <v>1</v>
      </c>
      <c r="AA221" s="6">
        <v>0.75239299999999998</v>
      </c>
      <c r="AB221" s="5">
        <v>19.224</v>
      </c>
      <c r="AC221" s="6">
        <v>1</v>
      </c>
      <c r="AD221" s="6">
        <v>0.75239299999999998</v>
      </c>
      <c r="AE221" s="5">
        <v>19.224</v>
      </c>
      <c r="AF221" s="7">
        <v>10</v>
      </c>
      <c r="AG221" s="7">
        <v>7</v>
      </c>
      <c r="AH221" s="7">
        <v>9.25</v>
      </c>
      <c r="AI221" s="7">
        <v>17</v>
      </c>
      <c r="AJ221" s="7">
        <v>0</v>
      </c>
      <c r="AK221" s="8">
        <v>44115.511770833335</v>
      </c>
      <c r="AL221" s="7">
        <v>1.64</v>
      </c>
      <c r="AM221" s="7">
        <v>100</v>
      </c>
      <c r="AN221" s="7">
        <v>0</v>
      </c>
      <c r="AO221" s="7">
        <v>1.1499999999999999</v>
      </c>
      <c r="AP221" s="7">
        <v>1.52</v>
      </c>
      <c r="AQ221" s="7">
        <v>3.47</v>
      </c>
      <c r="AR221" s="7">
        <v>0.86</v>
      </c>
      <c r="AS221" s="4" t="s">
        <v>303</v>
      </c>
      <c r="AT221" s="7">
        <v>0</v>
      </c>
      <c r="AU221" s="4" t="s">
        <v>437</v>
      </c>
      <c r="AV221" s="4" t="s">
        <v>305</v>
      </c>
      <c r="AW221" s="4" t="s">
        <v>292</v>
      </c>
    </row>
    <row r="222" spans="1:49" s="4" customFormat="1" x14ac:dyDescent="0.25">
      <c r="A222" s="4" t="s">
        <v>11200</v>
      </c>
      <c r="B222" s="4" t="s">
        <v>293</v>
      </c>
      <c r="C222" s="4" t="s">
        <v>435</v>
      </c>
      <c r="D222" s="4" t="s">
        <v>436</v>
      </c>
      <c r="F222" s="4" t="s">
        <v>11462</v>
      </c>
      <c r="G222" s="4" t="s">
        <v>11463</v>
      </c>
      <c r="I222" s="4" t="s">
        <v>296</v>
      </c>
      <c r="J222" s="4" t="s">
        <v>297</v>
      </c>
      <c r="K222" s="4" t="s">
        <v>319</v>
      </c>
      <c r="L222" s="4" t="s">
        <v>299</v>
      </c>
      <c r="M222" s="4" t="s">
        <v>300</v>
      </c>
      <c r="N222" s="4" t="s">
        <v>11198</v>
      </c>
      <c r="O222" s="5">
        <v>30.547999999999998</v>
      </c>
      <c r="P222" s="6">
        <v>1</v>
      </c>
      <c r="Q222" s="7">
        <v>9.25</v>
      </c>
      <c r="R222" s="7">
        <v>18</v>
      </c>
      <c r="S222" s="4" t="s">
        <v>301</v>
      </c>
      <c r="T222" s="4" t="s">
        <v>302</v>
      </c>
      <c r="U222" s="5">
        <v>41.99</v>
      </c>
      <c r="V222" s="6">
        <v>0.45</v>
      </c>
      <c r="W222" s="7">
        <v>1.5</v>
      </c>
      <c r="X222" s="5">
        <v>14.055999999999999</v>
      </c>
      <c r="Y222" s="4" t="s">
        <v>292</v>
      </c>
      <c r="Z222" s="6">
        <v>1</v>
      </c>
      <c r="AA222" s="6">
        <v>1</v>
      </c>
      <c r="AB222" s="5">
        <v>14.055999999999999</v>
      </c>
      <c r="AC222" s="6">
        <v>1</v>
      </c>
      <c r="AD222" s="6">
        <v>1</v>
      </c>
      <c r="AE222" s="5">
        <v>14.055999999999999</v>
      </c>
      <c r="AF222" s="7">
        <v>10</v>
      </c>
      <c r="AG222" s="7">
        <v>18</v>
      </c>
      <c r="AH222" s="7">
        <v>9.25</v>
      </c>
      <c r="AI222" s="7">
        <v>0</v>
      </c>
      <c r="AJ222" s="7">
        <v>0</v>
      </c>
      <c r="AK222" s="8">
        <v>44115.505439814813</v>
      </c>
      <c r="AL222" s="7">
        <v>1.89</v>
      </c>
      <c r="AM222" s="7">
        <v>100</v>
      </c>
      <c r="AN222" s="7">
        <v>0</v>
      </c>
      <c r="AO222" s="7">
        <v>3.4</v>
      </c>
      <c r="AP222" s="7">
        <v>1.75</v>
      </c>
      <c r="AQ222" s="7">
        <v>0</v>
      </c>
      <c r="AR222" s="7">
        <v>0.31</v>
      </c>
      <c r="AS222" s="4" t="s">
        <v>303</v>
      </c>
      <c r="AT222" s="7">
        <v>0</v>
      </c>
      <c r="AU222" s="4" t="s">
        <v>437</v>
      </c>
      <c r="AV222" s="4" t="s">
        <v>305</v>
      </c>
      <c r="AW222" s="4" t="s">
        <v>292</v>
      </c>
    </row>
    <row r="223" spans="1:49" s="4" customFormat="1" x14ac:dyDescent="0.25">
      <c r="A223" s="4" t="s">
        <v>11207</v>
      </c>
      <c r="B223" s="4" t="s">
        <v>293</v>
      </c>
      <c r="C223" s="4" t="s">
        <v>435</v>
      </c>
      <c r="D223" s="4" t="s">
        <v>436</v>
      </c>
      <c r="F223" s="4" t="s">
        <v>11236</v>
      </c>
      <c r="G223" s="4" t="s">
        <v>11237</v>
      </c>
      <c r="I223" s="4" t="s">
        <v>296</v>
      </c>
      <c r="J223" s="4" t="s">
        <v>297</v>
      </c>
      <c r="K223" s="4" t="s">
        <v>319</v>
      </c>
      <c r="L223" s="4" t="s">
        <v>299</v>
      </c>
      <c r="M223" s="4" t="s">
        <v>300</v>
      </c>
      <c r="N223" s="4" t="s">
        <v>11238</v>
      </c>
      <c r="O223" s="5">
        <v>14.06</v>
      </c>
      <c r="P223" s="6">
        <v>1</v>
      </c>
      <c r="Q223" s="7">
        <v>9.25</v>
      </c>
      <c r="R223" s="7">
        <v>7</v>
      </c>
      <c r="S223" s="4" t="s">
        <v>301</v>
      </c>
      <c r="T223" s="4" t="s">
        <v>302</v>
      </c>
      <c r="U223" s="5">
        <v>16.788</v>
      </c>
      <c r="V223" s="6">
        <v>0.25</v>
      </c>
      <c r="W223" s="7">
        <v>3</v>
      </c>
      <c r="X223" s="5">
        <v>5.6470000000000002</v>
      </c>
      <c r="Y223" s="4" t="s">
        <v>292</v>
      </c>
      <c r="Z223" s="6">
        <v>4</v>
      </c>
      <c r="AA223" s="6">
        <v>1</v>
      </c>
      <c r="AB223" s="5">
        <v>22.588000000000001</v>
      </c>
      <c r="AC223" s="6">
        <v>1</v>
      </c>
      <c r="AD223" s="6">
        <v>1</v>
      </c>
      <c r="AE223" s="5">
        <v>22.588000000000001</v>
      </c>
      <c r="AF223" s="5">
        <v>22.588000000000001</v>
      </c>
      <c r="AG223" s="7">
        <v>7</v>
      </c>
      <c r="AH223" s="7">
        <v>0</v>
      </c>
      <c r="AI223" s="7">
        <v>17</v>
      </c>
      <c r="AJ223" s="7">
        <v>0</v>
      </c>
      <c r="AK223" s="8">
        <v>44115.528622685182</v>
      </c>
      <c r="AL223" s="7">
        <v>0.42</v>
      </c>
      <c r="AM223" s="7">
        <v>100</v>
      </c>
      <c r="AN223" s="7">
        <v>0</v>
      </c>
      <c r="AO223" s="7">
        <v>0.28999999999999998</v>
      </c>
      <c r="AP223" s="7">
        <v>0</v>
      </c>
      <c r="AQ223" s="7">
        <v>0.87</v>
      </c>
      <c r="AR223" s="7">
        <v>0.16</v>
      </c>
      <c r="AS223" s="4" t="s">
        <v>303</v>
      </c>
      <c r="AT223" s="7">
        <v>0</v>
      </c>
      <c r="AU223" s="4" t="s">
        <v>437</v>
      </c>
      <c r="AV223" s="4" t="s">
        <v>305</v>
      </c>
    </row>
    <row r="224" spans="1:49" s="4" customFormat="1" x14ac:dyDescent="0.25">
      <c r="A224" s="4" t="s">
        <v>11201</v>
      </c>
      <c r="B224" s="4" t="s">
        <v>293</v>
      </c>
      <c r="C224" s="4" t="s">
        <v>438</v>
      </c>
      <c r="D224" s="4" t="s">
        <v>439</v>
      </c>
      <c r="F224" s="4" t="s">
        <v>11462</v>
      </c>
      <c r="G224" s="4" t="s">
        <v>11463</v>
      </c>
      <c r="I224" s="4" t="s">
        <v>296</v>
      </c>
      <c r="J224" s="4" t="s">
        <v>297</v>
      </c>
      <c r="K224" s="4" t="s">
        <v>319</v>
      </c>
      <c r="L224" s="4" t="s">
        <v>299</v>
      </c>
      <c r="M224" s="4" t="s">
        <v>300</v>
      </c>
      <c r="N224" s="4" t="s">
        <v>11198</v>
      </c>
      <c r="O224" s="5">
        <v>31.105</v>
      </c>
      <c r="P224" s="6">
        <v>1</v>
      </c>
      <c r="Q224" s="7">
        <v>9.25</v>
      </c>
      <c r="R224" s="7">
        <v>12</v>
      </c>
      <c r="S224" s="4" t="s">
        <v>301</v>
      </c>
      <c r="T224" s="4" t="s">
        <v>302</v>
      </c>
      <c r="U224" s="5">
        <v>39.497999999999998</v>
      </c>
      <c r="V224" s="6">
        <v>0.45</v>
      </c>
      <c r="W224" s="7">
        <v>1.5</v>
      </c>
      <c r="X224" s="5">
        <v>14.294</v>
      </c>
      <c r="Y224" s="4" t="s">
        <v>292</v>
      </c>
      <c r="Z224" s="6">
        <v>1</v>
      </c>
      <c r="AA224" s="6">
        <v>1</v>
      </c>
      <c r="AB224" s="5">
        <v>14.294</v>
      </c>
      <c r="AC224" s="6">
        <v>1</v>
      </c>
      <c r="AD224" s="6">
        <v>1</v>
      </c>
      <c r="AE224" s="5">
        <v>14.294</v>
      </c>
      <c r="AF224" s="7">
        <v>10</v>
      </c>
      <c r="AG224" s="7">
        <v>12</v>
      </c>
      <c r="AH224" s="7">
        <v>9.25</v>
      </c>
      <c r="AI224" s="7">
        <v>0</v>
      </c>
      <c r="AJ224" s="7">
        <v>0</v>
      </c>
      <c r="AK224" s="8">
        <v>44115.509884259256</v>
      </c>
      <c r="AL224" s="7">
        <v>1.78</v>
      </c>
      <c r="AM224" s="7">
        <v>100</v>
      </c>
      <c r="AN224" s="7">
        <v>0</v>
      </c>
      <c r="AO224" s="7">
        <v>2.13</v>
      </c>
      <c r="AP224" s="7">
        <v>1.64</v>
      </c>
      <c r="AQ224" s="7">
        <v>0</v>
      </c>
      <c r="AR224" s="7">
        <v>0.28999999999999998</v>
      </c>
      <c r="AS224" s="4" t="s">
        <v>303</v>
      </c>
      <c r="AT224" s="7">
        <v>0</v>
      </c>
      <c r="AU224" s="4" t="s">
        <v>440</v>
      </c>
      <c r="AV224" s="4" t="s">
        <v>305</v>
      </c>
      <c r="AW224" s="4" t="s">
        <v>292</v>
      </c>
    </row>
    <row r="225" spans="1:49" s="4" customFormat="1" x14ac:dyDescent="0.25">
      <c r="A225" s="4" t="s">
        <v>11199</v>
      </c>
      <c r="B225" s="4" t="s">
        <v>293</v>
      </c>
      <c r="C225" s="4" t="s">
        <v>438</v>
      </c>
      <c r="D225" s="4" t="s">
        <v>439</v>
      </c>
      <c r="F225" s="4" t="s">
        <v>11462</v>
      </c>
      <c r="G225" s="4" t="s">
        <v>11463</v>
      </c>
      <c r="I225" s="4" t="s">
        <v>296</v>
      </c>
      <c r="J225" s="4" t="s">
        <v>297</v>
      </c>
      <c r="K225" s="4" t="s">
        <v>319</v>
      </c>
      <c r="L225" s="4" t="s">
        <v>299</v>
      </c>
      <c r="M225" s="4" t="s">
        <v>300</v>
      </c>
      <c r="N225" s="4" t="s">
        <v>11198</v>
      </c>
      <c r="O225" s="5">
        <v>31.108000000000001</v>
      </c>
      <c r="P225" s="6">
        <v>1</v>
      </c>
      <c r="Q225" s="7">
        <v>9.25</v>
      </c>
      <c r="R225" s="7">
        <v>7</v>
      </c>
      <c r="S225" s="4" t="s">
        <v>301</v>
      </c>
      <c r="T225" s="4" t="s">
        <v>302</v>
      </c>
      <c r="U225" s="5">
        <v>37.143999999999998</v>
      </c>
      <c r="V225" s="6">
        <v>0.45</v>
      </c>
      <c r="W225" s="7">
        <v>2</v>
      </c>
      <c r="X225" s="5">
        <v>14.365</v>
      </c>
      <c r="Y225" s="4" t="s">
        <v>292</v>
      </c>
      <c r="Z225" s="6">
        <v>1</v>
      </c>
      <c r="AA225" s="6">
        <v>1</v>
      </c>
      <c r="AB225" s="5">
        <v>14.365</v>
      </c>
      <c r="AC225" s="6">
        <v>1</v>
      </c>
      <c r="AD225" s="6">
        <v>1</v>
      </c>
      <c r="AE225" s="5">
        <v>14.365</v>
      </c>
      <c r="AF225" s="7">
        <v>10</v>
      </c>
      <c r="AG225" s="7">
        <v>7</v>
      </c>
      <c r="AH225" s="7">
        <v>9.25</v>
      </c>
      <c r="AI225" s="7">
        <v>0</v>
      </c>
      <c r="AJ225" s="7">
        <v>0</v>
      </c>
      <c r="AK225" s="8">
        <v>44115.511770833335</v>
      </c>
      <c r="AL225" s="7">
        <v>1.67</v>
      </c>
      <c r="AM225" s="7">
        <v>100</v>
      </c>
      <c r="AN225" s="7">
        <v>0</v>
      </c>
      <c r="AO225" s="7">
        <v>1.17</v>
      </c>
      <c r="AP225" s="7">
        <v>1.55</v>
      </c>
      <c r="AQ225" s="7">
        <v>0</v>
      </c>
      <c r="AR225" s="7">
        <v>0.37</v>
      </c>
      <c r="AS225" s="4" t="s">
        <v>303</v>
      </c>
      <c r="AT225" s="7">
        <v>0</v>
      </c>
      <c r="AU225" s="4" t="s">
        <v>440</v>
      </c>
      <c r="AV225" s="4" t="s">
        <v>305</v>
      </c>
      <c r="AW225" s="4" t="s">
        <v>292</v>
      </c>
    </row>
    <row r="226" spans="1:49" s="4" customFormat="1" x14ac:dyDescent="0.25">
      <c r="A226" s="4" t="s">
        <v>395</v>
      </c>
      <c r="B226" s="4" t="s">
        <v>293</v>
      </c>
      <c r="C226" s="4" t="s">
        <v>438</v>
      </c>
      <c r="D226" s="4" t="s">
        <v>439</v>
      </c>
      <c r="F226" s="4" t="s">
        <v>11462</v>
      </c>
      <c r="G226" s="4" t="s">
        <v>11463</v>
      </c>
      <c r="I226" s="4" t="s">
        <v>296</v>
      </c>
      <c r="J226" s="4" t="s">
        <v>297</v>
      </c>
      <c r="K226" s="4" t="s">
        <v>319</v>
      </c>
      <c r="L226" s="4" t="s">
        <v>299</v>
      </c>
      <c r="M226" s="4" t="s">
        <v>300</v>
      </c>
      <c r="N226" s="4" t="s">
        <v>447</v>
      </c>
      <c r="O226" s="5">
        <v>31.108000000000001</v>
      </c>
      <c r="P226" s="6">
        <v>1</v>
      </c>
      <c r="Q226" s="7">
        <v>9.25</v>
      </c>
      <c r="R226" s="7">
        <v>7</v>
      </c>
      <c r="S226" s="4" t="s">
        <v>301</v>
      </c>
      <c r="T226" s="4" t="s">
        <v>302</v>
      </c>
      <c r="U226" s="5">
        <v>37.143999999999998</v>
      </c>
      <c r="V226" s="6">
        <v>0.45</v>
      </c>
      <c r="W226" s="7">
        <v>4</v>
      </c>
      <c r="X226" s="5">
        <v>19.574999999999999</v>
      </c>
      <c r="Y226" s="4" t="s">
        <v>292</v>
      </c>
      <c r="Z226" s="6">
        <v>1</v>
      </c>
      <c r="AA226" s="6">
        <v>0.75274600000000003</v>
      </c>
      <c r="AB226" s="5">
        <v>19.574999999999999</v>
      </c>
      <c r="AC226" s="6">
        <v>1</v>
      </c>
      <c r="AD226" s="6">
        <v>0.75274600000000003</v>
      </c>
      <c r="AE226" s="5">
        <v>19.574999999999999</v>
      </c>
      <c r="AF226" s="7">
        <v>10</v>
      </c>
      <c r="AG226" s="7">
        <v>7</v>
      </c>
      <c r="AH226" s="7">
        <v>9.25</v>
      </c>
      <c r="AI226" s="7">
        <v>17</v>
      </c>
      <c r="AJ226" s="7">
        <v>0</v>
      </c>
      <c r="AK226" s="8">
        <v>44115.511770833335</v>
      </c>
      <c r="AL226" s="7">
        <v>1.67</v>
      </c>
      <c r="AM226" s="7">
        <v>100</v>
      </c>
      <c r="AN226" s="7">
        <v>0</v>
      </c>
      <c r="AO226" s="7">
        <v>1.17</v>
      </c>
      <c r="AP226" s="7">
        <v>1.55</v>
      </c>
      <c r="AQ226" s="7">
        <v>3.53</v>
      </c>
      <c r="AR226" s="7">
        <v>0.88</v>
      </c>
      <c r="AS226" s="4" t="s">
        <v>303</v>
      </c>
      <c r="AT226" s="7">
        <v>0</v>
      </c>
      <c r="AU226" s="4" t="s">
        <v>440</v>
      </c>
      <c r="AV226" s="4" t="s">
        <v>305</v>
      </c>
      <c r="AW226" s="4" t="s">
        <v>292</v>
      </c>
    </row>
    <row r="227" spans="1:49" s="4" customFormat="1" x14ac:dyDescent="0.25">
      <c r="A227" s="4" t="s">
        <v>11200</v>
      </c>
      <c r="B227" s="4" t="s">
        <v>293</v>
      </c>
      <c r="C227" s="4" t="s">
        <v>438</v>
      </c>
      <c r="D227" s="4" t="s">
        <v>439</v>
      </c>
      <c r="F227" s="4" t="s">
        <v>11462</v>
      </c>
      <c r="G227" s="4" t="s">
        <v>11463</v>
      </c>
      <c r="I227" s="4" t="s">
        <v>296</v>
      </c>
      <c r="J227" s="4" t="s">
        <v>297</v>
      </c>
      <c r="K227" s="4" t="s">
        <v>319</v>
      </c>
      <c r="L227" s="4" t="s">
        <v>299</v>
      </c>
      <c r="M227" s="4" t="s">
        <v>300</v>
      </c>
      <c r="N227" s="4" t="s">
        <v>11198</v>
      </c>
      <c r="O227" s="5">
        <v>31.108000000000001</v>
      </c>
      <c r="P227" s="6">
        <v>1</v>
      </c>
      <c r="Q227" s="7">
        <v>9.25</v>
      </c>
      <c r="R227" s="7">
        <v>18</v>
      </c>
      <c r="S227" s="4" t="s">
        <v>301</v>
      </c>
      <c r="T227" s="4" t="s">
        <v>302</v>
      </c>
      <c r="U227" s="5">
        <v>42.76</v>
      </c>
      <c r="V227" s="6">
        <v>0.45</v>
      </c>
      <c r="W227" s="7">
        <v>1.5</v>
      </c>
      <c r="X227" s="5">
        <v>14.321999999999999</v>
      </c>
      <c r="Y227" s="4" t="s">
        <v>292</v>
      </c>
      <c r="Z227" s="6">
        <v>1</v>
      </c>
      <c r="AA227" s="6">
        <v>1</v>
      </c>
      <c r="AB227" s="5">
        <v>14.321999999999999</v>
      </c>
      <c r="AC227" s="6">
        <v>1</v>
      </c>
      <c r="AD227" s="6">
        <v>1</v>
      </c>
      <c r="AE227" s="5">
        <v>14.321999999999999</v>
      </c>
      <c r="AF227" s="7">
        <v>10</v>
      </c>
      <c r="AG227" s="7">
        <v>18</v>
      </c>
      <c r="AH227" s="7">
        <v>9.25</v>
      </c>
      <c r="AI227" s="7">
        <v>0</v>
      </c>
      <c r="AJ227" s="7">
        <v>0</v>
      </c>
      <c r="AK227" s="8">
        <v>44115.505439814813</v>
      </c>
      <c r="AL227" s="7">
        <v>1.92</v>
      </c>
      <c r="AM227" s="7">
        <v>100</v>
      </c>
      <c r="AN227" s="7">
        <v>0</v>
      </c>
      <c r="AO227" s="7">
        <v>3.46</v>
      </c>
      <c r="AP227" s="7">
        <v>1.78</v>
      </c>
      <c r="AQ227" s="7">
        <v>0</v>
      </c>
      <c r="AR227" s="7">
        <v>0.32</v>
      </c>
      <c r="AS227" s="4" t="s">
        <v>303</v>
      </c>
      <c r="AT227" s="7">
        <v>0</v>
      </c>
      <c r="AU227" s="4" t="s">
        <v>440</v>
      </c>
      <c r="AV227" s="4" t="s">
        <v>305</v>
      </c>
      <c r="AW227" s="4" t="s">
        <v>292</v>
      </c>
    </row>
    <row r="228" spans="1:49" s="4" customFormat="1" x14ac:dyDescent="0.25">
      <c r="A228" s="4" t="s">
        <v>11207</v>
      </c>
      <c r="B228" s="4" t="s">
        <v>293</v>
      </c>
      <c r="C228" s="4" t="s">
        <v>438</v>
      </c>
      <c r="D228" s="4" t="s">
        <v>439</v>
      </c>
      <c r="F228" s="4" t="s">
        <v>11236</v>
      </c>
      <c r="G228" s="4" t="s">
        <v>11237</v>
      </c>
      <c r="I228" s="4" t="s">
        <v>296</v>
      </c>
      <c r="J228" s="4" t="s">
        <v>297</v>
      </c>
      <c r="K228" s="4" t="s">
        <v>319</v>
      </c>
      <c r="L228" s="4" t="s">
        <v>299</v>
      </c>
      <c r="M228" s="4" t="s">
        <v>300</v>
      </c>
      <c r="N228" s="4" t="s">
        <v>11238</v>
      </c>
      <c r="O228" s="5">
        <v>14.32</v>
      </c>
      <c r="P228" s="6">
        <v>1</v>
      </c>
      <c r="Q228" s="7">
        <v>9.25</v>
      </c>
      <c r="R228" s="7">
        <v>7</v>
      </c>
      <c r="S228" s="4" t="s">
        <v>301</v>
      </c>
      <c r="T228" s="4" t="s">
        <v>302</v>
      </c>
      <c r="U228" s="5">
        <v>17.099</v>
      </c>
      <c r="V228" s="6">
        <v>0.25</v>
      </c>
      <c r="W228" s="7">
        <v>3</v>
      </c>
      <c r="X228" s="5">
        <v>5.7549999999999999</v>
      </c>
      <c r="Y228" s="4" t="s">
        <v>292</v>
      </c>
      <c r="Z228" s="6">
        <v>4</v>
      </c>
      <c r="AA228" s="6">
        <v>1</v>
      </c>
      <c r="AB228" s="5">
        <v>23.02</v>
      </c>
      <c r="AC228" s="6">
        <v>1</v>
      </c>
      <c r="AD228" s="6">
        <v>1</v>
      </c>
      <c r="AE228" s="5">
        <v>23.02</v>
      </c>
      <c r="AF228" s="5">
        <v>23.02</v>
      </c>
      <c r="AG228" s="7">
        <v>7</v>
      </c>
      <c r="AH228" s="7">
        <v>0</v>
      </c>
      <c r="AI228" s="7">
        <v>17</v>
      </c>
      <c r="AJ228" s="7">
        <v>0</v>
      </c>
      <c r="AK228" s="8">
        <v>44115.528634259259</v>
      </c>
      <c r="AL228" s="7">
        <v>0.43</v>
      </c>
      <c r="AM228" s="7">
        <v>100</v>
      </c>
      <c r="AN228" s="7">
        <v>0</v>
      </c>
      <c r="AO228" s="7">
        <v>0.3</v>
      </c>
      <c r="AP228" s="7">
        <v>0</v>
      </c>
      <c r="AQ228" s="7">
        <v>0.88</v>
      </c>
      <c r="AR228" s="7">
        <v>0.17</v>
      </c>
      <c r="AS228" s="4" t="s">
        <v>303</v>
      </c>
      <c r="AT228" s="7">
        <v>0</v>
      </c>
      <c r="AU228" s="4" t="s">
        <v>440</v>
      </c>
      <c r="AV228" s="4" t="s">
        <v>305</v>
      </c>
    </row>
    <row r="229" spans="1:49" s="4" customFormat="1" x14ac:dyDescent="0.25">
      <c r="A229" s="4" t="s">
        <v>11201</v>
      </c>
      <c r="B229" s="4" t="s">
        <v>293</v>
      </c>
      <c r="C229" s="4" t="s">
        <v>441</v>
      </c>
      <c r="D229" s="4" t="s">
        <v>442</v>
      </c>
      <c r="F229" s="4" t="s">
        <v>11462</v>
      </c>
      <c r="G229" s="4" t="s">
        <v>11463</v>
      </c>
      <c r="I229" s="4" t="s">
        <v>296</v>
      </c>
      <c r="J229" s="4" t="s">
        <v>297</v>
      </c>
      <c r="K229" s="4" t="s">
        <v>319</v>
      </c>
      <c r="L229" s="4" t="s">
        <v>299</v>
      </c>
      <c r="M229" s="4" t="s">
        <v>300</v>
      </c>
      <c r="N229" s="4" t="s">
        <v>11198</v>
      </c>
      <c r="O229" s="5">
        <v>33.9</v>
      </c>
      <c r="P229" s="6">
        <v>1</v>
      </c>
      <c r="Q229" s="7">
        <v>9.25</v>
      </c>
      <c r="R229" s="7">
        <v>12</v>
      </c>
      <c r="S229" s="4" t="s">
        <v>301</v>
      </c>
      <c r="T229" s="4" t="s">
        <v>302</v>
      </c>
      <c r="U229" s="5">
        <v>43.048000000000002</v>
      </c>
      <c r="V229" s="6">
        <v>0.45</v>
      </c>
      <c r="W229" s="7">
        <v>1.5</v>
      </c>
      <c r="X229" s="5">
        <v>15.571999999999999</v>
      </c>
      <c r="Y229" s="4" t="s">
        <v>292</v>
      </c>
      <c r="Z229" s="6">
        <v>1</v>
      </c>
      <c r="AA229" s="6">
        <v>1</v>
      </c>
      <c r="AB229" s="5">
        <v>15.571999999999999</v>
      </c>
      <c r="AC229" s="6">
        <v>1</v>
      </c>
      <c r="AD229" s="6">
        <v>1</v>
      </c>
      <c r="AE229" s="5">
        <v>15.571999999999999</v>
      </c>
      <c r="AF229" s="7">
        <v>10</v>
      </c>
      <c r="AG229" s="7">
        <v>12</v>
      </c>
      <c r="AH229" s="7">
        <v>9.25</v>
      </c>
      <c r="AI229" s="7">
        <v>0</v>
      </c>
      <c r="AJ229" s="7">
        <v>0</v>
      </c>
      <c r="AK229" s="8">
        <v>44115.50990740741</v>
      </c>
      <c r="AL229" s="7">
        <v>1.94</v>
      </c>
      <c r="AM229" s="7">
        <v>100</v>
      </c>
      <c r="AN229" s="7">
        <v>0</v>
      </c>
      <c r="AO229" s="7">
        <v>2.33</v>
      </c>
      <c r="AP229" s="7">
        <v>1.79</v>
      </c>
      <c r="AQ229" s="7">
        <v>0</v>
      </c>
      <c r="AR229" s="7">
        <v>0.32</v>
      </c>
      <c r="AS229" s="4" t="s">
        <v>303</v>
      </c>
      <c r="AT229" s="7">
        <v>0</v>
      </c>
      <c r="AU229" s="4" t="s">
        <v>443</v>
      </c>
      <c r="AV229" s="4" t="s">
        <v>305</v>
      </c>
      <c r="AW229" s="4" t="s">
        <v>292</v>
      </c>
    </row>
    <row r="230" spans="1:49" s="4" customFormat="1" x14ac:dyDescent="0.25">
      <c r="A230" s="4" t="s">
        <v>11199</v>
      </c>
      <c r="B230" s="4" t="s">
        <v>293</v>
      </c>
      <c r="C230" s="4" t="s">
        <v>441</v>
      </c>
      <c r="D230" s="4" t="s">
        <v>442</v>
      </c>
      <c r="F230" s="4" t="s">
        <v>11462</v>
      </c>
      <c r="G230" s="4" t="s">
        <v>11463</v>
      </c>
      <c r="I230" s="4" t="s">
        <v>296</v>
      </c>
      <c r="J230" s="4" t="s">
        <v>297</v>
      </c>
      <c r="K230" s="4" t="s">
        <v>319</v>
      </c>
      <c r="L230" s="4" t="s">
        <v>299</v>
      </c>
      <c r="M230" s="4" t="s">
        <v>300</v>
      </c>
      <c r="N230" s="4" t="s">
        <v>11198</v>
      </c>
      <c r="O230" s="5">
        <v>33.902000000000001</v>
      </c>
      <c r="P230" s="6">
        <v>1</v>
      </c>
      <c r="Q230" s="7">
        <v>9.25</v>
      </c>
      <c r="R230" s="7">
        <v>7</v>
      </c>
      <c r="S230" s="4" t="s">
        <v>301</v>
      </c>
      <c r="T230" s="4" t="s">
        <v>302</v>
      </c>
      <c r="U230" s="5">
        <v>40.479999999999997</v>
      </c>
      <c r="V230" s="6">
        <v>0.45</v>
      </c>
      <c r="W230" s="7">
        <v>2</v>
      </c>
      <c r="X230" s="5">
        <v>15.656000000000001</v>
      </c>
      <c r="Y230" s="4" t="s">
        <v>292</v>
      </c>
      <c r="Z230" s="6">
        <v>1</v>
      </c>
      <c r="AA230" s="6">
        <v>1</v>
      </c>
      <c r="AB230" s="5">
        <v>15.656000000000001</v>
      </c>
      <c r="AC230" s="6">
        <v>1</v>
      </c>
      <c r="AD230" s="6">
        <v>1</v>
      </c>
      <c r="AE230" s="5">
        <v>15.656000000000001</v>
      </c>
      <c r="AF230" s="7">
        <v>10</v>
      </c>
      <c r="AG230" s="7">
        <v>7</v>
      </c>
      <c r="AH230" s="7">
        <v>9.25</v>
      </c>
      <c r="AI230" s="7">
        <v>0</v>
      </c>
      <c r="AJ230" s="7">
        <v>0</v>
      </c>
      <c r="AK230" s="8">
        <v>44115.511793981481</v>
      </c>
      <c r="AL230" s="7">
        <v>1.82</v>
      </c>
      <c r="AM230" s="7">
        <v>100</v>
      </c>
      <c r="AN230" s="7">
        <v>0</v>
      </c>
      <c r="AO230" s="7">
        <v>1.28</v>
      </c>
      <c r="AP230" s="7">
        <v>1.68</v>
      </c>
      <c r="AQ230" s="7">
        <v>0</v>
      </c>
      <c r="AR230" s="7">
        <v>0.4</v>
      </c>
      <c r="AS230" s="4" t="s">
        <v>303</v>
      </c>
      <c r="AT230" s="7">
        <v>0</v>
      </c>
      <c r="AU230" s="4" t="s">
        <v>443</v>
      </c>
      <c r="AV230" s="4" t="s">
        <v>305</v>
      </c>
      <c r="AW230" s="4" t="s">
        <v>292</v>
      </c>
    </row>
    <row r="231" spans="1:49" s="4" customFormat="1" x14ac:dyDescent="0.25">
      <c r="A231" s="4" t="s">
        <v>395</v>
      </c>
      <c r="B231" s="4" t="s">
        <v>293</v>
      </c>
      <c r="C231" s="4" t="s">
        <v>441</v>
      </c>
      <c r="D231" s="4" t="s">
        <v>442</v>
      </c>
      <c r="F231" s="4" t="s">
        <v>11462</v>
      </c>
      <c r="G231" s="4" t="s">
        <v>11463</v>
      </c>
      <c r="I231" s="4" t="s">
        <v>296</v>
      </c>
      <c r="J231" s="4" t="s">
        <v>297</v>
      </c>
      <c r="K231" s="4" t="s">
        <v>319</v>
      </c>
      <c r="L231" s="4" t="s">
        <v>299</v>
      </c>
      <c r="M231" s="4" t="s">
        <v>300</v>
      </c>
      <c r="N231" s="4" t="s">
        <v>447</v>
      </c>
      <c r="O231" s="5">
        <v>33.902000000000001</v>
      </c>
      <c r="P231" s="6">
        <v>1</v>
      </c>
      <c r="Q231" s="7">
        <v>9.25</v>
      </c>
      <c r="R231" s="7">
        <v>7</v>
      </c>
      <c r="S231" s="4" t="s">
        <v>301</v>
      </c>
      <c r="T231" s="4" t="s">
        <v>302</v>
      </c>
      <c r="U231" s="5">
        <v>40.479999999999997</v>
      </c>
      <c r="V231" s="6">
        <v>0.45</v>
      </c>
      <c r="W231" s="7">
        <v>4</v>
      </c>
      <c r="X231" s="5">
        <v>21.346</v>
      </c>
      <c r="Y231" s="4" t="s">
        <v>292</v>
      </c>
      <c r="Z231" s="6">
        <v>1</v>
      </c>
      <c r="AA231" s="6">
        <v>0.75217800000000001</v>
      </c>
      <c r="AB231" s="5">
        <v>21.346</v>
      </c>
      <c r="AC231" s="6">
        <v>1</v>
      </c>
      <c r="AD231" s="6">
        <v>0.75217800000000001</v>
      </c>
      <c r="AE231" s="5">
        <v>21.346</v>
      </c>
      <c r="AF231" s="7">
        <v>10</v>
      </c>
      <c r="AG231" s="7">
        <v>7</v>
      </c>
      <c r="AH231" s="7">
        <v>9.25</v>
      </c>
      <c r="AI231" s="7">
        <v>17</v>
      </c>
      <c r="AJ231" s="7">
        <v>0</v>
      </c>
      <c r="AK231" s="8">
        <v>44115.511805555558</v>
      </c>
      <c r="AL231" s="7">
        <v>1.82</v>
      </c>
      <c r="AM231" s="7">
        <v>100</v>
      </c>
      <c r="AN231" s="7">
        <v>0</v>
      </c>
      <c r="AO231" s="7">
        <v>1.28</v>
      </c>
      <c r="AP231" s="7">
        <v>1.68</v>
      </c>
      <c r="AQ231" s="7">
        <v>3.85</v>
      </c>
      <c r="AR231" s="7">
        <v>0.96</v>
      </c>
      <c r="AS231" s="4" t="s">
        <v>303</v>
      </c>
      <c r="AT231" s="7">
        <v>0</v>
      </c>
      <c r="AU231" s="4" t="s">
        <v>443</v>
      </c>
      <c r="AV231" s="4" t="s">
        <v>305</v>
      </c>
      <c r="AW231" s="4" t="s">
        <v>292</v>
      </c>
    </row>
    <row r="232" spans="1:49" s="4" customFormat="1" x14ac:dyDescent="0.25">
      <c r="A232" s="4" t="s">
        <v>11200</v>
      </c>
      <c r="B232" s="4" t="s">
        <v>293</v>
      </c>
      <c r="C232" s="4" t="s">
        <v>441</v>
      </c>
      <c r="D232" s="4" t="s">
        <v>442</v>
      </c>
      <c r="F232" s="4" t="s">
        <v>11462</v>
      </c>
      <c r="G232" s="4" t="s">
        <v>11463</v>
      </c>
      <c r="I232" s="4" t="s">
        <v>296</v>
      </c>
      <c r="J232" s="4" t="s">
        <v>297</v>
      </c>
      <c r="K232" s="4" t="s">
        <v>319</v>
      </c>
      <c r="L232" s="4" t="s">
        <v>299</v>
      </c>
      <c r="M232" s="4" t="s">
        <v>300</v>
      </c>
      <c r="N232" s="4" t="s">
        <v>11198</v>
      </c>
      <c r="O232" s="5">
        <v>33.902000000000001</v>
      </c>
      <c r="P232" s="6">
        <v>1</v>
      </c>
      <c r="Q232" s="7">
        <v>9.25</v>
      </c>
      <c r="R232" s="7">
        <v>18</v>
      </c>
      <c r="S232" s="4" t="s">
        <v>301</v>
      </c>
      <c r="T232" s="4" t="s">
        <v>302</v>
      </c>
      <c r="U232" s="5">
        <v>46.600999999999999</v>
      </c>
      <c r="V232" s="6">
        <v>0.45</v>
      </c>
      <c r="W232" s="7">
        <v>1.5</v>
      </c>
      <c r="X232" s="5">
        <v>15.6</v>
      </c>
      <c r="Y232" s="4" t="s">
        <v>292</v>
      </c>
      <c r="Z232" s="6">
        <v>1</v>
      </c>
      <c r="AA232" s="6">
        <v>1</v>
      </c>
      <c r="AB232" s="5">
        <v>15.6</v>
      </c>
      <c r="AC232" s="6">
        <v>1</v>
      </c>
      <c r="AD232" s="6">
        <v>1</v>
      </c>
      <c r="AE232" s="5">
        <v>15.6</v>
      </c>
      <c r="AF232" s="7">
        <v>10</v>
      </c>
      <c r="AG232" s="7">
        <v>18</v>
      </c>
      <c r="AH232" s="7">
        <v>9.25</v>
      </c>
      <c r="AI232" s="7">
        <v>0</v>
      </c>
      <c r="AJ232" s="7">
        <v>0</v>
      </c>
      <c r="AK232" s="8">
        <v>44115.505462962959</v>
      </c>
      <c r="AL232" s="7">
        <v>2.1</v>
      </c>
      <c r="AM232" s="7">
        <v>100</v>
      </c>
      <c r="AN232" s="7">
        <v>0</v>
      </c>
      <c r="AO232" s="7">
        <v>3.78</v>
      </c>
      <c r="AP232" s="7">
        <v>1.94</v>
      </c>
      <c r="AQ232" s="7">
        <v>0</v>
      </c>
      <c r="AR232" s="7">
        <v>0.35</v>
      </c>
      <c r="AS232" s="4" t="s">
        <v>303</v>
      </c>
      <c r="AT232" s="7">
        <v>0</v>
      </c>
      <c r="AU232" s="4" t="s">
        <v>443</v>
      </c>
      <c r="AV232" s="4" t="s">
        <v>305</v>
      </c>
      <c r="AW232" s="4" t="s">
        <v>292</v>
      </c>
    </row>
    <row r="233" spans="1:49" s="4" customFormat="1" x14ac:dyDescent="0.25">
      <c r="A233" s="4" t="s">
        <v>11207</v>
      </c>
      <c r="B233" s="4" t="s">
        <v>293</v>
      </c>
      <c r="C233" s="4" t="s">
        <v>441</v>
      </c>
      <c r="D233" s="4" t="s">
        <v>442</v>
      </c>
      <c r="F233" s="4" t="s">
        <v>11236</v>
      </c>
      <c r="G233" s="4" t="s">
        <v>11237</v>
      </c>
      <c r="I233" s="4" t="s">
        <v>296</v>
      </c>
      <c r="J233" s="4" t="s">
        <v>297</v>
      </c>
      <c r="K233" s="4" t="s">
        <v>319</v>
      </c>
      <c r="L233" s="4" t="s">
        <v>299</v>
      </c>
      <c r="M233" s="4" t="s">
        <v>300</v>
      </c>
      <c r="N233" s="4" t="s">
        <v>11238</v>
      </c>
      <c r="O233" s="5">
        <v>15.6</v>
      </c>
      <c r="P233" s="6">
        <v>1</v>
      </c>
      <c r="Q233" s="7">
        <v>9.25</v>
      </c>
      <c r="R233" s="7">
        <v>7</v>
      </c>
      <c r="S233" s="4" t="s">
        <v>301</v>
      </c>
      <c r="T233" s="4" t="s">
        <v>302</v>
      </c>
      <c r="U233" s="5">
        <v>18.626999999999999</v>
      </c>
      <c r="V233" s="6">
        <v>0.25</v>
      </c>
      <c r="W233" s="7">
        <v>3</v>
      </c>
      <c r="X233" s="5">
        <v>6.2670000000000003</v>
      </c>
      <c r="Y233" s="4" t="s">
        <v>292</v>
      </c>
      <c r="Z233" s="6">
        <v>4</v>
      </c>
      <c r="AA233" s="6">
        <v>1</v>
      </c>
      <c r="AB233" s="5">
        <v>25.068000000000001</v>
      </c>
      <c r="AC233" s="6">
        <v>1</v>
      </c>
      <c r="AD233" s="6">
        <v>1</v>
      </c>
      <c r="AE233" s="5">
        <v>25.068000000000001</v>
      </c>
      <c r="AF233" s="5">
        <v>25.068000000000001</v>
      </c>
      <c r="AG233" s="7">
        <v>7</v>
      </c>
      <c r="AH233" s="7">
        <v>0</v>
      </c>
      <c r="AI233" s="7">
        <v>17</v>
      </c>
      <c r="AJ233" s="7">
        <v>0</v>
      </c>
      <c r="AK233" s="8">
        <v>44115.528703703705</v>
      </c>
      <c r="AL233" s="7">
        <v>0.47</v>
      </c>
      <c r="AM233" s="7">
        <v>100</v>
      </c>
      <c r="AN233" s="7">
        <v>0</v>
      </c>
      <c r="AO233" s="7">
        <v>0.33</v>
      </c>
      <c r="AP233" s="7">
        <v>0</v>
      </c>
      <c r="AQ233" s="7">
        <v>0.96</v>
      </c>
      <c r="AR233" s="7">
        <v>0.18</v>
      </c>
      <c r="AS233" s="4" t="s">
        <v>303</v>
      </c>
      <c r="AT233" s="7">
        <v>0</v>
      </c>
      <c r="AU233" s="4" t="s">
        <v>443</v>
      </c>
      <c r="AV233" s="4" t="s">
        <v>305</v>
      </c>
    </row>
    <row r="234" spans="1:49" s="4" customFormat="1" x14ac:dyDescent="0.25">
      <c r="A234" s="4" t="s">
        <v>11201</v>
      </c>
      <c r="B234" s="4" t="s">
        <v>293</v>
      </c>
      <c r="C234" s="4" t="s">
        <v>444</v>
      </c>
      <c r="D234" s="4" t="s">
        <v>445</v>
      </c>
      <c r="F234" s="4" t="s">
        <v>11236</v>
      </c>
      <c r="G234" s="4" t="s">
        <v>11237</v>
      </c>
      <c r="I234" s="4" t="s">
        <v>292</v>
      </c>
      <c r="J234" s="4" t="s">
        <v>297</v>
      </c>
      <c r="K234" s="4" t="s">
        <v>319</v>
      </c>
      <c r="L234" s="4" t="s">
        <v>299</v>
      </c>
      <c r="M234" s="4" t="s">
        <v>300</v>
      </c>
      <c r="N234" s="4" t="s">
        <v>11198</v>
      </c>
      <c r="O234" s="5">
        <v>16.166</v>
      </c>
      <c r="P234" s="6">
        <v>1</v>
      </c>
      <c r="Q234" s="7">
        <v>9.25</v>
      </c>
      <c r="R234" s="7">
        <v>12</v>
      </c>
      <c r="S234" s="4" t="s">
        <v>301</v>
      </c>
      <c r="T234" s="4" t="s">
        <v>302</v>
      </c>
      <c r="U234" s="5">
        <v>20.527999999999999</v>
      </c>
      <c r="V234" s="6">
        <v>1</v>
      </c>
      <c r="W234" s="7">
        <v>4</v>
      </c>
      <c r="X234" s="5">
        <v>17.068000000000001</v>
      </c>
      <c r="Y234" s="4" t="s">
        <v>292</v>
      </c>
      <c r="Z234" s="6">
        <v>1</v>
      </c>
      <c r="AA234" s="6">
        <v>1</v>
      </c>
      <c r="AB234" s="5">
        <v>17.068000000000001</v>
      </c>
      <c r="AC234" s="6">
        <v>1</v>
      </c>
      <c r="AD234" s="6">
        <v>1</v>
      </c>
      <c r="AE234" s="5">
        <v>17.068000000000001</v>
      </c>
      <c r="AF234" s="5">
        <v>17.068000000000001</v>
      </c>
      <c r="AG234" s="7">
        <v>12</v>
      </c>
      <c r="AH234" s="7">
        <v>9.25</v>
      </c>
      <c r="AI234" s="7">
        <v>0</v>
      </c>
      <c r="AJ234" s="7">
        <v>0</v>
      </c>
      <c r="AK234" s="8">
        <v>44115.005104166667</v>
      </c>
      <c r="AL234" s="7">
        <v>2.0499999999999998</v>
      </c>
      <c r="AM234" s="7">
        <v>100</v>
      </c>
      <c r="AN234" s="7">
        <v>0</v>
      </c>
      <c r="AO234" s="7">
        <v>2.46</v>
      </c>
      <c r="AP234" s="7">
        <v>1.9</v>
      </c>
      <c r="AQ234" s="7">
        <v>0</v>
      </c>
      <c r="AR234" s="7">
        <v>0.9</v>
      </c>
      <c r="AS234" s="4" t="s">
        <v>303</v>
      </c>
      <c r="AT234" s="7">
        <v>0</v>
      </c>
      <c r="AU234" s="4" t="s">
        <v>446</v>
      </c>
      <c r="AV234" s="4" t="s">
        <v>305</v>
      </c>
    </row>
    <row r="235" spans="1:49" s="4" customFormat="1" x14ac:dyDescent="0.25">
      <c r="A235" s="4" t="s">
        <v>11201</v>
      </c>
      <c r="B235" s="4" t="s">
        <v>293</v>
      </c>
      <c r="C235" s="4" t="s">
        <v>444</v>
      </c>
      <c r="D235" s="4" t="s">
        <v>445</v>
      </c>
      <c r="F235" s="4" t="s">
        <v>11462</v>
      </c>
      <c r="G235" s="4" t="s">
        <v>11463</v>
      </c>
      <c r="I235" s="4" t="s">
        <v>296</v>
      </c>
      <c r="J235" s="4" t="s">
        <v>297</v>
      </c>
      <c r="K235" s="4" t="s">
        <v>319</v>
      </c>
      <c r="L235" s="4" t="s">
        <v>299</v>
      </c>
      <c r="M235" s="4" t="s">
        <v>300</v>
      </c>
      <c r="N235" s="4" t="s">
        <v>11198</v>
      </c>
      <c r="O235" s="5">
        <v>35.122999999999998</v>
      </c>
      <c r="P235" s="6">
        <v>1</v>
      </c>
      <c r="Q235" s="7">
        <v>9.25</v>
      </c>
      <c r="R235" s="7">
        <v>12</v>
      </c>
      <c r="S235" s="4" t="s">
        <v>301</v>
      </c>
      <c r="T235" s="4" t="s">
        <v>302</v>
      </c>
      <c r="U235" s="5">
        <v>44.600999999999999</v>
      </c>
      <c r="V235" s="6">
        <v>0.45</v>
      </c>
      <c r="W235" s="7">
        <v>1.5</v>
      </c>
      <c r="X235" s="5">
        <v>16.13</v>
      </c>
      <c r="Y235" s="4" t="s">
        <v>292</v>
      </c>
      <c r="Z235" s="6">
        <v>1</v>
      </c>
      <c r="AA235" s="6">
        <v>1</v>
      </c>
      <c r="AB235" s="5">
        <v>16.13</v>
      </c>
      <c r="AC235" s="6">
        <v>1</v>
      </c>
      <c r="AD235" s="6">
        <v>1</v>
      </c>
      <c r="AE235" s="5">
        <v>16.13</v>
      </c>
      <c r="AF235" s="7">
        <v>10</v>
      </c>
      <c r="AG235" s="7">
        <v>12</v>
      </c>
      <c r="AH235" s="7">
        <v>9.25</v>
      </c>
      <c r="AI235" s="7">
        <v>0</v>
      </c>
      <c r="AJ235" s="7">
        <v>0</v>
      </c>
      <c r="AK235" s="8">
        <v>44115.50990740741</v>
      </c>
      <c r="AL235" s="7">
        <v>2.0099999999999998</v>
      </c>
      <c r="AM235" s="7">
        <v>100</v>
      </c>
      <c r="AN235" s="7">
        <v>0</v>
      </c>
      <c r="AO235" s="7">
        <v>2.41</v>
      </c>
      <c r="AP235" s="7">
        <v>1.86</v>
      </c>
      <c r="AQ235" s="7">
        <v>0</v>
      </c>
      <c r="AR235" s="7">
        <v>0.33</v>
      </c>
      <c r="AS235" s="4" t="s">
        <v>303</v>
      </c>
      <c r="AT235" s="7">
        <v>0</v>
      </c>
      <c r="AU235" s="4" t="s">
        <v>446</v>
      </c>
      <c r="AV235" s="4" t="s">
        <v>305</v>
      </c>
      <c r="AW235" s="4" t="s">
        <v>292</v>
      </c>
    </row>
    <row r="236" spans="1:49" s="4" customFormat="1" x14ac:dyDescent="0.25">
      <c r="A236" s="4" t="s">
        <v>11199</v>
      </c>
      <c r="B236" s="4" t="s">
        <v>293</v>
      </c>
      <c r="C236" s="4" t="s">
        <v>444</v>
      </c>
      <c r="D236" s="4" t="s">
        <v>445</v>
      </c>
      <c r="F236" s="4" t="s">
        <v>11462</v>
      </c>
      <c r="G236" s="4" t="s">
        <v>11463</v>
      </c>
      <c r="I236" s="4" t="s">
        <v>296</v>
      </c>
      <c r="J236" s="4" t="s">
        <v>297</v>
      </c>
      <c r="K236" s="4" t="s">
        <v>319</v>
      </c>
      <c r="L236" s="4" t="s">
        <v>299</v>
      </c>
      <c r="M236" s="4" t="s">
        <v>300</v>
      </c>
      <c r="N236" s="4" t="s">
        <v>11198</v>
      </c>
      <c r="O236" s="5">
        <v>35.124000000000002</v>
      </c>
      <c r="P236" s="6">
        <v>1</v>
      </c>
      <c r="Q236" s="7">
        <v>9.25</v>
      </c>
      <c r="R236" s="7">
        <v>7</v>
      </c>
      <c r="S236" s="4" t="s">
        <v>301</v>
      </c>
      <c r="T236" s="4" t="s">
        <v>302</v>
      </c>
      <c r="U236" s="5">
        <v>41.939</v>
      </c>
      <c r="V236" s="6">
        <v>0.45</v>
      </c>
      <c r="W236" s="7">
        <v>2</v>
      </c>
      <c r="X236" s="5">
        <v>16.233000000000001</v>
      </c>
      <c r="Y236" s="4" t="s">
        <v>292</v>
      </c>
      <c r="Z236" s="6">
        <v>1</v>
      </c>
      <c r="AA236" s="6">
        <v>1</v>
      </c>
      <c r="AB236" s="5">
        <v>16.233000000000001</v>
      </c>
      <c r="AC236" s="6">
        <v>1</v>
      </c>
      <c r="AD236" s="6">
        <v>1</v>
      </c>
      <c r="AE236" s="5">
        <v>16.233000000000001</v>
      </c>
      <c r="AF236" s="7">
        <v>10</v>
      </c>
      <c r="AG236" s="7">
        <v>7</v>
      </c>
      <c r="AH236" s="7">
        <v>9.25</v>
      </c>
      <c r="AI236" s="7">
        <v>0</v>
      </c>
      <c r="AJ236" s="7">
        <v>0</v>
      </c>
      <c r="AK236" s="8">
        <v>44115.511805555558</v>
      </c>
      <c r="AL236" s="7">
        <v>1.89</v>
      </c>
      <c r="AM236" s="7">
        <v>100</v>
      </c>
      <c r="AN236" s="7">
        <v>0</v>
      </c>
      <c r="AO236" s="7">
        <v>1.32</v>
      </c>
      <c r="AP236" s="7">
        <v>1.74</v>
      </c>
      <c r="AQ236" s="7">
        <v>0</v>
      </c>
      <c r="AR236" s="7">
        <v>0.42</v>
      </c>
      <c r="AS236" s="4" t="s">
        <v>303</v>
      </c>
      <c r="AT236" s="7">
        <v>0</v>
      </c>
      <c r="AU236" s="4" t="s">
        <v>446</v>
      </c>
      <c r="AV236" s="4" t="s">
        <v>305</v>
      </c>
      <c r="AW236" s="4" t="s">
        <v>292</v>
      </c>
    </row>
    <row r="237" spans="1:49" s="4" customFormat="1" x14ac:dyDescent="0.25">
      <c r="A237" s="4" t="s">
        <v>395</v>
      </c>
      <c r="B237" s="4" t="s">
        <v>293</v>
      </c>
      <c r="C237" s="4" t="s">
        <v>444</v>
      </c>
      <c r="D237" s="4" t="s">
        <v>445</v>
      </c>
      <c r="F237" s="4" t="s">
        <v>11245</v>
      </c>
      <c r="G237" s="4" t="s">
        <v>11246</v>
      </c>
      <c r="I237" s="4" t="s">
        <v>292</v>
      </c>
      <c r="J237" s="4" t="s">
        <v>297</v>
      </c>
      <c r="K237" s="4" t="s">
        <v>319</v>
      </c>
      <c r="L237" s="4" t="s">
        <v>299</v>
      </c>
      <c r="M237" s="4" t="s">
        <v>300</v>
      </c>
      <c r="N237" s="4" t="s">
        <v>447</v>
      </c>
      <c r="O237" s="5">
        <v>16.13</v>
      </c>
      <c r="P237" s="6">
        <v>1</v>
      </c>
      <c r="Q237" s="7">
        <v>9.25</v>
      </c>
      <c r="R237" s="7">
        <v>7</v>
      </c>
      <c r="S237" s="4" t="s">
        <v>301</v>
      </c>
      <c r="T237" s="4" t="s">
        <v>302</v>
      </c>
      <c r="U237" s="5">
        <v>19.260000000000002</v>
      </c>
      <c r="V237" s="6">
        <v>1</v>
      </c>
      <c r="W237" s="7">
        <v>4</v>
      </c>
      <c r="X237" s="5">
        <v>22.56</v>
      </c>
      <c r="Y237" s="4" t="s">
        <v>292</v>
      </c>
      <c r="Z237" s="6">
        <v>1</v>
      </c>
      <c r="AA237" s="6">
        <v>0.75266</v>
      </c>
      <c r="AB237" s="5">
        <v>22.56</v>
      </c>
      <c r="AC237" s="6">
        <v>1</v>
      </c>
      <c r="AD237" s="6">
        <v>0.75266</v>
      </c>
      <c r="AE237" s="5">
        <v>22.56</v>
      </c>
      <c r="AF237" s="5">
        <v>22.56</v>
      </c>
      <c r="AG237" s="7">
        <v>7</v>
      </c>
      <c r="AH237" s="7">
        <v>9.25</v>
      </c>
      <c r="AI237" s="7">
        <v>17</v>
      </c>
      <c r="AJ237" s="7">
        <v>0</v>
      </c>
      <c r="AK237" s="8">
        <v>44115.006863425922</v>
      </c>
      <c r="AL237" s="7">
        <v>1.93</v>
      </c>
      <c r="AM237" s="7">
        <v>100</v>
      </c>
      <c r="AN237" s="7">
        <v>0</v>
      </c>
      <c r="AO237" s="7">
        <v>1.35</v>
      </c>
      <c r="AP237" s="7">
        <v>1.78</v>
      </c>
      <c r="AQ237" s="7">
        <v>4.07</v>
      </c>
      <c r="AR237" s="7">
        <v>1.01</v>
      </c>
      <c r="AS237" s="4" t="s">
        <v>303</v>
      </c>
      <c r="AT237" s="7">
        <v>0</v>
      </c>
      <c r="AU237" s="4" t="s">
        <v>446</v>
      </c>
      <c r="AV237" s="4" t="s">
        <v>305</v>
      </c>
    </row>
    <row r="238" spans="1:49" s="4" customFormat="1" x14ac:dyDescent="0.25">
      <c r="A238" s="4" t="s">
        <v>395</v>
      </c>
      <c r="B238" s="4" t="s">
        <v>293</v>
      </c>
      <c r="C238" s="4" t="s">
        <v>444</v>
      </c>
      <c r="D238" s="4" t="s">
        <v>445</v>
      </c>
      <c r="F238" s="4" t="s">
        <v>11462</v>
      </c>
      <c r="G238" s="4" t="s">
        <v>11463</v>
      </c>
      <c r="I238" s="4" t="s">
        <v>296</v>
      </c>
      <c r="J238" s="4" t="s">
        <v>297</v>
      </c>
      <c r="K238" s="4" t="s">
        <v>319</v>
      </c>
      <c r="L238" s="4" t="s">
        <v>299</v>
      </c>
      <c r="M238" s="4" t="s">
        <v>300</v>
      </c>
      <c r="N238" s="4" t="s">
        <v>447</v>
      </c>
      <c r="O238" s="5">
        <v>35.124000000000002</v>
      </c>
      <c r="P238" s="6">
        <v>1</v>
      </c>
      <c r="Q238" s="7">
        <v>9.25</v>
      </c>
      <c r="R238" s="7">
        <v>7</v>
      </c>
      <c r="S238" s="4" t="s">
        <v>301</v>
      </c>
      <c r="T238" s="4" t="s">
        <v>302</v>
      </c>
      <c r="U238" s="5">
        <v>41.939</v>
      </c>
      <c r="V238" s="6">
        <v>0.45</v>
      </c>
      <c r="W238" s="7">
        <v>4</v>
      </c>
      <c r="X238" s="5">
        <v>22.113</v>
      </c>
      <c r="Y238" s="4" t="s">
        <v>292</v>
      </c>
      <c r="Z238" s="6">
        <v>1</v>
      </c>
      <c r="AA238" s="6">
        <v>0.75263400000000003</v>
      </c>
      <c r="AB238" s="5">
        <v>22.113</v>
      </c>
      <c r="AC238" s="6">
        <v>1</v>
      </c>
      <c r="AD238" s="6">
        <v>0.75263400000000003</v>
      </c>
      <c r="AE238" s="5">
        <v>22.113</v>
      </c>
      <c r="AF238" s="7">
        <v>10</v>
      </c>
      <c r="AG238" s="7">
        <v>7</v>
      </c>
      <c r="AH238" s="7">
        <v>9.25</v>
      </c>
      <c r="AI238" s="7">
        <v>17</v>
      </c>
      <c r="AJ238" s="7">
        <v>0</v>
      </c>
      <c r="AK238" s="8">
        <v>44115.511817129627</v>
      </c>
      <c r="AL238" s="7">
        <v>1.89</v>
      </c>
      <c r="AM238" s="7">
        <v>100</v>
      </c>
      <c r="AN238" s="7">
        <v>0</v>
      </c>
      <c r="AO238" s="7">
        <v>1.32</v>
      </c>
      <c r="AP238" s="7">
        <v>1.74</v>
      </c>
      <c r="AQ238" s="7">
        <v>3.99</v>
      </c>
      <c r="AR238" s="7">
        <v>0.99</v>
      </c>
      <c r="AS238" s="4" t="s">
        <v>303</v>
      </c>
      <c r="AT238" s="7">
        <v>0</v>
      </c>
      <c r="AU238" s="4" t="s">
        <v>446</v>
      </c>
      <c r="AV238" s="4" t="s">
        <v>305</v>
      </c>
      <c r="AW238" s="4" t="s">
        <v>292</v>
      </c>
    </row>
    <row r="239" spans="1:49" s="4" customFormat="1" x14ac:dyDescent="0.25">
      <c r="A239" s="4" t="s">
        <v>11200</v>
      </c>
      <c r="B239" s="4" t="s">
        <v>293</v>
      </c>
      <c r="C239" s="4" t="s">
        <v>444</v>
      </c>
      <c r="D239" s="4" t="s">
        <v>445</v>
      </c>
      <c r="F239" s="4" t="s">
        <v>11462</v>
      </c>
      <c r="G239" s="4" t="s">
        <v>11463</v>
      </c>
      <c r="I239" s="4" t="s">
        <v>296</v>
      </c>
      <c r="J239" s="4" t="s">
        <v>297</v>
      </c>
      <c r="K239" s="4" t="s">
        <v>319</v>
      </c>
      <c r="L239" s="4" t="s">
        <v>299</v>
      </c>
      <c r="M239" s="4" t="s">
        <v>300</v>
      </c>
      <c r="N239" s="4" t="s">
        <v>11198</v>
      </c>
      <c r="O239" s="5">
        <v>35.124000000000002</v>
      </c>
      <c r="P239" s="6">
        <v>1</v>
      </c>
      <c r="Q239" s="7">
        <v>9.25</v>
      </c>
      <c r="R239" s="7">
        <v>18</v>
      </c>
      <c r="S239" s="4" t="s">
        <v>301</v>
      </c>
      <c r="T239" s="4" t="s">
        <v>302</v>
      </c>
      <c r="U239" s="5">
        <v>48.28</v>
      </c>
      <c r="V239" s="6">
        <v>0.45</v>
      </c>
      <c r="W239" s="7">
        <v>1.5</v>
      </c>
      <c r="X239" s="5">
        <v>16.166</v>
      </c>
      <c r="Y239" s="4" t="s">
        <v>292</v>
      </c>
      <c r="Z239" s="6">
        <v>1</v>
      </c>
      <c r="AA239" s="6">
        <v>1</v>
      </c>
      <c r="AB239" s="5">
        <v>16.166</v>
      </c>
      <c r="AC239" s="6">
        <v>1</v>
      </c>
      <c r="AD239" s="6">
        <v>1</v>
      </c>
      <c r="AE239" s="5">
        <v>16.166</v>
      </c>
      <c r="AF239" s="7">
        <v>10</v>
      </c>
      <c r="AG239" s="7">
        <v>18</v>
      </c>
      <c r="AH239" s="7">
        <v>9.25</v>
      </c>
      <c r="AI239" s="7">
        <v>0</v>
      </c>
      <c r="AJ239" s="7">
        <v>0</v>
      </c>
      <c r="AK239" s="8">
        <v>44115.505462962959</v>
      </c>
      <c r="AL239" s="7">
        <v>2.17</v>
      </c>
      <c r="AM239" s="7">
        <v>100</v>
      </c>
      <c r="AN239" s="7">
        <v>0</v>
      </c>
      <c r="AO239" s="7">
        <v>3.91</v>
      </c>
      <c r="AP239" s="7">
        <v>2.0099999999999998</v>
      </c>
      <c r="AQ239" s="7">
        <v>0</v>
      </c>
      <c r="AR239" s="7">
        <v>0.36</v>
      </c>
      <c r="AS239" s="4" t="s">
        <v>303</v>
      </c>
      <c r="AT239" s="7">
        <v>0</v>
      </c>
      <c r="AU239" s="4" t="s">
        <v>446</v>
      </c>
      <c r="AV239" s="4" t="s">
        <v>305</v>
      </c>
      <c r="AW239" s="4" t="s">
        <v>292</v>
      </c>
    </row>
    <row r="240" spans="1:49" s="4" customFormat="1" x14ac:dyDescent="0.25">
      <c r="A240" s="4" t="s">
        <v>11207</v>
      </c>
      <c r="B240" s="4" t="s">
        <v>293</v>
      </c>
      <c r="C240" s="4" t="s">
        <v>444</v>
      </c>
      <c r="D240" s="4" t="s">
        <v>445</v>
      </c>
      <c r="F240" s="4" t="s">
        <v>11236</v>
      </c>
      <c r="G240" s="4" t="s">
        <v>11237</v>
      </c>
      <c r="I240" s="4" t="s">
        <v>296</v>
      </c>
      <c r="J240" s="4" t="s">
        <v>297</v>
      </c>
      <c r="K240" s="4" t="s">
        <v>319</v>
      </c>
      <c r="L240" s="4" t="s">
        <v>299</v>
      </c>
      <c r="M240" s="4" t="s">
        <v>300</v>
      </c>
      <c r="N240" s="4" t="s">
        <v>11238</v>
      </c>
      <c r="O240" s="5">
        <v>16.170000000000002</v>
      </c>
      <c r="P240" s="6">
        <v>1</v>
      </c>
      <c r="Q240" s="7">
        <v>9.25</v>
      </c>
      <c r="R240" s="7">
        <v>7</v>
      </c>
      <c r="S240" s="4" t="s">
        <v>301</v>
      </c>
      <c r="T240" s="4" t="s">
        <v>302</v>
      </c>
      <c r="U240" s="5">
        <v>19.306999999999999</v>
      </c>
      <c r="V240" s="6">
        <v>0.25</v>
      </c>
      <c r="W240" s="7">
        <v>3</v>
      </c>
      <c r="X240" s="5">
        <v>6.4969999999999999</v>
      </c>
      <c r="Y240" s="4" t="s">
        <v>292</v>
      </c>
      <c r="Z240" s="6">
        <v>4</v>
      </c>
      <c r="AA240" s="6">
        <v>1</v>
      </c>
      <c r="AB240" s="5">
        <v>25.988</v>
      </c>
      <c r="AC240" s="6">
        <v>1</v>
      </c>
      <c r="AD240" s="6">
        <v>1</v>
      </c>
      <c r="AE240" s="5">
        <v>25.988</v>
      </c>
      <c r="AF240" s="5">
        <v>25.988</v>
      </c>
      <c r="AG240" s="7">
        <v>7</v>
      </c>
      <c r="AH240" s="7">
        <v>0</v>
      </c>
      <c r="AI240" s="7">
        <v>17</v>
      </c>
      <c r="AJ240" s="7">
        <v>0</v>
      </c>
      <c r="AK240" s="8">
        <v>44115.528715277775</v>
      </c>
      <c r="AL240" s="7">
        <v>0.48</v>
      </c>
      <c r="AM240" s="7">
        <v>100</v>
      </c>
      <c r="AN240" s="7">
        <v>0</v>
      </c>
      <c r="AO240" s="7">
        <v>0.34</v>
      </c>
      <c r="AP240" s="7">
        <v>0</v>
      </c>
      <c r="AQ240" s="7">
        <v>1</v>
      </c>
      <c r="AR240" s="7">
        <v>0.19</v>
      </c>
      <c r="AS240" s="4" t="s">
        <v>303</v>
      </c>
      <c r="AT240" s="7">
        <v>0</v>
      </c>
      <c r="AU240" s="4" t="s">
        <v>446</v>
      </c>
      <c r="AV240" s="4" t="s">
        <v>305</v>
      </c>
    </row>
    <row r="241" spans="1:49" s="4" customFormat="1" x14ac:dyDescent="0.25">
      <c r="A241" s="4" t="s">
        <v>11201</v>
      </c>
      <c r="B241" s="4" t="s">
        <v>293</v>
      </c>
      <c r="C241" s="4" t="s">
        <v>448</v>
      </c>
      <c r="D241" s="4" t="s">
        <v>449</v>
      </c>
      <c r="F241" s="4" t="s">
        <v>11462</v>
      </c>
      <c r="G241" s="4" t="s">
        <v>11463</v>
      </c>
      <c r="I241" s="4" t="s">
        <v>296</v>
      </c>
      <c r="J241" s="4" t="s">
        <v>297</v>
      </c>
      <c r="K241" s="4" t="s">
        <v>298</v>
      </c>
      <c r="L241" s="4" t="s">
        <v>299</v>
      </c>
      <c r="M241" s="4" t="s">
        <v>300</v>
      </c>
      <c r="N241" s="4" t="s">
        <v>11198</v>
      </c>
      <c r="O241" s="5">
        <v>111.533</v>
      </c>
      <c r="P241" s="6">
        <v>1</v>
      </c>
      <c r="Q241" s="7">
        <v>9.25</v>
      </c>
      <c r="R241" s="7">
        <v>12</v>
      </c>
      <c r="S241" s="4" t="s">
        <v>301</v>
      </c>
      <c r="T241" s="4" t="s">
        <v>302</v>
      </c>
      <c r="U241" s="5">
        <v>141.62899999999999</v>
      </c>
      <c r="V241" s="6">
        <v>0.45</v>
      </c>
      <c r="W241" s="7">
        <v>1.5</v>
      </c>
      <c r="X241" s="5">
        <v>51.243000000000002</v>
      </c>
      <c r="Y241" s="4" t="s">
        <v>292</v>
      </c>
      <c r="Z241" s="6">
        <v>1</v>
      </c>
      <c r="AA241" s="6">
        <v>1</v>
      </c>
      <c r="AB241" s="5">
        <v>51.243000000000002</v>
      </c>
      <c r="AC241" s="6">
        <v>1</v>
      </c>
      <c r="AD241" s="6">
        <v>1</v>
      </c>
      <c r="AE241" s="5">
        <v>51.243000000000002</v>
      </c>
      <c r="AF241" s="7">
        <v>10</v>
      </c>
      <c r="AG241" s="7">
        <v>12</v>
      </c>
      <c r="AH241" s="7">
        <v>9.25</v>
      </c>
      <c r="AI241" s="7">
        <v>0</v>
      </c>
      <c r="AJ241" s="7">
        <v>0</v>
      </c>
      <c r="AK241" s="8">
        <v>44115.509976851848</v>
      </c>
      <c r="AL241" s="7">
        <v>6.37</v>
      </c>
      <c r="AM241" s="7">
        <v>100</v>
      </c>
      <c r="AN241" s="7">
        <v>0</v>
      </c>
      <c r="AO241" s="7">
        <v>7.65</v>
      </c>
      <c r="AP241" s="7">
        <v>5.89</v>
      </c>
      <c r="AQ241" s="7">
        <v>0</v>
      </c>
      <c r="AR241" s="7">
        <v>1.05</v>
      </c>
      <c r="AS241" s="4" t="s">
        <v>303</v>
      </c>
      <c r="AT241" s="7">
        <v>0</v>
      </c>
      <c r="AU241" s="4" t="s">
        <v>450</v>
      </c>
      <c r="AV241" s="4" t="s">
        <v>305</v>
      </c>
      <c r="AW241" s="4" t="s">
        <v>292</v>
      </c>
    </row>
    <row r="242" spans="1:49" s="4" customFormat="1" x14ac:dyDescent="0.25">
      <c r="A242" s="4" t="s">
        <v>11199</v>
      </c>
      <c r="B242" s="4" t="s">
        <v>293</v>
      </c>
      <c r="C242" s="4" t="s">
        <v>448</v>
      </c>
      <c r="D242" s="4" t="s">
        <v>449</v>
      </c>
      <c r="F242" s="4" t="s">
        <v>11462</v>
      </c>
      <c r="G242" s="4" t="s">
        <v>11463</v>
      </c>
      <c r="I242" s="4" t="s">
        <v>296</v>
      </c>
      <c r="J242" s="4" t="s">
        <v>297</v>
      </c>
      <c r="K242" s="4" t="s">
        <v>298</v>
      </c>
      <c r="L242" s="4" t="s">
        <v>299</v>
      </c>
      <c r="M242" s="4" t="s">
        <v>300</v>
      </c>
      <c r="N242" s="4" t="s">
        <v>11198</v>
      </c>
      <c r="O242" s="5">
        <v>111.533</v>
      </c>
      <c r="P242" s="6">
        <v>1</v>
      </c>
      <c r="Q242" s="7">
        <v>9.25</v>
      </c>
      <c r="R242" s="7">
        <v>7</v>
      </c>
      <c r="S242" s="4" t="s">
        <v>301</v>
      </c>
      <c r="T242" s="4" t="s">
        <v>302</v>
      </c>
      <c r="U242" s="5">
        <v>133.17400000000001</v>
      </c>
      <c r="V242" s="6">
        <v>0.45</v>
      </c>
      <c r="W242" s="7">
        <v>2</v>
      </c>
      <c r="X242" s="5">
        <v>51.497999999999998</v>
      </c>
      <c r="Y242" s="4" t="s">
        <v>292</v>
      </c>
      <c r="Z242" s="6">
        <v>1</v>
      </c>
      <c r="AA242" s="6">
        <v>1</v>
      </c>
      <c r="AB242" s="5">
        <v>51.497999999999998</v>
      </c>
      <c r="AC242" s="6">
        <v>1</v>
      </c>
      <c r="AD242" s="6">
        <v>1</v>
      </c>
      <c r="AE242" s="5">
        <v>51.497999999999998</v>
      </c>
      <c r="AF242" s="7">
        <v>10</v>
      </c>
      <c r="AG242" s="7">
        <v>7</v>
      </c>
      <c r="AH242" s="7">
        <v>9.25</v>
      </c>
      <c r="AI242" s="7">
        <v>0</v>
      </c>
      <c r="AJ242" s="7">
        <v>0</v>
      </c>
      <c r="AK242" s="8">
        <v>44115.512280092589</v>
      </c>
      <c r="AL242" s="7">
        <v>5.99</v>
      </c>
      <c r="AM242" s="7">
        <v>100</v>
      </c>
      <c r="AN242" s="7">
        <v>0</v>
      </c>
      <c r="AO242" s="7">
        <v>4.2</v>
      </c>
      <c r="AP242" s="7">
        <v>5.55</v>
      </c>
      <c r="AQ242" s="7">
        <v>0</v>
      </c>
      <c r="AR242" s="7">
        <v>1.32</v>
      </c>
      <c r="AS242" s="4" t="s">
        <v>303</v>
      </c>
      <c r="AT242" s="7">
        <v>0</v>
      </c>
      <c r="AU242" s="4" t="s">
        <v>450</v>
      </c>
      <c r="AV242" s="4" t="s">
        <v>305</v>
      </c>
      <c r="AW242" s="4" t="s">
        <v>292</v>
      </c>
    </row>
    <row r="243" spans="1:49" s="4" customFormat="1" x14ac:dyDescent="0.25">
      <c r="A243" s="4" t="s">
        <v>395</v>
      </c>
      <c r="B243" s="4" t="s">
        <v>293</v>
      </c>
      <c r="C243" s="4" t="s">
        <v>448</v>
      </c>
      <c r="D243" s="4" t="s">
        <v>449</v>
      </c>
      <c r="F243" s="4" t="s">
        <v>11462</v>
      </c>
      <c r="G243" s="4" t="s">
        <v>11463</v>
      </c>
      <c r="I243" s="4" t="s">
        <v>296</v>
      </c>
      <c r="J243" s="4" t="s">
        <v>297</v>
      </c>
      <c r="K243" s="4" t="s">
        <v>298</v>
      </c>
      <c r="L243" s="4" t="s">
        <v>299</v>
      </c>
      <c r="M243" s="4" t="s">
        <v>300</v>
      </c>
      <c r="N243" s="4" t="s">
        <v>447</v>
      </c>
      <c r="O243" s="5">
        <v>111.533</v>
      </c>
      <c r="P243" s="6">
        <v>1</v>
      </c>
      <c r="Q243" s="7">
        <v>9.25</v>
      </c>
      <c r="R243" s="7">
        <v>7</v>
      </c>
      <c r="S243" s="4" t="s">
        <v>301</v>
      </c>
      <c r="T243" s="4" t="s">
        <v>302</v>
      </c>
      <c r="U243" s="5">
        <v>133.17400000000001</v>
      </c>
      <c r="V243" s="6">
        <v>0.45</v>
      </c>
      <c r="W243" s="7">
        <v>4</v>
      </c>
      <c r="X243" s="5">
        <v>70.177999999999997</v>
      </c>
      <c r="Y243" s="4" t="s">
        <v>292</v>
      </c>
      <c r="Z243" s="6">
        <v>1</v>
      </c>
      <c r="AA243" s="6">
        <v>0.75262899999999999</v>
      </c>
      <c r="AB243" s="5">
        <v>70.177999999999997</v>
      </c>
      <c r="AC243" s="6">
        <v>1</v>
      </c>
      <c r="AD243" s="6">
        <v>0.75262899999999999</v>
      </c>
      <c r="AE243" s="5">
        <v>70.177999999999997</v>
      </c>
      <c r="AF243" s="7">
        <v>10</v>
      </c>
      <c r="AG243" s="7">
        <v>7</v>
      </c>
      <c r="AH243" s="7">
        <v>9.25</v>
      </c>
      <c r="AI243" s="7">
        <v>17</v>
      </c>
      <c r="AJ243" s="7">
        <v>0</v>
      </c>
      <c r="AK243" s="8">
        <v>44115.512280092589</v>
      </c>
      <c r="AL243" s="7">
        <v>5.99</v>
      </c>
      <c r="AM243" s="7">
        <v>100</v>
      </c>
      <c r="AN243" s="7">
        <v>0</v>
      </c>
      <c r="AO243" s="7">
        <v>4.2</v>
      </c>
      <c r="AP243" s="7">
        <v>5.55</v>
      </c>
      <c r="AQ243" s="7">
        <v>12.66</v>
      </c>
      <c r="AR243" s="7">
        <v>3.14</v>
      </c>
      <c r="AS243" s="4" t="s">
        <v>303</v>
      </c>
      <c r="AT243" s="7">
        <v>0</v>
      </c>
      <c r="AU243" s="4" t="s">
        <v>450</v>
      </c>
      <c r="AV243" s="4" t="s">
        <v>305</v>
      </c>
      <c r="AW243" s="4" t="s">
        <v>292</v>
      </c>
    </row>
    <row r="244" spans="1:49" s="4" customFormat="1" x14ac:dyDescent="0.25">
      <c r="A244" s="4" t="s">
        <v>11200</v>
      </c>
      <c r="B244" s="4" t="s">
        <v>293</v>
      </c>
      <c r="C244" s="4" t="s">
        <v>448</v>
      </c>
      <c r="D244" s="4" t="s">
        <v>449</v>
      </c>
      <c r="F244" s="4" t="s">
        <v>11462</v>
      </c>
      <c r="G244" s="4" t="s">
        <v>11463</v>
      </c>
      <c r="I244" s="4" t="s">
        <v>296</v>
      </c>
      <c r="J244" s="4" t="s">
        <v>297</v>
      </c>
      <c r="K244" s="4" t="s">
        <v>298</v>
      </c>
      <c r="L244" s="4" t="s">
        <v>299</v>
      </c>
      <c r="M244" s="4" t="s">
        <v>300</v>
      </c>
      <c r="N244" s="4" t="s">
        <v>11198</v>
      </c>
      <c r="O244" s="5">
        <v>111.533</v>
      </c>
      <c r="P244" s="6">
        <v>1</v>
      </c>
      <c r="Q244" s="7">
        <v>9.25</v>
      </c>
      <c r="R244" s="7">
        <v>18</v>
      </c>
      <c r="S244" s="4" t="s">
        <v>301</v>
      </c>
      <c r="T244" s="4" t="s">
        <v>302</v>
      </c>
      <c r="U244" s="5">
        <v>153.31</v>
      </c>
      <c r="V244" s="6">
        <v>0.45</v>
      </c>
      <c r="W244" s="7">
        <v>1.5</v>
      </c>
      <c r="X244" s="5">
        <v>51.33</v>
      </c>
      <c r="Y244" s="4" t="s">
        <v>292</v>
      </c>
      <c r="Z244" s="6">
        <v>1</v>
      </c>
      <c r="AA244" s="6">
        <v>1</v>
      </c>
      <c r="AB244" s="5">
        <v>51.33</v>
      </c>
      <c r="AC244" s="6">
        <v>1</v>
      </c>
      <c r="AD244" s="6">
        <v>1</v>
      </c>
      <c r="AE244" s="5">
        <v>51.33</v>
      </c>
      <c r="AF244" s="7">
        <v>10</v>
      </c>
      <c r="AG244" s="7">
        <v>18</v>
      </c>
      <c r="AH244" s="7">
        <v>9.25</v>
      </c>
      <c r="AI244" s="7">
        <v>0</v>
      </c>
      <c r="AJ244" s="7">
        <v>0</v>
      </c>
      <c r="AK244" s="8">
        <v>44115.505486111113</v>
      </c>
      <c r="AL244" s="7">
        <v>6.9</v>
      </c>
      <c r="AM244" s="7">
        <v>100</v>
      </c>
      <c r="AN244" s="7">
        <v>0</v>
      </c>
      <c r="AO244" s="7">
        <v>12.42</v>
      </c>
      <c r="AP244" s="7">
        <v>6.38</v>
      </c>
      <c r="AQ244" s="7">
        <v>0</v>
      </c>
      <c r="AR244" s="7">
        <v>1.1399999999999999</v>
      </c>
      <c r="AS244" s="4" t="s">
        <v>303</v>
      </c>
      <c r="AT244" s="7">
        <v>0</v>
      </c>
      <c r="AU244" s="4" t="s">
        <v>450</v>
      </c>
      <c r="AV244" s="4" t="s">
        <v>305</v>
      </c>
      <c r="AW244" s="4" t="s">
        <v>292</v>
      </c>
    </row>
    <row r="245" spans="1:49" s="4" customFormat="1" x14ac:dyDescent="0.25">
      <c r="A245" s="4" t="s">
        <v>11207</v>
      </c>
      <c r="B245" s="4" t="s">
        <v>293</v>
      </c>
      <c r="C245" s="4" t="s">
        <v>448</v>
      </c>
      <c r="D245" s="4" t="s">
        <v>449</v>
      </c>
      <c r="F245" s="4" t="s">
        <v>11236</v>
      </c>
      <c r="G245" s="4" t="s">
        <v>11237</v>
      </c>
      <c r="I245" s="4" t="s">
        <v>296</v>
      </c>
      <c r="J245" s="4" t="s">
        <v>297</v>
      </c>
      <c r="K245" s="4" t="s">
        <v>298</v>
      </c>
      <c r="L245" s="4" t="s">
        <v>299</v>
      </c>
      <c r="M245" s="4" t="s">
        <v>300</v>
      </c>
      <c r="N245" s="4" t="s">
        <v>11238</v>
      </c>
      <c r="O245" s="5">
        <v>51.33</v>
      </c>
      <c r="P245" s="6">
        <v>1</v>
      </c>
      <c r="Q245" s="7">
        <v>9.25</v>
      </c>
      <c r="R245" s="7">
        <v>7</v>
      </c>
      <c r="S245" s="4" t="s">
        <v>301</v>
      </c>
      <c r="T245" s="4" t="s">
        <v>302</v>
      </c>
      <c r="U245" s="5">
        <v>61.29</v>
      </c>
      <c r="V245" s="6">
        <v>0.25</v>
      </c>
      <c r="W245" s="7">
        <v>3</v>
      </c>
      <c r="X245" s="5">
        <v>20.623000000000001</v>
      </c>
      <c r="Y245" s="4" t="s">
        <v>292</v>
      </c>
      <c r="Z245" s="6">
        <v>4</v>
      </c>
      <c r="AA245" s="6">
        <v>1</v>
      </c>
      <c r="AB245" s="5">
        <v>82.492000000000004</v>
      </c>
      <c r="AC245" s="6">
        <v>1</v>
      </c>
      <c r="AD245" s="6">
        <v>1</v>
      </c>
      <c r="AE245" s="5">
        <v>82.492000000000004</v>
      </c>
      <c r="AF245" s="5">
        <v>82.492000000000004</v>
      </c>
      <c r="AG245" s="7">
        <v>7</v>
      </c>
      <c r="AH245" s="7">
        <v>0</v>
      </c>
      <c r="AI245" s="7">
        <v>17</v>
      </c>
      <c r="AJ245" s="7">
        <v>0</v>
      </c>
      <c r="AK245" s="8">
        <v>44115.528784722221</v>
      </c>
      <c r="AL245" s="7">
        <v>1.53</v>
      </c>
      <c r="AM245" s="7">
        <v>100</v>
      </c>
      <c r="AN245" s="7">
        <v>0</v>
      </c>
      <c r="AO245" s="7">
        <v>1.07</v>
      </c>
      <c r="AP245" s="7">
        <v>0</v>
      </c>
      <c r="AQ245" s="7">
        <v>3.17</v>
      </c>
      <c r="AR245" s="7">
        <v>0.6</v>
      </c>
      <c r="AS245" s="4" t="s">
        <v>303</v>
      </c>
      <c r="AT245" s="7">
        <v>0</v>
      </c>
      <c r="AU245" s="4" t="s">
        <v>450</v>
      </c>
      <c r="AV245" s="4" t="s">
        <v>305</v>
      </c>
    </row>
    <row r="246" spans="1:49" s="4" customFormat="1" x14ac:dyDescent="0.25">
      <c r="A246" s="4" t="s">
        <v>11201</v>
      </c>
      <c r="B246" s="4" t="s">
        <v>293</v>
      </c>
      <c r="C246" s="4" t="s">
        <v>451</v>
      </c>
      <c r="D246" s="4" t="s">
        <v>452</v>
      </c>
      <c r="F246" s="4" t="s">
        <v>11462</v>
      </c>
      <c r="G246" s="4" t="s">
        <v>11463</v>
      </c>
      <c r="I246" s="4" t="s">
        <v>296</v>
      </c>
      <c r="J246" s="4" t="s">
        <v>297</v>
      </c>
      <c r="K246" s="4" t="s">
        <v>298</v>
      </c>
      <c r="L246" s="4" t="s">
        <v>299</v>
      </c>
      <c r="M246" s="4" t="s">
        <v>300</v>
      </c>
      <c r="N246" s="4" t="s">
        <v>11198</v>
      </c>
      <c r="O246" s="5">
        <v>116.211</v>
      </c>
      <c r="P246" s="6">
        <v>1</v>
      </c>
      <c r="Q246" s="7">
        <v>9.25</v>
      </c>
      <c r="R246" s="7">
        <v>12</v>
      </c>
      <c r="S246" s="4" t="s">
        <v>301</v>
      </c>
      <c r="T246" s="4" t="s">
        <v>302</v>
      </c>
      <c r="U246" s="5">
        <v>147.57</v>
      </c>
      <c r="V246" s="6">
        <v>0.45</v>
      </c>
      <c r="W246" s="7">
        <v>1.5</v>
      </c>
      <c r="X246" s="5">
        <v>53.387</v>
      </c>
      <c r="Y246" s="4" t="s">
        <v>292</v>
      </c>
      <c r="Z246" s="6">
        <v>1</v>
      </c>
      <c r="AA246" s="6">
        <v>1</v>
      </c>
      <c r="AB246" s="5">
        <v>53.387</v>
      </c>
      <c r="AC246" s="6">
        <v>1</v>
      </c>
      <c r="AD246" s="6">
        <v>1</v>
      </c>
      <c r="AE246" s="5">
        <v>53.387</v>
      </c>
      <c r="AF246" s="7">
        <v>10</v>
      </c>
      <c r="AG246" s="7">
        <v>12</v>
      </c>
      <c r="AH246" s="7">
        <v>9.25</v>
      </c>
      <c r="AI246" s="7">
        <v>0</v>
      </c>
      <c r="AJ246" s="7">
        <v>0</v>
      </c>
      <c r="AK246" s="8">
        <v>44115.509976851848</v>
      </c>
      <c r="AL246" s="7">
        <v>6.64</v>
      </c>
      <c r="AM246" s="7">
        <v>100</v>
      </c>
      <c r="AN246" s="7">
        <v>0</v>
      </c>
      <c r="AO246" s="7">
        <v>7.97</v>
      </c>
      <c r="AP246" s="7">
        <v>6.15</v>
      </c>
      <c r="AQ246" s="7">
        <v>0</v>
      </c>
      <c r="AR246" s="7">
        <v>1.1000000000000001</v>
      </c>
      <c r="AS246" s="4" t="s">
        <v>303</v>
      </c>
      <c r="AT246" s="7">
        <v>0</v>
      </c>
      <c r="AU246" s="4" t="s">
        <v>453</v>
      </c>
      <c r="AV246" s="4" t="s">
        <v>305</v>
      </c>
      <c r="AW246" s="4" t="s">
        <v>292</v>
      </c>
    </row>
    <row r="247" spans="1:49" s="4" customFormat="1" x14ac:dyDescent="0.25">
      <c r="A247" s="4" t="s">
        <v>11199</v>
      </c>
      <c r="B247" s="4" t="s">
        <v>293</v>
      </c>
      <c r="C247" s="4" t="s">
        <v>451</v>
      </c>
      <c r="D247" s="4" t="s">
        <v>452</v>
      </c>
      <c r="F247" s="4" t="s">
        <v>11462</v>
      </c>
      <c r="G247" s="4" t="s">
        <v>11463</v>
      </c>
      <c r="I247" s="4" t="s">
        <v>296</v>
      </c>
      <c r="J247" s="4" t="s">
        <v>297</v>
      </c>
      <c r="K247" s="4" t="s">
        <v>298</v>
      </c>
      <c r="L247" s="4" t="s">
        <v>299</v>
      </c>
      <c r="M247" s="4" t="s">
        <v>300</v>
      </c>
      <c r="N247" s="4" t="s">
        <v>11198</v>
      </c>
      <c r="O247" s="5">
        <v>116.211</v>
      </c>
      <c r="P247" s="6">
        <v>1</v>
      </c>
      <c r="Q247" s="7">
        <v>9.25</v>
      </c>
      <c r="R247" s="7">
        <v>7</v>
      </c>
      <c r="S247" s="4" t="s">
        <v>301</v>
      </c>
      <c r="T247" s="4" t="s">
        <v>302</v>
      </c>
      <c r="U247" s="5">
        <v>138.75899999999999</v>
      </c>
      <c r="V247" s="6">
        <v>0.45</v>
      </c>
      <c r="W247" s="7">
        <v>2</v>
      </c>
      <c r="X247" s="5">
        <v>53.661999999999999</v>
      </c>
      <c r="Y247" s="4" t="s">
        <v>292</v>
      </c>
      <c r="Z247" s="6">
        <v>1</v>
      </c>
      <c r="AA247" s="6">
        <v>1</v>
      </c>
      <c r="AB247" s="5">
        <v>53.661999999999999</v>
      </c>
      <c r="AC247" s="6">
        <v>1</v>
      </c>
      <c r="AD247" s="6">
        <v>1</v>
      </c>
      <c r="AE247" s="5">
        <v>53.661999999999999</v>
      </c>
      <c r="AF247" s="7">
        <v>10</v>
      </c>
      <c r="AG247" s="7">
        <v>7</v>
      </c>
      <c r="AH247" s="7">
        <v>9.25</v>
      </c>
      <c r="AI247" s="7">
        <v>0</v>
      </c>
      <c r="AJ247" s="7">
        <v>0</v>
      </c>
      <c r="AK247" s="8">
        <v>44115.512280092589</v>
      </c>
      <c r="AL247" s="7">
        <v>6.24</v>
      </c>
      <c r="AM247" s="7">
        <v>100</v>
      </c>
      <c r="AN247" s="7">
        <v>0</v>
      </c>
      <c r="AO247" s="7">
        <v>4.37</v>
      </c>
      <c r="AP247" s="7">
        <v>5.78</v>
      </c>
      <c r="AQ247" s="7">
        <v>0</v>
      </c>
      <c r="AR247" s="7">
        <v>1.37</v>
      </c>
      <c r="AS247" s="4" t="s">
        <v>303</v>
      </c>
      <c r="AT247" s="7">
        <v>0</v>
      </c>
      <c r="AU247" s="4" t="s">
        <v>453</v>
      </c>
      <c r="AV247" s="4" t="s">
        <v>305</v>
      </c>
      <c r="AW247" s="4" t="s">
        <v>292</v>
      </c>
    </row>
    <row r="248" spans="1:49" s="4" customFormat="1" x14ac:dyDescent="0.25">
      <c r="A248" s="4" t="s">
        <v>395</v>
      </c>
      <c r="B248" s="4" t="s">
        <v>293</v>
      </c>
      <c r="C248" s="4" t="s">
        <v>451</v>
      </c>
      <c r="D248" s="4" t="s">
        <v>452</v>
      </c>
      <c r="F248" s="4" t="s">
        <v>11462</v>
      </c>
      <c r="G248" s="4" t="s">
        <v>11463</v>
      </c>
      <c r="I248" s="4" t="s">
        <v>296</v>
      </c>
      <c r="J248" s="4" t="s">
        <v>297</v>
      </c>
      <c r="K248" s="4" t="s">
        <v>298</v>
      </c>
      <c r="L248" s="4" t="s">
        <v>299</v>
      </c>
      <c r="M248" s="4" t="s">
        <v>300</v>
      </c>
      <c r="N248" s="4" t="s">
        <v>447</v>
      </c>
      <c r="O248" s="5">
        <v>116.211</v>
      </c>
      <c r="P248" s="6">
        <v>1</v>
      </c>
      <c r="Q248" s="7">
        <v>9.25</v>
      </c>
      <c r="R248" s="7">
        <v>7</v>
      </c>
      <c r="S248" s="4" t="s">
        <v>301</v>
      </c>
      <c r="T248" s="4" t="s">
        <v>302</v>
      </c>
      <c r="U248" s="5">
        <v>138.75899999999999</v>
      </c>
      <c r="V248" s="6">
        <v>0.45</v>
      </c>
      <c r="W248" s="7">
        <v>4</v>
      </c>
      <c r="X248" s="5">
        <v>73.122</v>
      </c>
      <c r="Y248" s="4" t="s">
        <v>292</v>
      </c>
      <c r="Z248" s="6">
        <v>1</v>
      </c>
      <c r="AA248" s="6">
        <v>0.75274200000000002</v>
      </c>
      <c r="AB248" s="5">
        <v>73.122</v>
      </c>
      <c r="AC248" s="6">
        <v>1</v>
      </c>
      <c r="AD248" s="6">
        <v>0.75274200000000002</v>
      </c>
      <c r="AE248" s="5">
        <v>73.122</v>
      </c>
      <c r="AF248" s="7">
        <v>10</v>
      </c>
      <c r="AG248" s="7">
        <v>7</v>
      </c>
      <c r="AH248" s="7">
        <v>9.25</v>
      </c>
      <c r="AI248" s="7">
        <v>17</v>
      </c>
      <c r="AJ248" s="7">
        <v>0</v>
      </c>
      <c r="AK248" s="8">
        <v>44115.512326388889</v>
      </c>
      <c r="AL248" s="7">
        <v>6.24</v>
      </c>
      <c r="AM248" s="7">
        <v>100</v>
      </c>
      <c r="AN248" s="7">
        <v>0</v>
      </c>
      <c r="AO248" s="7">
        <v>4.37</v>
      </c>
      <c r="AP248" s="7">
        <v>5.78</v>
      </c>
      <c r="AQ248" s="7">
        <v>13.19</v>
      </c>
      <c r="AR248" s="7">
        <v>3.27</v>
      </c>
      <c r="AS248" s="4" t="s">
        <v>303</v>
      </c>
      <c r="AT248" s="7">
        <v>0</v>
      </c>
      <c r="AU248" s="4" t="s">
        <v>453</v>
      </c>
      <c r="AV248" s="4" t="s">
        <v>305</v>
      </c>
      <c r="AW248" s="4" t="s">
        <v>292</v>
      </c>
    </row>
    <row r="249" spans="1:49" s="4" customFormat="1" x14ac:dyDescent="0.25">
      <c r="A249" s="4" t="s">
        <v>11200</v>
      </c>
      <c r="B249" s="4" t="s">
        <v>293</v>
      </c>
      <c r="C249" s="4" t="s">
        <v>451</v>
      </c>
      <c r="D249" s="4" t="s">
        <v>452</v>
      </c>
      <c r="F249" s="4" t="s">
        <v>11462</v>
      </c>
      <c r="G249" s="4" t="s">
        <v>11463</v>
      </c>
      <c r="I249" s="4" t="s">
        <v>296</v>
      </c>
      <c r="J249" s="4" t="s">
        <v>297</v>
      </c>
      <c r="K249" s="4" t="s">
        <v>298</v>
      </c>
      <c r="L249" s="4" t="s">
        <v>299</v>
      </c>
      <c r="M249" s="4" t="s">
        <v>300</v>
      </c>
      <c r="N249" s="4" t="s">
        <v>11198</v>
      </c>
      <c r="O249" s="5">
        <v>116.211</v>
      </c>
      <c r="P249" s="6">
        <v>1</v>
      </c>
      <c r="Q249" s="7">
        <v>9.25</v>
      </c>
      <c r="R249" s="7">
        <v>18</v>
      </c>
      <c r="S249" s="4" t="s">
        <v>301</v>
      </c>
      <c r="T249" s="4" t="s">
        <v>302</v>
      </c>
      <c r="U249" s="5">
        <v>159.74</v>
      </c>
      <c r="V249" s="6">
        <v>0.45</v>
      </c>
      <c r="W249" s="7">
        <v>1.5</v>
      </c>
      <c r="X249" s="5">
        <v>53.482999999999997</v>
      </c>
      <c r="Y249" s="4" t="s">
        <v>292</v>
      </c>
      <c r="Z249" s="6">
        <v>1</v>
      </c>
      <c r="AA249" s="6">
        <v>1</v>
      </c>
      <c r="AB249" s="5">
        <v>53.482999999999997</v>
      </c>
      <c r="AC249" s="6">
        <v>1</v>
      </c>
      <c r="AD249" s="6">
        <v>1</v>
      </c>
      <c r="AE249" s="5">
        <v>53.482999999999997</v>
      </c>
      <c r="AF249" s="7">
        <v>10</v>
      </c>
      <c r="AG249" s="7">
        <v>18</v>
      </c>
      <c r="AH249" s="7">
        <v>9.25</v>
      </c>
      <c r="AI249" s="7">
        <v>0</v>
      </c>
      <c r="AJ249" s="7">
        <v>0</v>
      </c>
      <c r="AK249" s="8">
        <v>44115.505486111113</v>
      </c>
      <c r="AL249" s="7">
        <v>7.19</v>
      </c>
      <c r="AM249" s="7">
        <v>100</v>
      </c>
      <c r="AN249" s="7">
        <v>0</v>
      </c>
      <c r="AO249" s="7">
        <v>12.94</v>
      </c>
      <c r="AP249" s="7">
        <v>6.65</v>
      </c>
      <c r="AQ249" s="7">
        <v>0</v>
      </c>
      <c r="AR249" s="7">
        <v>1.19</v>
      </c>
      <c r="AS249" s="4" t="s">
        <v>303</v>
      </c>
      <c r="AT249" s="7">
        <v>0</v>
      </c>
      <c r="AU249" s="4" t="s">
        <v>453</v>
      </c>
      <c r="AV249" s="4" t="s">
        <v>305</v>
      </c>
      <c r="AW249" s="4" t="s">
        <v>292</v>
      </c>
    </row>
    <row r="250" spans="1:49" s="4" customFormat="1" x14ac:dyDescent="0.25">
      <c r="A250" s="4" t="s">
        <v>11207</v>
      </c>
      <c r="B250" s="4" t="s">
        <v>293</v>
      </c>
      <c r="C250" s="4" t="s">
        <v>451</v>
      </c>
      <c r="D250" s="4" t="s">
        <v>452</v>
      </c>
      <c r="F250" s="4" t="s">
        <v>11236</v>
      </c>
      <c r="G250" s="4" t="s">
        <v>11237</v>
      </c>
      <c r="I250" s="4" t="s">
        <v>296</v>
      </c>
      <c r="J250" s="4" t="s">
        <v>297</v>
      </c>
      <c r="K250" s="4" t="s">
        <v>298</v>
      </c>
      <c r="L250" s="4" t="s">
        <v>299</v>
      </c>
      <c r="M250" s="4" t="s">
        <v>300</v>
      </c>
      <c r="N250" s="4" t="s">
        <v>11238</v>
      </c>
      <c r="O250" s="5">
        <v>53.48</v>
      </c>
      <c r="P250" s="6">
        <v>1</v>
      </c>
      <c r="Q250" s="7">
        <v>9.25</v>
      </c>
      <c r="R250" s="7">
        <v>7</v>
      </c>
      <c r="S250" s="4" t="s">
        <v>301</v>
      </c>
      <c r="T250" s="4" t="s">
        <v>302</v>
      </c>
      <c r="U250" s="5">
        <v>63.856999999999999</v>
      </c>
      <c r="V250" s="6">
        <v>0.25</v>
      </c>
      <c r="W250" s="7">
        <v>3</v>
      </c>
      <c r="X250" s="5">
        <v>21.494</v>
      </c>
      <c r="Y250" s="4" t="s">
        <v>292</v>
      </c>
      <c r="Z250" s="6">
        <v>4</v>
      </c>
      <c r="AA250" s="6">
        <v>1</v>
      </c>
      <c r="AB250" s="5">
        <v>85.975999999999999</v>
      </c>
      <c r="AC250" s="6">
        <v>1</v>
      </c>
      <c r="AD250" s="6">
        <v>1</v>
      </c>
      <c r="AE250" s="5">
        <v>85.975999999999999</v>
      </c>
      <c r="AF250" s="5">
        <v>85.975999999999999</v>
      </c>
      <c r="AG250" s="7">
        <v>7</v>
      </c>
      <c r="AH250" s="7">
        <v>0</v>
      </c>
      <c r="AI250" s="7">
        <v>17</v>
      </c>
      <c r="AJ250" s="7">
        <v>0</v>
      </c>
      <c r="AK250" s="8">
        <v>44115.528819444444</v>
      </c>
      <c r="AL250" s="7">
        <v>1.6</v>
      </c>
      <c r="AM250" s="7">
        <v>100</v>
      </c>
      <c r="AN250" s="7">
        <v>0</v>
      </c>
      <c r="AO250" s="7">
        <v>1.1200000000000001</v>
      </c>
      <c r="AP250" s="7">
        <v>0</v>
      </c>
      <c r="AQ250" s="7">
        <v>3.3</v>
      </c>
      <c r="AR250" s="7">
        <v>0.63</v>
      </c>
      <c r="AS250" s="4" t="s">
        <v>303</v>
      </c>
      <c r="AT250" s="7">
        <v>0</v>
      </c>
      <c r="AU250" s="4" t="s">
        <v>453</v>
      </c>
      <c r="AV250" s="4" t="s">
        <v>305</v>
      </c>
    </row>
    <row r="251" spans="1:49" s="4" customFormat="1" x14ac:dyDescent="0.25">
      <c r="A251" s="4" t="s">
        <v>11201</v>
      </c>
      <c r="B251" s="4" t="s">
        <v>293</v>
      </c>
      <c r="C251" s="4" t="s">
        <v>454</v>
      </c>
      <c r="D251" s="4" t="s">
        <v>455</v>
      </c>
      <c r="F251" s="4" t="s">
        <v>11462</v>
      </c>
      <c r="G251" s="4" t="s">
        <v>11463</v>
      </c>
      <c r="I251" s="4" t="s">
        <v>296</v>
      </c>
      <c r="J251" s="4" t="s">
        <v>297</v>
      </c>
      <c r="K251" s="4" t="s">
        <v>298</v>
      </c>
      <c r="L251" s="4" t="s">
        <v>299</v>
      </c>
      <c r="M251" s="4" t="s">
        <v>300</v>
      </c>
      <c r="N251" s="4" t="s">
        <v>11198</v>
      </c>
      <c r="O251" s="5">
        <v>130.768</v>
      </c>
      <c r="P251" s="6">
        <v>1</v>
      </c>
      <c r="Q251" s="7">
        <v>9.25</v>
      </c>
      <c r="R251" s="7">
        <v>12</v>
      </c>
      <c r="S251" s="4" t="s">
        <v>301</v>
      </c>
      <c r="T251" s="4" t="s">
        <v>302</v>
      </c>
      <c r="U251" s="5">
        <v>166.05500000000001</v>
      </c>
      <c r="V251" s="6">
        <v>0.45</v>
      </c>
      <c r="W251" s="7">
        <v>1.5</v>
      </c>
      <c r="X251" s="5">
        <v>60.075000000000003</v>
      </c>
      <c r="Y251" s="4" t="s">
        <v>292</v>
      </c>
      <c r="Z251" s="6">
        <v>1</v>
      </c>
      <c r="AA251" s="6">
        <v>1</v>
      </c>
      <c r="AB251" s="5">
        <v>60.075000000000003</v>
      </c>
      <c r="AC251" s="6">
        <v>1</v>
      </c>
      <c r="AD251" s="6">
        <v>1</v>
      </c>
      <c r="AE251" s="5">
        <v>60.075000000000003</v>
      </c>
      <c r="AF251" s="7">
        <v>10</v>
      </c>
      <c r="AG251" s="7">
        <v>12</v>
      </c>
      <c r="AH251" s="7">
        <v>9.25</v>
      </c>
      <c r="AI251" s="7">
        <v>0</v>
      </c>
      <c r="AJ251" s="7">
        <v>0</v>
      </c>
      <c r="AK251" s="8">
        <v>44115.509976851848</v>
      </c>
      <c r="AL251" s="7">
        <v>7.47</v>
      </c>
      <c r="AM251" s="7">
        <v>100</v>
      </c>
      <c r="AN251" s="7">
        <v>0</v>
      </c>
      <c r="AO251" s="7">
        <v>8.9700000000000006</v>
      </c>
      <c r="AP251" s="7">
        <v>6.91</v>
      </c>
      <c r="AQ251" s="7">
        <v>0</v>
      </c>
      <c r="AR251" s="7">
        <v>1.23</v>
      </c>
      <c r="AS251" s="4" t="s">
        <v>303</v>
      </c>
      <c r="AT251" s="7">
        <v>0</v>
      </c>
      <c r="AU251" s="4" t="s">
        <v>456</v>
      </c>
      <c r="AV251" s="4" t="s">
        <v>305</v>
      </c>
      <c r="AW251" s="4" t="s">
        <v>292</v>
      </c>
    </row>
    <row r="252" spans="1:49" s="4" customFormat="1" x14ac:dyDescent="0.25">
      <c r="A252" s="4" t="s">
        <v>11199</v>
      </c>
      <c r="B252" s="4" t="s">
        <v>293</v>
      </c>
      <c r="C252" s="4" t="s">
        <v>454</v>
      </c>
      <c r="D252" s="4" t="s">
        <v>455</v>
      </c>
      <c r="F252" s="4" t="s">
        <v>11462</v>
      </c>
      <c r="G252" s="4" t="s">
        <v>11463</v>
      </c>
      <c r="I252" s="4" t="s">
        <v>296</v>
      </c>
      <c r="J252" s="4" t="s">
        <v>297</v>
      </c>
      <c r="K252" s="4" t="s">
        <v>298</v>
      </c>
      <c r="L252" s="4" t="s">
        <v>299</v>
      </c>
      <c r="M252" s="4" t="s">
        <v>300</v>
      </c>
      <c r="N252" s="4" t="s">
        <v>11198</v>
      </c>
      <c r="O252" s="5">
        <v>130.768</v>
      </c>
      <c r="P252" s="6">
        <v>1</v>
      </c>
      <c r="Q252" s="7">
        <v>9.25</v>
      </c>
      <c r="R252" s="7">
        <v>7</v>
      </c>
      <c r="S252" s="4" t="s">
        <v>301</v>
      </c>
      <c r="T252" s="4" t="s">
        <v>302</v>
      </c>
      <c r="U252" s="5">
        <v>156.14099999999999</v>
      </c>
      <c r="V252" s="6">
        <v>0.45</v>
      </c>
      <c r="W252" s="7">
        <v>2</v>
      </c>
      <c r="X252" s="5">
        <v>60.393000000000001</v>
      </c>
      <c r="Y252" s="4" t="s">
        <v>292</v>
      </c>
      <c r="Z252" s="6">
        <v>1</v>
      </c>
      <c r="AA252" s="6">
        <v>1</v>
      </c>
      <c r="AB252" s="5">
        <v>60.393000000000001</v>
      </c>
      <c r="AC252" s="6">
        <v>1</v>
      </c>
      <c r="AD252" s="6">
        <v>1</v>
      </c>
      <c r="AE252" s="5">
        <v>60.393000000000001</v>
      </c>
      <c r="AF252" s="7">
        <v>10</v>
      </c>
      <c r="AG252" s="7">
        <v>7</v>
      </c>
      <c r="AH252" s="7">
        <v>9.25</v>
      </c>
      <c r="AI252" s="7">
        <v>0</v>
      </c>
      <c r="AJ252" s="7">
        <v>0</v>
      </c>
      <c r="AK252" s="8">
        <v>44115.512326388889</v>
      </c>
      <c r="AL252" s="7">
        <v>7.03</v>
      </c>
      <c r="AM252" s="7">
        <v>100</v>
      </c>
      <c r="AN252" s="7">
        <v>0</v>
      </c>
      <c r="AO252" s="7">
        <v>4.92</v>
      </c>
      <c r="AP252" s="7">
        <v>6.5</v>
      </c>
      <c r="AQ252" s="7">
        <v>0</v>
      </c>
      <c r="AR252" s="7">
        <v>1.55</v>
      </c>
      <c r="AS252" s="4" t="s">
        <v>303</v>
      </c>
      <c r="AT252" s="7">
        <v>0</v>
      </c>
      <c r="AU252" s="4" t="s">
        <v>456</v>
      </c>
      <c r="AV252" s="4" t="s">
        <v>305</v>
      </c>
      <c r="AW252" s="4" t="s">
        <v>292</v>
      </c>
    </row>
    <row r="253" spans="1:49" s="4" customFormat="1" x14ac:dyDescent="0.25">
      <c r="A253" s="4" t="s">
        <v>395</v>
      </c>
      <c r="B253" s="4" t="s">
        <v>293</v>
      </c>
      <c r="C253" s="4" t="s">
        <v>454</v>
      </c>
      <c r="D253" s="4" t="s">
        <v>455</v>
      </c>
      <c r="F253" s="4" t="s">
        <v>11462</v>
      </c>
      <c r="G253" s="4" t="s">
        <v>11463</v>
      </c>
      <c r="I253" s="4" t="s">
        <v>296</v>
      </c>
      <c r="J253" s="4" t="s">
        <v>297</v>
      </c>
      <c r="K253" s="4" t="s">
        <v>298</v>
      </c>
      <c r="L253" s="4" t="s">
        <v>299</v>
      </c>
      <c r="M253" s="4" t="s">
        <v>300</v>
      </c>
      <c r="N253" s="4" t="s">
        <v>447</v>
      </c>
      <c r="O253" s="5">
        <v>130.768</v>
      </c>
      <c r="P253" s="6">
        <v>1</v>
      </c>
      <c r="Q253" s="7">
        <v>9.25</v>
      </c>
      <c r="R253" s="7">
        <v>7</v>
      </c>
      <c r="S253" s="4" t="s">
        <v>301</v>
      </c>
      <c r="T253" s="4" t="s">
        <v>302</v>
      </c>
      <c r="U253" s="5">
        <v>156.14099999999999</v>
      </c>
      <c r="V253" s="6">
        <v>0.45</v>
      </c>
      <c r="W253" s="7">
        <v>4</v>
      </c>
      <c r="X253" s="5">
        <v>82.293000000000006</v>
      </c>
      <c r="Y253" s="4" t="s">
        <v>292</v>
      </c>
      <c r="Z253" s="6">
        <v>1</v>
      </c>
      <c r="AA253" s="6">
        <v>0.75259100000000001</v>
      </c>
      <c r="AB253" s="5">
        <v>82.293000000000006</v>
      </c>
      <c r="AC253" s="6">
        <v>1</v>
      </c>
      <c r="AD253" s="6">
        <v>0.75259100000000001</v>
      </c>
      <c r="AE253" s="5">
        <v>82.293000000000006</v>
      </c>
      <c r="AF253" s="7">
        <v>10</v>
      </c>
      <c r="AG253" s="7">
        <v>7</v>
      </c>
      <c r="AH253" s="7">
        <v>9.25</v>
      </c>
      <c r="AI253" s="7">
        <v>17</v>
      </c>
      <c r="AJ253" s="7">
        <v>0</v>
      </c>
      <c r="AK253" s="8">
        <v>44115.512326388889</v>
      </c>
      <c r="AL253" s="7">
        <v>7.03</v>
      </c>
      <c r="AM253" s="7">
        <v>100</v>
      </c>
      <c r="AN253" s="7">
        <v>0</v>
      </c>
      <c r="AO253" s="7">
        <v>4.92</v>
      </c>
      <c r="AP253" s="7">
        <v>6.5</v>
      </c>
      <c r="AQ253" s="7">
        <v>14.84</v>
      </c>
      <c r="AR253" s="7">
        <v>3.69</v>
      </c>
      <c r="AS253" s="4" t="s">
        <v>303</v>
      </c>
      <c r="AT253" s="7">
        <v>0</v>
      </c>
      <c r="AU253" s="4" t="s">
        <v>456</v>
      </c>
      <c r="AV253" s="4" t="s">
        <v>305</v>
      </c>
      <c r="AW253" s="4" t="s">
        <v>292</v>
      </c>
    </row>
    <row r="254" spans="1:49" s="4" customFormat="1" x14ac:dyDescent="0.25">
      <c r="A254" s="4" t="s">
        <v>11200</v>
      </c>
      <c r="B254" s="4" t="s">
        <v>293</v>
      </c>
      <c r="C254" s="4" t="s">
        <v>454</v>
      </c>
      <c r="D254" s="4" t="s">
        <v>455</v>
      </c>
      <c r="F254" s="4" t="s">
        <v>11462</v>
      </c>
      <c r="G254" s="4" t="s">
        <v>11463</v>
      </c>
      <c r="I254" s="4" t="s">
        <v>296</v>
      </c>
      <c r="J254" s="4" t="s">
        <v>297</v>
      </c>
      <c r="K254" s="4" t="s">
        <v>298</v>
      </c>
      <c r="L254" s="4" t="s">
        <v>299</v>
      </c>
      <c r="M254" s="4" t="s">
        <v>300</v>
      </c>
      <c r="N254" s="4" t="s">
        <v>11198</v>
      </c>
      <c r="O254" s="5">
        <v>130.768</v>
      </c>
      <c r="P254" s="6">
        <v>1</v>
      </c>
      <c r="Q254" s="7">
        <v>9.25</v>
      </c>
      <c r="R254" s="7">
        <v>18</v>
      </c>
      <c r="S254" s="4" t="s">
        <v>301</v>
      </c>
      <c r="T254" s="4" t="s">
        <v>302</v>
      </c>
      <c r="U254" s="5">
        <v>179.75</v>
      </c>
      <c r="V254" s="6">
        <v>0.45</v>
      </c>
      <c r="W254" s="7">
        <v>1.5</v>
      </c>
      <c r="X254" s="5">
        <v>60.177999999999997</v>
      </c>
      <c r="Y254" s="4" t="s">
        <v>292</v>
      </c>
      <c r="Z254" s="6">
        <v>1</v>
      </c>
      <c r="AA254" s="6">
        <v>1</v>
      </c>
      <c r="AB254" s="5">
        <v>60.177999999999997</v>
      </c>
      <c r="AC254" s="6">
        <v>1</v>
      </c>
      <c r="AD254" s="6">
        <v>1</v>
      </c>
      <c r="AE254" s="5">
        <v>60.177999999999997</v>
      </c>
      <c r="AF254" s="7">
        <v>10</v>
      </c>
      <c r="AG254" s="7">
        <v>18</v>
      </c>
      <c r="AH254" s="7">
        <v>9.25</v>
      </c>
      <c r="AI254" s="7">
        <v>0</v>
      </c>
      <c r="AJ254" s="7">
        <v>0</v>
      </c>
      <c r="AK254" s="8">
        <v>44115.505509259259</v>
      </c>
      <c r="AL254" s="7">
        <v>8.09</v>
      </c>
      <c r="AM254" s="7">
        <v>100</v>
      </c>
      <c r="AN254" s="7">
        <v>0</v>
      </c>
      <c r="AO254" s="7">
        <v>14.56</v>
      </c>
      <c r="AP254" s="7">
        <v>7.48</v>
      </c>
      <c r="AQ254" s="7">
        <v>0</v>
      </c>
      <c r="AR254" s="7">
        <v>1.33</v>
      </c>
      <c r="AS254" s="4" t="s">
        <v>303</v>
      </c>
      <c r="AT254" s="7">
        <v>0</v>
      </c>
      <c r="AU254" s="4" t="s">
        <v>456</v>
      </c>
      <c r="AV254" s="4" t="s">
        <v>305</v>
      </c>
      <c r="AW254" s="4" t="s">
        <v>292</v>
      </c>
    </row>
    <row r="255" spans="1:49" s="4" customFormat="1" x14ac:dyDescent="0.25">
      <c r="A255" s="4" t="s">
        <v>11207</v>
      </c>
      <c r="B255" s="4" t="s">
        <v>293</v>
      </c>
      <c r="C255" s="4" t="s">
        <v>454</v>
      </c>
      <c r="D255" s="4" t="s">
        <v>455</v>
      </c>
      <c r="F255" s="4" t="s">
        <v>11236</v>
      </c>
      <c r="G255" s="4" t="s">
        <v>11237</v>
      </c>
      <c r="I255" s="4" t="s">
        <v>296</v>
      </c>
      <c r="J255" s="4" t="s">
        <v>297</v>
      </c>
      <c r="K255" s="4" t="s">
        <v>298</v>
      </c>
      <c r="L255" s="4" t="s">
        <v>299</v>
      </c>
      <c r="M255" s="4" t="s">
        <v>300</v>
      </c>
      <c r="N255" s="4" t="s">
        <v>11238</v>
      </c>
      <c r="O255" s="5">
        <v>60.18</v>
      </c>
      <c r="P255" s="6">
        <v>1</v>
      </c>
      <c r="Q255" s="7">
        <v>9.25</v>
      </c>
      <c r="R255" s="7">
        <v>7</v>
      </c>
      <c r="S255" s="4" t="s">
        <v>301</v>
      </c>
      <c r="T255" s="4" t="s">
        <v>302</v>
      </c>
      <c r="U255" s="5">
        <v>71.856999999999999</v>
      </c>
      <c r="V255" s="6">
        <v>0.25</v>
      </c>
      <c r="W255" s="7">
        <v>3</v>
      </c>
      <c r="X255" s="5">
        <v>24.173999999999999</v>
      </c>
      <c r="Y255" s="4" t="s">
        <v>292</v>
      </c>
      <c r="Z255" s="6">
        <v>4</v>
      </c>
      <c r="AA255" s="6">
        <v>1</v>
      </c>
      <c r="AB255" s="5">
        <v>96.695999999999998</v>
      </c>
      <c r="AC255" s="6">
        <v>1</v>
      </c>
      <c r="AD255" s="6">
        <v>1</v>
      </c>
      <c r="AE255" s="5">
        <v>96.695999999999998</v>
      </c>
      <c r="AF255" s="5">
        <v>96.695999999999998</v>
      </c>
      <c r="AG255" s="7">
        <v>7</v>
      </c>
      <c r="AH255" s="7">
        <v>0</v>
      </c>
      <c r="AI255" s="7">
        <v>17</v>
      </c>
      <c r="AJ255" s="7">
        <v>0</v>
      </c>
      <c r="AK255" s="8">
        <v>44115.528831018521</v>
      </c>
      <c r="AL255" s="7">
        <v>1.8</v>
      </c>
      <c r="AM255" s="7">
        <v>100</v>
      </c>
      <c r="AN255" s="7">
        <v>0</v>
      </c>
      <c r="AO255" s="7">
        <v>1.26</v>
      </c>
      <c r="AP255" s="7">
        <v>0</v>
      </c>
      <c r="AQ255" s="7">
        <v>3.71</v>
      </c>
      <c r="AR255" s="7">
        <v>0.7</v>
      </c>
      <c r="AS255" s="4" t="s">
        <v>303</v>
      </c>
      <c r="AT255" s="7">
        <v>0</v>
      </c>
      <c r="AU255" s="4" t="s">
        <v>456</v>
      </c>
      <c r="AV255" s="4" t="s">
        <v>305</v>
      </c>
    </row>
    <row r="256" spans="1:49" s="4" customFormat="1" x14ac:dyDescent="0.25">
      <c r="A256" s="4" t="s">
        <v>11201</v>
      </c>
      <c r="B256" s="4" t="s">
        <v>293</v>
      </c>
      <c r="C256" s="4" t="s">
        <v>457</v>
      </c>
      <c r="D256" s="4" t="s">
        <v>458</v>
      </c>
      <c r="F256" s="4" t="s">
        <v>11462</v>
      </c>
      <c r="G256" s="4" t="s">
        <v>11463</v>
      </c>
      <c r="I256" s="4" t="s">
        <v>296</v>
      </c>
      <c r="J256" s="4" t="s">
        <v>297</v>
      </c>
      <c r="K256" s="4" t="s">
        <v>298</v>
      </c>
      <c r="L256" s="4" t="s">
        <v>299</v>
      </c>
      <c r="M256" s="4" t="s">
        <v>300</v>
      </c>
      <c r="N256" s="4" t="s">
        <v>11198</v>
      </c>
      <c r="O256" s="5">
        <v>60.750999999999998</v>
      </c>
      <c r="P256" s="6">
        <v>1</v>
      </c>
      <c r="Q256" s="7">
        <v>9.25</v>
      </c>
      <c r="R256" s="7">
        <v>12</v>
      </c>
      <c r="S256" s="4" t="s">
        <v>301</v>
      </c>
      <c r="T256" s="4" t="s">
        <v>302</v>
      </c>
      <c r="U256" s="5">
        <v>77.144000000000005</v>
      </c>
      <c r="V256" s="6">
        <v>0.45</v>
      </c>
      <c r="W256" s="7">
        <v>1.5</v>
      </c>
      <c r="X256" s="5">
        <v>27.905000000000001</v>
      </c>
      <c r="Y256" s="4" t="s">
        <v>292</v>
      </c>
      <c r="Z256" s="6">
        <v>1</v>
      </c>
      <c r="AA256" s="6">
        <v>1</v>
      </c>
      <c r="AB256" s="5">
        <v>27.905000000000001</v>
      </c>
      <c r="AC256" s="6">
        <v>1</v>
      </c>
      <c r="AD256" s="6">
        <v>1</v>
      </c>
      <c r="AE256" s="5">
        <v>27.905000000000001</v>
      </c>
      <c r="AF256" s="7">
        <v>10</v>
      </c>
      <c r="AG256" s="7">
        <v>12</v>
      </c>
      <c r="AH256" s="7">
        <v>9.25</v>
      </c>
      <c r="AI256" s="7">
        <v>0</v>
      </c>
      <c r="AJ256" s="7">
        <v>0</v>
      </c>
      <c r="AK256" s="8">
        <v>44115.510011574072</v>
      </c>
      <c r="AL256" s="7">
        <v>3.47</v>
      </c>
      <c r="AM256" s="7">
        <v>100</v>
      </c>
      <c r="AN256" s="7">
        <v>0</v>
      </c>
      <c r="AO256" s="7">
        <v>4.17</v>
      </c>
      <c r="AP256" s="7">
        <v>3.21</v>
      </c>
      <c r="AQ256" s="7">
        <v>0</v>
      </c>
      <c r="AR256" s="7">
        <v>0.56999999999999995</v>
      </c>
      <c r="AS256" s="4" t="s">
        <v>303</v>
      </c>
      <c r="AT256" s="7">
        <v>0</v>
      </c>
      <c r="AU256" s="4" t="s">
        <v>459</v>
      </c>
      <c r="AV256" s="4" t="s">
        <v>305</v>
      </c>
      <c r="AW256" s="4" t="s">
        <v>292</v>
      </c>
    </row>
    <row r="257" spans="1:49" s="4" customFormat="1" x14ac:dyDescent="0.25">
      <c r="A257" s="4" t="s">
        <v>11199</v>
      </c>
      <c r="B257" s="4" t="s">
        <v>293</v>
      </c>
      <c r="C257" s="4" t="s">
        <v>457</v>
      </c>
      <c r="D257" s="4" t="s">
        <v>458</v>
      </c>
      <c r="F257" s="4" t="s">
        <v>11462</v>
      </c>
      <c r="G257" s="4" t="s">
        <v>11463</v>
      </c>
      <c r="I257" s="4" t="s">
        <v>296</v>
      </c>
      <c r="J257" s="4" t="s">
        <v>297</v>
      </c>
      <c r="K257" s="4" t="s">
        <v>298</v>
      </c>
      <c r="L257" s="4" t="s">
        <v>299</v>
      </c>
      <c r="M257" s="4" t="s">
        <v>300</v>
      </c>
      <c r="N257" s="4" t="s">
        <v>11198</v>
      </c>
      <c r="O257" s="5">
        <v>60.753999999999998</v>
      </c>
      <c r="P257" s="6">
        <v>1</v>
      </c>
      <c r="Q257" s="7">
        <v>9.25</v>
      </c>
      <c r="R257" s="7">
        <v>7</v>
      </c>
      <c r="S257" s="4" t="s">
        <v>301</v>
      </c>
      <c r="T257" s="4" t="s">
        <v>302</v>
      </c>
      <c r="U257" s="5">
        <v>72.542000000000002</v>
      </c>
      <c r="V257" s="6">
        <v>0.45</v>
      </c>
      <c r="W257" s="7">
        <v>2</v>
      </c>
      <c r="X257" s="5">
        <v>28.064</v>
      </c>
      <c r="Y257" s="4" t="s">
        <v>292</v>
      </c>
      <c r="Z257" s="6">
        <v>1</v>
      </c>
      <c r="AA257" s="6">
        <v>1</v>
      </c>
      <c r="AB257" s="5">
        <v>28.064</v>
      </c>
      <c r="AC257" s="6">
        <v>1</v>
      </c>
      <c r="AD257" s="6">
        <v>1</v>
      </c>
      <c r="AE257" s="5">
        <v>28.064</v>
      </c>
      <c r="AF257" s="7">
        <v>10</v>
      </c>
      <c r="AG257" s="7">
        <v>7</v>
      </c>
      <c r="AH257" s="7">
        <v>9.25</v>
      </c>
      <c r="AI257" s="7">
        <v>0</v>
      </c>
      <c r="AJ257" s="7">
        <v>0</v>
      </c>
      <c r="AK257" s="8">
        <v>44115.512407407405</v>
      </c>
      <c r="AL257" s="7">
        <v>3.26</v>
      </c>
      <c r="AM257" s="7">
        <v>100</v>
      </c>
      <c r="AN257" s="7">
        <v>0</v>
      </c>
      <c r="AO257" s="7">
        <v>2.2799999999999998</v>
      </c>
      <c r="AP257" s="7">
        <v>3.02</v>
      </c>
      <c r="AQ257" s="7">
        <v>0</v>
      </c>
      <c r="AR257" s="7">
        <v>0.72</v>
      </c>
      <c r="AS257" s="4" t="s">
        <v>303</v>
      </c>
      <c r="AT257" s="7">
        <v>0</v>
      </c>
      <c r="AU257" s="4" t="s">
        <v>459</v>
      </c>
      <c r="AV257" s="4" t="s">
        <v>305</v>
      </c>
      <c r="AW257" s="4" t="s">
        <v>292</v>
      </c>
    </row>
    <row r="258" spans="1:49" s="4" customFormat="1" x14ac:dyDescent="0.25">
      <c r="A258" s="4" t="s">
        <v>395</v>
      </c>
      <c r="B258" s="4" t="s">
        <v>293</v>
      </c>
      <c r="C258" s="4" t="s">
        <v>457</v>
      </c>
      <c r="D258" s="4" t="s">
        <v>458</v>
      </c>
      <c r="F258" s="4" t="s">
        <v>11239</v>
      </c>
      <c r="G258" s="4" t="s">
        <v>11240</v>
      </c>
      <c r="I258" s="4" t="s">
        <v>292</v>
      </c>
      <c r="J258" s="4" t="s">
        <v>297</v>
      </c>
      <c r="K258" s="4" t="s">
        <v>298</v>
      </c>
      <c r="L258" s="4" t="s">
        <v>299</v>
      </c>
      <c r="M258" s="4" t="s">
        <v>300</v>
      </c>
      <c r="N258" s="4" t="s">
        <v>11241</v>
      </c>
      <c r="O258" s="5">
        <v>28.064</v>
      </c>
      <c r="P258" s="6">
        <v>1</v>
      </c>
      <c r="Q258" s="7">
        <v>0</v>
      </c>
      <c r="R258" s="7">
        <v>12</v>
      </c>
      <c r="S258" s="4" t="s">
        <v>301</v>
      </c>
      <c r="T258" s="4" t="s">
        <v>302</v>
      </c>
      <c r="U258" s="5">
        <v>31.890999999999998</v>
      </c>
      <c r="V258" s="6">
        <v>1</v>
      </c>
      <c r="W258" s="7">
        <v>4</v>
      </c>
      <c r="X258" s="5">
        <v>38.640999999999998</v>
      </c>
      <c r="Y258" s="4" t="s">
        <v>292</v>
      </c>
      <c r="Z258" s="6">
        <v>1</v>
      </c>
      <c r="AA258" s="6">
        <v>0.76242900000000002</v>
      </c>
      <c r="AB258" s="5">
        <v>38.640999999999998</v>
      </c>
      <c r="AC258" s="6">
        <v>1</v>
      </c>
      <c r="AD258" s="6">
        <v>0.76242900000000002</v>
      </c>
      <c r="AE258" s="5">
        <v>38.640999999999998</v>
      </c>
      <c r="AF258" s="5">
        <v>38.640999999999998</v>
      </c>
      <c r="AG258" s="7">
        <v>12</v>
      </c>
      <c r="AH258" s="7">
        <v>0</v>
      </c>
      <c r="AI258" s="7">
        <v>17</v>
      </c>
      <c r="AJ258" s="7">
        <v>0</v>
      </c>
      <c r="AK258" s="8">
        <v>44115.006886574076</v>
      </c>
      <c r="AL258" s="7">
        <v>3.19</v>
      </c>
      <c r="AM258" s="7">
        <v>100</v>
      </c>
      <c r="AN258" s="7">
        <v>0</v>
      </c>
      <c r="AO258" s="7">
        <v>3.83</v>
      </c>
      <c r="AP258" s="7">
        <v>0</v>
      </c>
      <c r="AQ258" s="7">
        <v>5.14</v>
      </c>
      <c r="AR258" s="7">
        <v>1.61</v>
      </c>
      <c r="AS258" s="4" t="s">
        <v>303</v>
      </c>
      <c r="AT258" s="7">
        <v>0</v>
      </c>
      <c r="AU258" s="4" t="s">
        <v>459</v>
      </c>
      <c r="AV258" s="4" t="s">
        <v>305</v>
      </c>
    </row>
    <row r="259" spans="1:49" s="4" customFormat="1" x14ac:dyDescent="0.25">
      <c r="A259" s="4" t="s">
        <v>395</v>
      </c>
      <c r="B259" s="4" t="s">
        <v>293</v>
      </c>
      <c r="C259" s="4" t="s">
        <v>457</v>
      </c>
      <c r="D259" s="4" t="s">
        <v>458</v>
      </c>
      <c r="F259" s="4" t="s">
        <v>11462</v>
      </c>
      <c r="G259" s="4" t="s">
        <v>11463</v>
      </c>
      <c r="I259" s="4" t="s">
        <v>296</v>
      </c>
      <c r="J259" s="4" t="s">
        <v>297</v>
      </c>
      <c r="K259" s="4" t="s">
        <v>298</v>
      </c>
      <c r="L259" s="4" t="s">
        <v>299</v>
      </c>
      <c r="M259" s="4" t="s">
        <v>300</v>
      </c>
      <c r="N259" s="4" t="s">
        <v>447</v>
      </c>
      <c r="O259" s="5">
        <v>60.753999999999998</v>
      </c>
      <c r="P259" s="6">
        <v>1</v>
      </c>
      <c r="Q259" s="7">
        <v>9.25</v>
      </c>
      <c r="R259" s="7">
        <v>7</v>
      </c>
      <c r="S259" s="4" t="s">
        <v>301</v>
      </c>
      <c r="T259" s="4" t="s">
        <v>302</v>
      </c>
      <c r="U259" s="5">
        <v>72.542000000000002</v>
      </c>
      <c r="V259" s="6">
        <v>0.45</v>
      </c>
      <c r="W259" s="7">
        <v>4</v>
      </c>
      <c r="X259" s="5">
        <v>38.223999999999997</v>
      </c>
      <c r="Y259" s="4" t="s">
        <v>292</v>
      </c>
      <c r="Z259" s="6">
        <v>1</v>
      </c>
      <c r="AA259" s="6">
        <v>0.75303500000000001</v>
      </c>
      <c r="AB259" s="5">
        <v>38.223999999999997</v>
      </c>
      <c r="AC259" s="6">
        <v>1</v>
      </c>
      <c r="AD259" s="6">
        <v>0.75303500000000001</v>
      </c>
      <c r="AE259" s="5">
        <v>38.223999999999997</v>
      </c>
      <c r="AF259" s="7">
        <v>10</v>
      </c>
      <c r="AG259" s="7">
        <v>7</v>
      </c>
      <c r="AH259" s="7">
        <v>9.25</v>
      </c>
      <c r="AI259" s="7">
        <v>17</v>
      </c>
      <c r="AJ259" s="7">
        <v>0</v>
      </c>
      <c r="AK259" s="8">
        <v>44115.512407407405</v>
      </c>
      <c r="AL259" s="7">
        <v>3.26</v>
      </c>
      <c r="AM259" s="7">
        <v>100</v>
      </c>
      <c r="AN259" s="7">
        <v>0</v>
      </c>
      <c r="AO259" s="7">
        <v>2.2799999999999998</v>
      </c>
      <c r="AP259" s="7">
        <v>3.02</v>
      </c>
      <c r="AQ259" s="7">
        <v>6.89</v>
      </c>
      <c r="AR259" s="7">
        <v>1.71</v>
      </c>
      <c r="AS259" s="4" t="s">
        <v>303</v>
      </c>
      <c r="AT259" s="7">
        <v>0</v>
      </c>
      <c r="AU259" s="4" t="s">
        <v>459</v>
      </c>
      <c r="AV259" s="4" t="s">
        <v>305</v>
      </c>
      <c r="AW259" s="4" t="s">
        <v>292</v>
      </c>
    </row>
    <row r="260" spans="1:49" s="4" customFormat="1" x14ac:dyDescent="0.25">
      <c r="A260" s="4" t="s">
        <v>11200</v>
      </c>
      <c r="B260" s="4" t="s">
        <v>293</v>
      </c>
      <c r="C260" s="4" t="s">
        <v>457</v>
      </c>
      <c r="D260" s="4" t="s">
        <v>458</v>
      </c>
      <c r="F260" s="4" t="s">
        <v>11462</v>
      </c>
      <c r="G260" s="4" t="s">
        <v>11463</v>
      </c>
      <c r="I260" s="4" t="s">
        <v>296</v>
      </c>
      <c r="J260" s="4" t="s">
        <v>297</v>
      </c>
      <c r="K260" s="4" t="s">
        <v>298</v>
      </c>
      <c r="L260" s="4" t="s">
        <v>299</v>
      </c>
      <c r="M260" s="4" t="s">
        <v>300</v>
      </c>
      <c r="N260" s="4" t="s">
        <v>11198</v>
      </c>
      <c r="O260" s="5">
        <v>60.753999999999998</v>
      </c>
      <c r="P260" s="6">
        <v>1</v>
      </c>
      <c r="Q260" s="7">
        <v>9.25</v>
      </c>
      <c r="R260" s="7">
        <v>18</v>
      </c>
      <c r="S260" s="4" t="s">
        <v>301</v>
      </c>
      <c r="T260" s="4" t="s">
        <v>302</v>
      </c>
      <c r="U260" s="5">
        <v>83.510999999999996</v>
      </c>
      <c r="V260" s="6">
        <v>0.45</v>
      </c>
      <c r="W260" s="7">
        <v>1.5</v>
      </c>
      <c r="X260" s="5">
        <v>27.95</v>
      </c>
      <c r="Y260" s="4" t="s">
        <v>292</v>
      </c>
      <c r="Z260" s="6">
        <v>1</v>
      </c>
      <c r="AA260" s="6">
        <v>1</v>
      </c>
      <c r="AB260" s="5">
        <v>27.95</v>
      </c>
      <c r="AC260" s="6">
        <v>1</v>
      </c>
      <c r="AD260" s="6">
        <v>1</v>
      </c>
      <c r="AE260" s="5">
        <v>27.95</v>
      </c>
      <c r="AF260" s="7">
        <v>10</v>
      </c>
      <c r="AG260" s="7">
        <v>18</v>
      </c>
      <c r="AH260" s="7">
        <v>9.25</v>
      </c>
      <c r="AI260" s="7">
        <v>0</v>
      </c>
      <c r="AJ260" s="7">
        <v>0</v>
      </c>
      <c r="AK260" s="8">
        <v>44115.505509259259</v>
      </c>
      <c r="AL260" s="7">
        <v>3.76</v>
      </c>
      <c r="AM260" s="7">
        <v>100</v>
      </c>
      <c r="AN260" s="7">
        <v>0</v>
      </c>
      <c r="AO260" s="7">
        <v>6.77</v>
      </c>
      <c r="AP260" s="7">
        <v>3.48</v>
      </c>
      <c r="AQ260" s="7">
        <v>0</v>
      </c>
      <c r="AR260" s="7">
        <v>0.62</v>
      </c>
      <c r="AS260" s="4" t="s">
        <v>303</v>
      </c>
      <c r="AT260" s="7">
        <v>0</v>
      </c>
      <c r="AU260" s="4" t="s">
        <v>459</v>
      </c>
      <c r="AV260" s="4" t="s">
        <v>305</v>
      </c>
      <c r="AW260" s="4" t="s">
        <v>292</v>
      </c>
    </row>
    <row r="261" spans="1:49" s="4" customFormat="1" x14ac:dyDescent="0.25">
      <c r="A261" s="4" t="s">
        <v>11207</v>
      </c>
      <c r="B261" s="4" t="s">
        <v>293</v>
      </c>
      <c r="C261" s="4" t="s">
        <v>457</v>
      </c>
      <c r="D261" s="4" t="s">
        <v>458</v>
      </c>
      <c r="F261" s="4" t="s">
        <v>11236</v>
      </c>
      <c r="G261" s="4" t="s">
        <v>11237</v>
      </c>
      <c r="I261" s="4" t="s">
        <v>296</v>
      </c>
      <c r="J261" s="4" t="s">
        <v>297</v>
      </c>
      <c r="K261" s="4" t="s">
        <v>298</v>
      </c>
      <c r="L261" s="4" t="s">
        <v>299</v>
      </c>
      <c r="M261" s="4" t="s">
        <v>300</v>
      </c>
      <c r="N261" s="4" t="s">
        <v>11238</v>
      </c>
      <c r="O261" s="5">
        <v>27.95</v>
      </c>
      <c r="P261" s="6">
        <v>1</v>
      </c>
      <c r="Q261" s="7">
        <v>9.25</v>
      </c>
      <c r="R261" s="7">
        <v>7</v>
      </c>
      <c r="S261" s="4" t="s">
        <v>301</v>
      </c>
      <c r="T261" s="4" t="s">
        <v>302</v>
      </c>
      <c r="U261" s="5">
        <v>33.372999999999998</v>
      </c>
      <c r="V261" s="6">
        <v>0.25</v>
      </c>
      <c r="W261" s="7">
        <v>3</v>
      </c>
      <c r="X261" s="5">
        <v>11.223000000000001</v>
      </c>
      <c r="Y261" s="4" t="s">
        <v>292</v>
      </c>
      <c r="Z261" s="6">
        <v>4</v>
      </c>
      <c r="AA261" s="6">
        <v>1</v>
      </c>
      <c r="AB261" s="5">
        <v>44.892000000000003</v>
      </c>
      <c r="AC261" s="6">
        <v>1</v>
      </c>
      <c r="AD261" s="6">
        <v>1</v>
      </c>
      <c r="AE261" s="5">
        <v>44.892000000000003</v>
      </c>
      <c r="AF261" s="5">
        <v>44.892000000000003</v>
      </c>
      <c r="AG261" s="7">
        <v>7</v>
      </c>
      <c r="AH261" s="7">
        <v>0</v>
      </c>
      <c r="AI261" s="7">
        <v>17</v>
      </c>
      <c r="AJ261" s="7">
        <v>0</v>
      </c>
      <c r="AK261" s="8">
        <v>44115.52888888889</v>
      </c>
      <c r="AL261" s="7">
        <v>0.83</v>
      </c>
      <c r="AM261" s="7">
        <v>100</v>
      </c>
      <c r="AN261" s="7">
        <v>0</v>
      </c>
      <c r="AO261" s="7">
        <v>0.57999999999999996</v>
      </c>
      <c r="AP261" s="7">
        <v>0</v>
      </c>
      <c r="AQ261" s="7">
        <v>1.72</v>
      </c>
      <c r="AR261" s="7">
        <v>0.33</v>
      </c>
      <c r="AS261" s="4" t="s">
        <v>303</v>
      </c>
      <c r="AT261" s="7">
        <v>0</v>
      </c>
      <c r="AU261" s="4" t="s">
        <v>459</v>
      </c>
      <c r="AV261" s="4" t="s">
        <v>305</v>
      </c>
    </row>
    <row r="262" spans="1:49" s="4" customFormat="1" x14ac:dyDescent="0.25">
      <c r="A262" s="4" t="s">
        <v>11201</v>
      </c>
      <c r="B262" s="4" t="s">
        <v>293</v>
      </c>
      <c r="C262" s="4" t="s">
        <v>460</v>
      </c>
      <c r="D262" s="4" t="s">
        <v>461</v>
      </c>
      <c r="F262" s="4" t="s">
        <v>11462</v>
      </c>
      <c r="G262" s="4" t="s">
        <v>11463</v>
      </c>
      <c r="I262" s="4" t="s">
        <v>296</v>
      </c>
      <c r="J262" s="4" t="s">
        <v>297</v>
      </c>
      <c r="K262" s="4" t="s">
        <v>298</v>
      </c>
      <c r="L262" s="4" t="s">
        <v>299</v>
      </c>
      <c r="M262" s="4" t="s">
        <v>300</v>
      </c>
      <c r="N262" s="4" t="s">
        <v>11198</v>
      </c>
      <c r="O262" s="5">
        <v>61.247999999999998</v>
      </c>
      <c r="P262" s="6">
        <v>1</v>
      </c>
      <c r="Q262" s="7">
        <v>9.25</v>
      </c>
      <c r="R262" s="7">
        <v>12</v>
      </c>
      <c r="S262" s="4" t="s">
        <v>301</v>
      </c>
      <c r="T262" s="4" t="s">
        <v>302</v>
      </c>
      <c r="U262" s="5">
        <v>77.775000000000006</v>
      </c>
      <c r="V262" s="6">
        <v>0.45</v>
      </c>
      <c r="W262" s="7">
        <v>1.5</v>
      </c>
      <c r="X262" s="5">
        <v>28.138999999999999</v>
      </c>
      <c r="Y262" s="4" t="s">
        <v>292</v>
      </c>
      <c r="Z262" s="6">
        <v>1</v>
      </c>
      <c r="AA262" s="6">
        <v>1</v>
      </c>
      <c r="AB262" s="5">
        <v>28.138999999999999</v>
      </c>
      <c r="AC262" s="6">
        <v>1</v>
      </c>
      <c r="AD262" s="6">
        <v>1</v>
      </c>
      <c r="AE262" s="5">
        <v>28.138999999999999</v>
      </c>
      <c r="AF262" s="7">
        <v>10</v>
      </c>
      <c r="AG262" s="7">
        <v>12</v>
      </c>
      <c r="AH262" s="7">
        <v>9.25</v>
      </c>
      <c r="AI262" s="7">
        <v>0</v>
      </c>
      <c r="AJ262" s="7">
        <v>0</v>
      </c>
      <c r="AK262" s="8">
        <v>44115.510011574072</v>
      </c>
      <c r="AL262" s="7">
        <v>3.5</v>
      </c>
      <c r="AM262" s="7">
        <v>100</v>
      </c>
      <c r="AN262" s="7">
        <v>0</v>
      </c>
      <c r="AO262" s="7">
        <v>4.2</v>
      </c>
      <c r="AP262" s="7">
        <v>3.24</v>
      </c>
      <c r="AQ262" s="7">
        <v>0</v>
      </c>
      <c r="AR262" s="7">
        <v>0.57999999999999996</v>
      </c>
      <c r="AS262" s="4" t="s">
        <v>303</v>
      </c>
      <c r="AT262" s="7">
        <v>0</v>
      </c>
      <c r="AU262" s="4" t="s">
        <v>462</v>
      </c>
      <c r="AV262" s="4" t="s">
        <v>305</v>
      </c>
      <c r="AW262" s="4" t="s">
        <v>292</v>
      </c>
    </row>
    <row r="263" spans="1:49" s="4" customFormat="1" x14ac:dyDescent="0.25">
      <c r="A263" s="4" t="s">
        <v>11199</v>
      </c>
      <c r="B263" s="4" t="s">
        <v>293</v>
      </c>
      <c r="C263" s="4" t="s">
        <v>460</v>
      </c>
      <c r="D263" s="4" t="s">
        <v>461</v>
      </c>
      <c r="F263" s="4" t="s">
        <v>11462</v>
      </c>
      <c r="G263" s="4" t="s">
        <v>11463</v>
      </c>
      <c r="I263" s="4" t="s">
        <v>296</v>
      </c>
      <c r="J263" s="4" t="s">
        <v>297</v>
      </c>
      <c r="K263" s="4" t="s">
        <v>298</v>
      </c>
      <c r="L263" s="4" t="s">
        <v>299</v>
      </c>
      <c r="M263" s="4" t="s">
        <v>300</v>
      </c>
      <c r="N263" s="4" t="s">
        <v>11198</v>
      </c>
      <c r="O263" s="5">
        <v>61.247999999999998</v>
      </c>
      <c r="P263" s="6">
        <v>1</v>
      </c>
      <c r="Q263" s="7">
        <v>9.25</v>
      </c>
      <c r="R263" s="7">
        <v>7</v>
      </c>
      <c r="S263" s="4" t="s">
        <v>301</v>
      </c>
      <c r="T263" s="4" t="s">
        <v>302</v>
      </c>
      <c r="U263" s="5">
        <v>73.132000000000005</v>
      </c>
      <c r="V263" s="6">
        <v>0.45</v>
      </c>
      <c r="W263" s="7">
        <v>2</v>
      </c>
      <c r="X263" s="5">
        <v>28.289000000000001</v>
      </c>
      <c r="Y263" s="4" t="s">
        <v>292</v>
      </c>
      <c r="Z263" s="6">
        <v>1</v>
      </c>
      <c r="AA263" s="6">
        <v>1</v>
      </c>
      <c r="AB263" s="5">
        <v>28.289000000000001</v>
      </c>
      <c r="AC263" s="6">
        <v>1</v>
      </c>
      <c r="AD263" s="6">
        <v>1</v>
      </c>
      <c r="AE263" s="5">
        <v>28.289000000000001</v>
      </c>
      <c r="AF263" s="7">
        <v>10</v>
      </c>
      <c r="AG263" s="7">
        <v>7</v>
      </c>
      <c r="AH263" s="7">
        <v>9.25</v>
      </c>
      <c r="AI263" s="7">
        <v>0</v>
      </c>
      <c r="AJ263" s="7">
        <v>0</v>
      </c>
      <c r="AK263" s="8">
        <v>44115.512453703705</v>
      </c>
      <c r="AL263" s="7">
        <v>3.29</v>
      </c>
      <c r="AM263" s="7">
        <v>100</v>
      </c>
      <c r="AN263" s="7">
        <v>0</v>
      </c>
      <c r="AO263" s="7">
        <v>2.2999999999999998</v>
      </c>
      <c r="AP263" s="7">
        <v>3.04</v>
      </c>
      <c r="AQ263" s="7">
        <v>0</v>
      </c>
      <c r="AR263" s="7">
        <v>0.72</v>
      </c>
      <c r="AS263" s="4" t="s">
        <v>303</v>
      </c>
      <c r="AT263" s="7">
        <v>0</v>
      </c>
      <c r="AU263" s="4" t="s">
        <v>462</v>
      </c>
      <c r="AV263" s="4" t="s">
        <v>305</v>
      </c>
      <c r="AW263" s="4" t="s">
        <v>292</v>
      </c>
    </row>
    <row r="264" spans="1:49" s="4" customFormat="1" x14ac:dyDescent="0.25">
      <c r="A264" s="4" t="s">
        <v>395</v>
      </c>
      <c r="B264" s="4" t="s">
        <v>293</v>
      </c>
      <c r="C264" s="4" t="s">
        <v>460</v>
      </c>
      <c r="D264" s="4" t="s">
        <v>461</v>
      </c>
      <c r="F264" s="4" t="s">
        <v>11462</v>
      </c>
      <c r="G264" s="4" t="s">
        <v>11463</v>
      </c>
      <c r="I264" s="4" t="s">
        <v>296</v>
      </c>
      <c r="J264" s="4" t="s">
        <v>297</v>
      </c>
      <c r="K264" s="4" t="s">
        <v>298</v>
      </c>
      <c r="L264" s="4" t="s">
        <v>299</v>
      </c>
      <c r="M264" s="4" t="s">
        <v>300</v>
      </c>
      <c r="N264" s="4" t="s">
        <v>447</v>
      </c>
      <c r="O264" s="5">
        <v>61.247999999999998</v>
      </c>
      <c r="P264" s="6">
        <v>1</v>
      </c>
      <c r="Q264" s="7">
        <v>9.25</v>
      </c>
      <c r="R264" s="7">
        <v>7</v>
      </c>
      <c r="S264" s="4" t="s">
        <v>301</v>
      </c>
      <c r="T264" s="4" t="s">
        <v>302</v>
      </c>
      <c r="U264" s="5">
        <v>73.132000000000005</v>
      </c>
      <c r="V264" s="6">
        <v>0.45</v>
      </c>
      <c r="W264" s="7">
        <v>4</v>
      </c>
      <c r="X264" s="5">
        <v>38.548999999999999</v>
      </c>
      <c r="Y264" s="4" t="s">
        <v>292</v>
      </c>
      <c r="Z264" s="6">
        <v>1</v>
      </c>
      <c r="AA264" s="6">
        <v>0.75278199999999995</v>
      </c>
      <c r="AB264" s="5">
        <v>38.548999999999999</v>
      </c>
      <c r="AC264" s="6">
        <v>1</v>
      </c>
      <c r="AD264" s="6">
        <v>0.75278199999999995</v>
      </c>
      <c r="AE264" s="5">
        <v>38.548999999999999</v>
      </c>
      <c r="AF264" s="7">
        <v>10</v>
      </c>
      <c r="AG264" s="7">
        <v>7</v>
      </c>
      <c r="AH264" s="7">
        <v>9.25</v>
      </c>
      <c r="AI264" s="7">
        <v>17</v>
      </c>
      <c r="AJ264" s="7">
        <v>0</v>
      </c>
      <c r="AK264" s="8">
        <v>44115.512453703705</v>
      </c>
      <c r="AL264" s="7">
        <v>3.29</v>
      </c>
      <c r="AM264" s="7">
        <v>100</v>
      </c>
      <c r="AN264" s="7">
        <v>0</v>
      </c>
      <c r="AO264" s="7">
        <v>2.2999999999999998</v>
      </c>
      <c r="AP264" s="7">
        <v>3.04</v>
      </c>
      <c r="AQ264" s="7">
        <v>6.95</v>
      </c>
      <c r="AR264" s="7">
        <v>1.73</v>
      </c>
      <c r="AS264" s="4" t="s">
        <v>303</v>
      </c>
      <c r="AT264" s="7">
        <v>0</v>
      </c>
      <c r="AU264" s="4" t="s">
        <v>462</v>
      </c>
      <c r="AV264" s="4" t="s">
        <v>305</v>
      </c>
      <c r="AW264" s="4" t="s">
        <v>292</v>
      </c>
    </row>
    <row r="265" spans="1:49" s="4" customFormat="1" x14ac:dyDescent="0.25">
      <c r="A265" s="4" t="s">
        <v>11200</v>
      </c>
      <c r="B265" s="4" t="s">
        <v>293</v>
      </c>
      <c r="C265" s="4" t="s">
        <v>460</v>
      </c>
      <c r="D265" s="4" t="s">
        <v>461</v>
      </c>
      <c r="F265" s="4" t="s">
        <v>11462</v>
      </c>
      <c r="G265" s="4" t="s">
        <v>11463</v>
      </c>
      <c r="I265" s="4" t="s">
        <v>296</v>
      </c>
      <c r="J265" s="4" t="s">
        <v>297</v>
      </c>
      <c r="K265" s="4" t="s">
        <v>298</v>
      </c>
      <c r="L265" s="4" t="s">
        <v>299</v>
      </c>
      <c r="M265" s="4" t="s">
        <v>300</v>
      </c>
      <c r="N265" s="4" t="s">
        <v>11198</v>
      </c>
      <c r="O265" s="5">
        <v>61.247999999999998</v>
      </c>
      <c r="P265" s="6">
        <v>1</v>
      </c>
      <c r="Q265" s="7">
        <v>9.25</v>
      </c>
      <c r="R265" s="7">
        <v>18</v>
      </c>
      <c r="S265" s="4" t="s">
        <v>301</v>
      </c>
      <c r="T265" s="4" t="s">
        <v>302</v>
      </c>
      <c r="U265" s="5">
        <v>84.19</v>
      </c>
      <c r="V265" s="6">
        <v>0.45</v>
      </c>
      <c r="W265" s="7">
        <v>1.5</v>
      </c>
      <c r="X265" s="5">
        <v>28.186</v>
      </c>
      <c r="Y265" s="4" t="s">
        <v>292</v>
      </c>
      <c r="Z265" s="6">
        <v>1</v>
      </c>
      <c r="AA265" s="6">
        <v>1</v>
      </c>
      <c r="AB265" s="5">
        <v>28.186</v>
      </c>
      <c r="AC265" s="6">
        <v>1</v>
      </c>
      <c r="AD265" s="6">
        <v>1</v>
      </c>
      <c r="AE265" s="5">
        <v>28.186</v>
      </c>
      <c r="AF265" s="7">
        <v>10</v>
      </c>
      <c r="AG265" s="7">
        <v>18</v>
      </c>
      <c r="AH265" s="7">
        <v>9.25</v>
      </c>
      <c r="AI265" s="7">
        <v>0</v>
      </c>
      <c r="AJ265" s="7">
        <v>0</v>
      </c>
      <c r="AK265" s="8">
        <v>44115.505532407406</v>
      </c>
      <c r="AL265" s="7">
        <v>3.79</v>
      </c>
      <c r="AM265" s="7">
        <v>100</v>
      </c>
      <c r="AN265" s="7">
        <v>0</v>
      </c>
      <c r="AO265" s="7">
        <v>6.82</v>
      </c>
      <c r="AP265" s="7">
        <v>3.51</v>
      </c>
      <c r="AQ265" s="7">
        <v>0</v>
      </c>
      <c r="AR265" s="7">
        <v>0.63</v>
      </c>
      <c r="AS265" s="4" t="s">
        <v>303</v>
      </c>
      <c r="AT265" s="7">
        <v>0</v>
      </c>
      <c r="AU265" s="4" t="s">
        <v>462</v>
      </c>
      <c r="AV265" s="4" t="s">
        <v>305</v>
      </c>
      <c r="AW265" s="4" t="s">
        <v>292</v>
      </c>
    </row>
    <row r="266" spans="1:49" s="4" customFormat="1" x14ac:dyDescent="0.25">
      <c r="A266" s="4" t="s">
        <v>11207</v>
      </c>
      <c r="B266" s="4" t="s">
        <v>293</v>
      </c>
      <c r="C266" s="4" t="s">
        <v>460</v>
      </c>
      <c r="D266" s="4" t="s">
        <v>461</v>
      </c>
      <c r="F266" s="4" t="s">
        <v>11236</v>
      </c>
      <c r="G266" s="4" t="s">
        <v>11237</v>
      </c>
      <c r="I266" s="4" t="s">
        <v>296</v>
      </c>
      <c r="J266" s="4" t="s">
        <v>297</v>
      </c>
      <c r="K266" s="4" t="s">
        <v>298</v>
      </c>
      <c r="L266" s="4" t="s">
        <v>299</v>
      </c>
      <c r="M266" s="4" t="s">
        <v>300</v>
      </c>
      <c r="N266" s="4" t="s">
        <v>11238</v>
      </c>
      <c r="O266" s="5">
        <v>28.19</v>
      </c>
      <c r="P266" s="6">
        <v>1</v>
      </c>
      <c r="Q266" s="7">
        <v>9.25</v>
      </c>
      <c r="R266" s="7">
        <v>7</v>
      </c>
      <c r="S266" s="4" t="s">
        <v>301</v>
      </c>
      <c r="T266" s="4" t="s">
        <v>302</v>
      </c>
      <c r="U266" s="5">
        <v>33.659999999999997</v>
      </c>
      <c r="V266" s="6">
        <v>0.25</v>
      </c>
      <c r="W266" s="7">
        <v>3</v>
      </c>
      <c r="X266" s="5">
        <v>11.324999999999999</v>
      </c>
      <c r="Y266" s="4" t="s">
        <v>292</v>
      </c>
      <c r="Z266" s="6">
        <v>4</v>
      </c>
      <c r="AA266" s="6">
        <v>1</v>
      </c>
      <c r="AB266" s="5">
        <v>45.3</v>
      </c>
      <c r="AC266" s="6">
        <v>1</v>
      </c>
      <c r="AD266" s="6">
        <v>1</v>
      </c>
      <c r="AE266" s="5">
        <v>45.3</v>
      </c>
      <c r="AF266" s="5">
        <v>45.3</v>
      </c>
      <c r="AG266" s="7">
        <v>7</v>
      </c>
      <c r="AH266" s="7">
        <v>0</v>
      </c>
      <c r="AI266" s="7">
        <v>17</v>
      </c>
      <c r="AJ266" s="7">
        <v>0</v>
      </c>
      <c r="AK266" s="8">
        <v>44115.528900462959</v>
      </c>
      <c r="AL266" s="7">
        <v>0.84</v>
      </c>
      <c r="AM266" s="7">
        <v>100</v>
      </c>
      <c r="AN266" s="7">
        <v>0</v>
      </c>
      <c r="AO266" s="7">
        <v>0.59</v>
      </c>
      <c r="AP266" s="7">
        <v>0</v>
      </c>
      <c r="AQ266" s="7">
        <v>1.74</v>
      </c>
      <c r="AR266" s="7">
        <v>0.33</v>
      </c>
      <c r="AS266" s="4" t="s">
        <v>303</v>
      </c>
      <c r="AT266" s="7">
        <v>0</v>
      </c>
      <c r="AU266" s="4" t="s">
        <v>462</v>
      </c>
      <c r="AV266" s="4" t="s">
        <v>305</v>
      </c>
    </row>
    <row r="267" spans="1:49" s="4" customFormat="1" x14ac:dyDescent="0.25">
      <c r="A267" s="4" t="s">
        <v>11201</v>
      </c>
      <c r="B267" s="4" t="s">
        <v>293</v>
      </c>
      <c r="C267" s="4" t="s">
        <v>463</v>
      </c>
      <c r="D267" s="4" t="s">
        <v>464</v>
      </c>
      <c r="F267" s="4" t="s">
        <v>11462</v>
      </c>
      <c r="G267" s="4" t="s">
        <v>11463</v>
      </c>
      <c r="I267" s="4" t="s">
        <v>296</v>
      </c>
      <c r="J267" s="4" t="s">
        <v>297</v>
      </c>
      <c r="K267" s="4" t="s">
        <v>298</v>
      </c>
      <c r="L267" s="4" t="s">
        <v>299</v>
      </c>
      <c r="M267" s="4" t="s">
        <v>300</v>
      </c>
      <c r="N267" s="4" t="s">
        <v>11198</v>
      </c>
      <c r="O267" s="5">
        <v>75.287000000000006</v>
      </c>
      <c r="P267" s="6">
        <v>1</v>
      </c>
      <c r="Q267" s="7">
        <v>9.25</v>
      </c>
      <c r="R267" s="7">
        <v>12</v>
      </c>
      <c r="S267" s="4" t="s">
        <v>301</v>
      </c>
      <c r="T267" s="4" t="s">
        <v>302</v>
      </c>
      <c r="U267" s="5">
        <v>95.602999999999994</v>
      </c>
      <c r="V267" s="6">
        <v>0.45</v>
      </c>
      <c r="W267" s="7">
        <v>1.5</v>
      </c>
      <c r="X267" s="5">
        <v>34.591000000000001</v>
      </c>
      <c r="Y267" s="4" t="s">
        <v>292</v>
      </c>
      <c r="Z267" s="6">
        <v>1</v>
      </c>
      <c r="AA267" s="6">
        <v>1</v>
      </c>
      <c r="AB267" s="5">
        <v>34.591000000000001</v>
      </c>
      <c r="AC267" s="6">
        <v>1</v>
      </c>
      <c r="AD267" s="6">
        <v>1</v>
      </c>
      <c r="AE267" s="5">
        <v>34.591000000000001</v>
      </c>
      <c r="AF267" s="7">
        <v>10</v>
      </c>
      <c r="AG267" s="7">
        <v>12</v>
      </c>
      <c r="AH267" s="7">
        <v>9.25</v>
      </c>
      <c r="AI267" s="7">
        <v>0</v>
      </c>
      <c r="AJ267" s="7">
        <v>0</v>
      </c>
      <c r="AK267" s="8">
        <v>44115.512337962966</v>
      </c>
      <c r="AL267" s="7">
        <v>4.3</v>
      </c>
      <c r="AM267" s="7">
        <v>100</v>
      </c>
      <c r="AN267" s="7">
        <v>0</v>
      </c>
      <c r="AO267" s="7">
        <v>5.16</v>
      </c>
      <c r="AP267" s="7">
        <v>3.98</v>
      </c>
      <c r="AQ267" s="7">
        <v>0</v>
      </c>
      <c r="AR267" s="7">
        <v>0.71</v>
      </c>
      <c r="AS267" s="4" t="s">
        <v>303</v>
      </c>
      <c r="AT267" s="7">
        <v>0</v>
      </c>
      <c r="AU267" s="4" t="s">
        <v>465</v>
      </c>
      <c r="AV267" s="4" t="s">
        <v>305</v>
      </c>
      <c r="AW267" s="4" t="s">
        <v>292</v>
      </c>
    </row>
    <row r="268" spans="1:49" s="4" customFormat="1" x14ac:dyDescent="0.25">
      <c r="A268" s="4" t="s">
        <v>11199</v>
      </c>
      <c r="B268" s="4" t="s">
        <v>293</v>
      </c>
      <c r="C268" s="4" t="s">
        <v>463</v>
      </c>
      <c r="D268" s="4" t="s">
        <v>464</v>
      </c>
      <c r="F268" s="4" t="s">
        <v>11462</v>
      </c>
      <c r="G268" s="4" t="s">
        <v>11463</v>
      </c>
      <c r="I268" s="4" t="s">
        <v>296</v>
      </c>
      <c r="J268" s="4" t="s">
        <v>297</v>
      </c>
      <c r="K268" s="4" t="s">
        <v>298</v>
      </c>
      <c r="L268" s="4" t="s">
        <v>299</v>
      </c>
      <c r="M268" s="4" t="s">
        <v>300</v>
      </c>
      <c r="N268" s="4" t="s">
        <v>11198</v>
      </c>
      <c r="O268" s="5">
        <v>75.289000000000001</v>
      </c>
      <c r="P268" s="6">
        <v>1</v>
      </c>
      <c r="Q268" s="7">
        <v>9.25</v>
      </c>
      <c r="R268" s="7">
        <v>7</v>
      </c>
      <c r="S268" s="4" t="s">
        <v>301</v>
      </c>
      <c r="T268" s="4" t="s">
        <v>302</v>
      </c>
      <c r="U268" s="5">
        <v>89.897000000000006</v>
      </c>
      <c r="V268" s="6">
        <v>0.45</v>
      </c>
      <c r="W268" s="7">
        <v>2</v>
      </c>
      <c r="X268" s="5">
        <v>34.774000000000001</v>
      </c>
      <c r="Y268" s="4" t="s">
        <v>292</v>
      </c>
      <c r="Z268" s="6">
        <v>1</v>
      </c>
      <c r="AA268" s="6">
        <v>1</v>
      </c>
      <c r="AB268" s="5">
        <v>34.774000000000001</v>
      </c>
      <c r="AC268" s="6">
        <v>1</v>
      </c>
      <c r="AD268" s="6">
        <v>1</v>
      </c>
      <c r="AE268" s="5">
        <v>34.774000000000001</v>
      </c>
      <c r="AF268" s="7">
        <v>10</v>
      </c>
      <c r="AG268" s="7">
        <v>7</v>
      </c>
      <c r="AH268" s="7">
        <v>9.25</v>
      </c>
      <c r="AI268" s="7">
        <v>0</v>
      </c>
      <c r="AJ268" s="7">
        <v>0</v>
      </c>
      <c r="AK268" s="8">
        <v>44115.514849537038</v>
      </c>
      <c r="AL268" s="7">
        <v>4.05</v>
      </c>
      <c r="AM268" s="7">
        <v>100</v>
      </c>
      <c r="AN268" s="7">
        <v>0</v>
      </c>
      <c r="AO268" s="7">
        <v>2.83</v>
      </c>
      <c r="AP268" s="7">
        <v>3.74</v>
      </c>
      <c r="AQ268" s="7">
        <v>0</v>
      </c>
      <c r="AR268" s="7">
        <v>0.89</v>
      </c>
      <c r="AS268" s="4" t="s">
        <v>303</v>
      </c>
      <c r="AT268" s="7">
        <v>0</v>
      </c>
      <c r="AU268" s="4" t="s">
        <v>465</v>
      </c>
      <c r="AV268" s="4" t="s">
        <v>305</v>
      </c>
      <c r="AW268" s="4" t="s">
        <v>292</v>
      </c>
    </row>
    <row r="269" spans="1:49" s="4" customFormat="1" x14ac:dyDescent="0.25">
      <c r="A269" s="4" t="s">
        <v>395</v>
      </c>
      <c r="B269" s="4" t="s">
        <v>293</v>
      </c>
      <c r="C269" s="4" t="s">
        <v>463</v>
      </c>
      <c r="D269" s="4" t="s">
        <v>464</v>
      </c>
      <c r="F269" s="4" t="s">
        <v>11462</v>
      </c>
      <c r="G269" s="4" t="s">
        <v>11463</v>
      </c>
      <c r="I269" s="4" t="s">
        <v>296</v>
      </c>
      <c r="J269" s="4" t="s">
        <v>297</v>
      </c>
      <c r="K269" s="4" t="s">
        <v>298</v>
      </c>
      <c r="L269" s="4" t="s">
        <v>299</v>
      </c>
      <c r="M269" s="4" t="s">
        <v>300</v>
      </c>
      <c r="N269" s="4" t="s">
        <v>447</v>
      </c>
      <c r="O269" s="5">
        <v>75.289000000000001</v>
      </c>
      <c r="P269" s="6">
        <v>1</v>
      </c>
      <c r="Q269" s="7">
        <v>9.25</v>
      </c>
      <c r="R269" s="7">
        <v>7</v>
      </c>
      <c r="S269" s="4" t="s">
        <v>301</v>
      </c>
      <c r="T269" s="4" t="s">
        <v>302</v>
      </c>
      <c r="U269" s="5">
        <v>89.897000000000006</v>
      </c>
      <c r="V269" s="6">
        <v>0.45</v>
      </c>
      <c r="W269" s="7">
        <v>4</v>
      </c>
      <c r="X269" s="5">
        <v>47.374000000000002</v>
      </c>
      <c r="Y269" s="4" t="s">
        <v>292</v>
      </c>
      <c r="Z269" s="6">
        <v>1</v>
      </c>
      <c r="AA269" s="6">
        <v>0.75281799999999999</v>
      </c>
      <c r="AB269" s="5">
        <v>47.374000000000002</v>
      </c>
      <c r="AC269" s="6">
        <v>1</v>
      </c>
      <c r="AD269" s="6">
        <v>0.75281799999999999</v>
      </c>
      <c r="AE269" s="5">
        <v>47.374000000000002</v>
      </c>
      <c r="AF269" s="7">
        <v>10</v>
      </c>
      <c r="AG269" s="7">
        <v>7</v>
      </c>
      <c r="AH269" s="7">
        <v>9.25</v>
      </c>
      <c r="AI269" s="7">
        <v>17</v>
      </c>
      <c r="AJ269" s="7">
        <v>0</v>
      </c>
      <c r="AK269" s="8">
        <v>44115.514872685184</v>
      </c>
      <c r="AL269" s="7">
        <v>4.05</v>
      </c>
      <c r="AM269" s="7">
        <v>100</v>
      </c>
      <c r="AN269" s="7">
        <v>0</v>
      </c>
      <c r="AO269" s="7">
        <v>2.83</v>
      </c>
      <c r="AP269" s="7">
        <v>3.74</v>
      </c>
      <c r="AQ269" s="7">
        <v>8.5399999999999991</v>
      </c>
      <c r="AR269" s="7">
        <v>2.12</v>
      </c>
      <c r="AS269" s="4" t="s">
        <v>303</v>
      </c>
      <c r="AT269" s="7">
        <v>0</v>
      </c>
      <c r="AU269" s="4" t="s">
        <v>465</v>
      </c>
      <c r="AV269" s="4" t="s">
        <v>305</v>
      </c>
      <c r="AW269" s="4" t="s">
        <v>292</v>
      </c>
    </row>
    <row r="270" spans="1:49" s="4" customFormat="1" x14ac:dyDescent="0.25">
      <c r="A270" s="4" t="s">
        <v>11200</v>
      </c>
      <c r="B270" s="4" t="s">
        <v>293</v>
      </c>
      <c r="C270" s="4" t="s">
        <v>463</v>
      </c>
      <c r="D270" s="4" t="s">
        <v>464</v>
      </c>
      <c r="F270" s="4" t="s">
        <v>11462</v>
      </c>
      <c r="G270" s="4" t="s">
        <v>11463</v>
      </c>
      <c r="I270" s="4" t="s">
        <v>296</v>
      </c>
      <c r="J270" s="4" t="s">
        <v>297</v>
      </c>
      <c r="K270" s="4" t="s">
        <v>298</v>
      </c>
      <c r="L270" s="4" t="s">
        <v>299</v>
      </c>
      <c r="M270" s="4" t="s">
        <v>300</v>
      </c>
      <c r="N270" s="4" t="s">
        <v>11198</v>
      </c>
      <c r="O270" s="5">
        <v>75.289000000000001</v>
      </c>
      <c r="P270" s="6">
        <v>1</v>
      </c>
      <c r="Q270" s="7">
        <v>9.25</v>
      </c>
      <c r="R270" s="7">
        <v>18</v>
      </c>
      <c r="S270" s="4" t="s">
        <v>301</v>
      </c>
      <c r="T270" s="4" t="s">
        <v>302</v>
      </c>
      <c r="U270" s="5">
        <v>103.49</v>
      </c>
      <c r="V270" s="6">
        <v>0.45</v>
      </c>
      <c r="W270" s="7">
        <v>1.5</v>
      </c>
      <c r="X270" s="5">
        <v>34.651000000000003</v>
      </c>
      <c r="Y270" s="4" t="s">
        <v>292</v>
      </c>
      <c r="Z270" s="6">
        <v>1</v>
      </c>
      <c r="AA270" s="6">
        <v>1</v>
      </c>
      <c r="AB270" s="5">
        <v>34.651000000000003</v>
      </c>
      <c r="AC270" s="6">
        <v>1</v>
      </c>
      <c r="AD270" s="6">
        <v>1</v>
      </c>
      <c r="AE270" s="5">
        <v>34.651000000000003</v>
      </c>
      <c r="AF270" s="7">
        <v>10</v>
      </c>
      <c r="AG270" s="7">
        <v>18</v>
      </c>
      <c r="AH270" s="7">
        <v>9.25</v>
      </c>
      <c r="AI270" s="7">
        <v>0</v>
      </c>
      <c r="AJ270" s="7">
        <v>0</v>
      </c>
      <c r="AK270" s="8">
        <v>44115.506516203706</v>
      </c>
      <c r="AL270" s="7">
        <v>4.66</v>
      </c>
      <c r="AM270" s="7">
        <v>100</v>
      </c>
      <c r="AN270" s="7">
        <v>0</v>
      </c>
      <c r="AO270" s="7">
        <v>8.3800000000000008</v>
      </c>
      <c r="AP270" s="7">
        <v>4.3099999999999996</v>
      </c>
      <c r="AQ270" s="7">
        <v>0</v>
      </c>
      <c r="AR270" s="7">
        <v>0.77</v>
      </c>
      <c r="AS270" s="4" t="s">
        <v>303</v>
      </c>
      <c r="AT270" s="7">
        <v>0</v>
      </c>
      <c r="AU270" s="4" t="s">
        <v>465</v>
      </c>
      <c r="AV270" s="4" t="s">
        <v>305</v>
      </c>
      <c r="AW270" s="4" t="s">
        <v>292</v>
      </c>
    </row>
    <row r="271" spans="1:49" s="4" customFormat="1" x14ac:dyDescent="0.25">
      <c r="A271" s="4" t="s">
        <v>11207</v>
      </c>
      <c r="B271" s="4" t="s">
        <v>293</v>
      </c>
      <c r="C271" s="4" t="s">
        <v>463</v>
      </c>
      <c r="D271" s="4" t="s">
        <v>464</v>
      </c>
      <c r="F271" s="4" t="s">
        <v>11236</v>
      </c>
      <c r="G271" s="4" t="s">
        <v>11237</v>
      </c>
      <c r="I271" s="4" t="s">
        <v>296</v>
      </c>
      <c r="J271" s="4" t="s">
        <v>297</v>
      </c>
      <c r="K271" s="4" t="s">
        <v>298</v>
      </c>
      <c r="L271" s="4" t="s">
        <v>299</v>
      </c>
      <c r="M271" s="4" t="s">
        <v>300</v>
      </c>
      <c r="N271" s="4" t="s">
        <v>11238</v>
      </c>
      <c r="O271" s="5">
        <v>34.65</v>
      </c>
      <c r="P271" s="6">
        <v>1</v>
      </c>
      <c r="Q271" s="7">
        <v>9.25</v>
      </c>
      <c r="R271" s="7">
        <v>7</v>
      </c>
      <c r="S271" s="4" t="s">
        <v>301</v>
      </c>
      <c r="T271" s="4" t="s">
        <v>302</v>
      </c>
      <c r="U271" s="5">
        <v>41.372999999999998</v>
      </c>
      <c r="V271" s="6">
        <v>0.25</v>
      </c>
      <c r="W271" s="7">
        <v>3</v>
      </c>
      <c r="X271" s="5">
        <v>13.923</v>
      </c>
      <c r="Y271" s="4" t="s">
        <v>292</v>
      </c>
      <c r="Z271" s="6">
        <v>4</v>
      </c>
      <c r="AA271" s="6">
        <v>1</v>
      </c>
      <c r="AB271" s="5">
        <v>55.692</v>
      </c>
      <c r="AC271" s="6">
        <v>1</v>
      </c>
      <c r="AD271" s="6">
        <v>1</v>
      </c>
      <c r="AE271" s="5">
        <v>55.692</v>
      </c>
      <c r="AF271" s="5">
        <v>55.692</v>
      </c>
      <c r="AG271" s="7">
        <v>7</v>
      </c>
      <c r="AH271" s="7">
        <v>0</v>
      </c>
      <c r="AI271" s="7">
        <v>17</v>
      </c>
      <c r="AJ271" s="7">
        <v>0</v>
      </c>
      <c r="AK271" s="8">
        <v>44115.530428240738</v>
      </c>
      <c r="AL271" s="7">
        <v>1.03</v>
      </c>
      <c r="AM271" s="7">
        <v>100</v>
      </c>
      <c r="AN271" s="7">
        <v>0</v>
      </c>
      <c r="AO271" s="7">
        <v>0.72</v>
      </c>
      <c r="AP271" s="7">
        <v>0</v>
      </c>
      <c r="AQ271" s="7">
        <v>2.14</v>
      </c>
      <c r="AR271" s="7">
        <v>0.41</v>
      </c>
      <c r="AS271" s="4" t="s">
        <v>303</v>
      </c>
      <c r="AT271" s="7">
        <v>0</v>
      </c>
      <c r="AU271" s="4" t="s">
        <v>465</v>
      </c>
      <c r="AV271" s="4" t="s">
        <v>305</v>
      </c>
    </row>
    <row r="272" spans="1:49" s="4" customFormat="1" x14ac:dyDescent="0.25">
      <c r="A272" s="4" t="s">
        <v>11201</v>
      </c>
      <c r="B272" s="4" t="s">
        <v>293</v>
      </c>
      <c r="C272" s="4" t="s">
        <v>466</v>
      </c>
      <c r="D272" s="4" t="s">
        <v>467</v>
      </c>
      <c r="F272" s="4" t="s">
        <v>11462</v>
      </c>
      <c r="G272" s="4" t="s">
        <v>11463</v>
      </c>
      <c r="I272" s="4" t="s">
        <v>296</v>
      </c>
      <c r="J272" s="4" t="s">
        <v>297</v>
      </c>
      <c r="K272" s="4" t="s">
        <v>298</v>
      </c>
      <c r="L272" s="4" t="s">
        <v>299</v>
      </c>
      <c r="M272" s="4" t="s">
        <v>300</v>
      </c>
      <c r="N272" s="4" t="s">
        <v>11198</v>
      </c>
      <c r="O272" s="5">
        <v>78.105999999999995</v>
      </c>
      <c r="P272" s="6">
        <v>1</v>
      </c>
      <c r="Q272" s="7">
        <v>9.25</v>
      </c>
      <c r="R272" s="7">
        <v>12</v>
      </c>
      <c r="S272" s="4" t="s">
        <v>301</v>
      </c>
      <c r="T272" s="4" t="s">
        <v>302</v>
      </c>
      <c r="U272" s="5">
        <v>99.182000000000002</v>
      </c>
      <c r="V272" s="6">
        <v>0.45</v>
      </c>
      <c r="W272" s="7">
        <v>1.5</v>
      </c>
      <c r="X272" s="5">
        <v>35.881999999999998</v>
      </c>
      <c r="Y272" s="4" t="s">
        <v>292</v>
      </c>
      <c r="Z272" s="6">
        <v>1</v>
      </c>
      <c r="AA272" s="6">
        <v>1</v>
      </c>
      <c r="AB272" s="5">
        <v>35.881999999999998</v>
      </c>
      <c r="AC272" s="6">
        <v>1</v>
      </c>
      <c r="AD272" s="6">
        <v>1</v>
      </c>
      <c r="AE272" s="5">
        <v>35.881999999999998</v>
      </c>
      <c r="AF272" s="7">
        <v>10</v>
      </c>
      <c r="AG272" s="7">
        <v>12</v>
      </c>
      <c r="AH272" s="7">
        <v>9.25</v>
      </c>
      <c r="AI272" s="7">
        <v>0</v>
      </c>
      <c r="AJ272" s="7">
        <v>0</v>
      </c>
      <c r="AK272" s="8">
        <v>44115.512349537035</v>
      </c>
      <c r="AL272" s="7">
        <v>4.46</v>
      </c>
      <c r="AM272" s="7">
        <v>100</v>
      </c>
      <c r="AN272" s="7">
        <v>0</v>
      </c>
      <c r="AO272" s="7">
        <v>5.36</v>
      </c>
      <c r="AP272" s="7">
        <v>4.13</v>
      </c>
      <c r="AQ272" s="7">
        <v>0</v>
      </c>
      <c r="AR272" s="7">
        <v>0.74</v>
      </c>
      <c r="AS272" s="4" t="s">
        <v>303</v>
      </c>
      <c r="AT272" s="7">
        <v>0</v>
      </c>
      <c r="AU272" s="4" t="s">
        <v>468</v>
      </c>
      <c r="AV272" s="4" t="s">
        <v>305</v>
      </c>
      <c r="AW272" s="4" t="s">
        <v>292</v>
      </c>
    </row>
    <row r="273" spans="1:49" s="4" customFormat="1" x14ac:dyDescent="0.25">
      <c r="A273" s="4" t="s">
        <v>11199</v>
      </c>
      <c r="B273" s="4" t="s">
        <v>293</v>
      </c>
      <c r="C273" s="4" t="s">
        <v>466</v>
      </c>
      <c r="D273" s="4" t="s">
        <v>467</v>
      </c>
      <c r="F273" s="4" t="s">
        <v>11462</v>
      </c>
      <c r="G273" s="4" t="s">
        <v>11463</v>
      </c>
      <c r="I273" s="4" t="s">
        <v>296</v>
      </c>
      <c r="J273" s="4" t="s">
        <v>297</v>
      </c>
      <c r="K273" s="4" t="s">
        <v>298</v>
      </c>
      <c r="L273" s="4" t="s">
        <v>299</v>
      </c>
      <c r="M273" s="4" t="s">
        <v>300</v>
      </c>
      <c r="N273" s="4" t="s">
        <v>11198</v>
      </c>
      <c r="O273" s="5">
        <v>78.103999999999999</v>
      </c>
      <c r="P273" s="6">
        <v>1</v>
      </c>
      <c r="Q273" s="7">
        <v>9.25</v>
      </c>
      <c r="R273" s="7">
        <v>7</v>
      </c>
      <c r="S273" s="4" t="s">
        <v>301</v>
      </c>
      <c r="T273" s="4" t="s">
        <v>302</v>
      </c>
      <c r="U273" s="5">
        <v>93.259</v>
      </c>
      <c r="V273" s="6">
        <v>0.45</v>
      </c>
      <c r="W273" s="7">
        <v>2</v>
      </c>
      <c r="X273" s="5">
        <v>36.067</v>
      </c>
      <c r="Y273" s="4" t="s">
        <v>292</v>
      </c>
      <c r="Z273" s="6">
        <v>1</v>
      </c>
      <c r="AA273" s="6">
        <v>1</v>
      </c>
      <c r="AB273" s="5">
        <v>36.067</v>
      </c>
      <c r="AC273" s="6">
        <v>1</v>
      </c>
      <c r="AD273" s="6">
        <v>1</v>
      </c>
      <c r="AE273" s="5">
        <v>36.067</v>
      </c>
      <c r="AF273" s="7">
        <v>10</v>
      </c>
      <c r="AG273" s="7">
        <v>7</v>
      </c>
      <c r="AH273" s="7">
        <v>9.25</v>
      </c>
      <c r="AI273" s="7">
        <v>0</v>
      </c>
      <c r="AJ273" s="7">
        <v>0</v>
      </c>
      <c r="AK273" s="8">
        <v>44115.514872685184</v>
      </c>
      <c r="AL273" s="7">
        <v>4.2</v>
      </c>
      <c r="AM273" s="7">
        <v>100</v>
      </c>
      <c r="AN273" s="7">
        <v>0</v>
      </c>
      <c r="AO273" s="7">
        <v>2.94</v>
      </c>
      <c r="AP273" s="7">
        <v>3.88</v>
      </c>
      <c r="AQ273" s="7">
        <v>0</v>
      </c>
      <c r="AR273" s="7">
        <v>0.92</v>
      </c>
      <c r="AS273" s="4" t="s">
        <v>303</v>
      </c>
      <c r="AT273" s="7">
        <v>0</v>
      </c>
      <c r="AU273" s="4" t="s">
        <v>468</v>
      </c>
      <c r="AV273" s="4" t="s">
        <v>305</v>
      </c>
      <c r="AW273" s="4" t="s">
        <v>292</v>
      </c>
    </row>
    <row r="274" spans="1:49" s="4" customFormat="1" x14ac:dyDescent="0.25">
      <c r="A274" s="4" t="s">
        <v>395</v>
      </c>
      <c r="B274" s="4" t="s">
        <v>293</v>
      </c>
      <c r="C274" s="4" t="s">
        <v>466</v>
      </c>
      <c r="D274" s="4" t="s">
        <v>467</v>
      </c>
      <c r="F274" s="4" t="s">
        <v>11462</v>
      </c>
      <c r="G274" s="4" t="s">
        <v>11463</v>
      </c>
      <c r="I274" s="4" t="s">
        <v>296</v>
      </c>
      <c r="J274" s="4" t="s">
        <v>297</v>
      </c>
      <c r="K274" s="4" t="s">
        <v>298</v>
      </c>
      <c r="L274" s="4" t="s">
        <v>299</v>
      </c>
      <c r="M274" s="4" t="s">
        <v>300</v>
      </c>
      <c r="N274" s="4" t="s">
        <v>447</v>
      </c>
      <c r="O274" s="5">
        <v>78.103999999999999</v>
      </c>
      <c r="P274" s="6">
        <v>1</v>
      </c>
      <c r="Q274" s="7">
        <v>9.25</v>
      </c>
      <c r="R274" s="7">
        <v>7</v>
      </c>
      <c r="S274" s="4" t="s">
        <v>301</v>
      </c>
      <c r="T274" s="4" t="s">
        <v>302</v>
      </c>
      <c r="U274" s="5">
        <v>93.259</v>
      </c>
      <c r="V274" s="6">
        <v>0.45</v>
      </c>
      <c r="W274" s="7">
        <v>4</v>
      </c>
      <c r="X274" s="5">
        <v>49.156999999999996</v>
      </c>
      <c r="Y274" s="4" t="s">
        <v>292</v>
      </c>
      <c r="Z274" s="6">
        <v>1</v>
      </c>
      <c r="AA274" s="6">
        <v>0.75262899999999999</v>
      </c>
      <c r="AB274" s="5">
        <v>49.156999999999996</v>
      </c>
      <c r="AC274" s="6">
        <v>1</v>
      </c>
      <c r="AD274" s="6">
        <v>0.75262899999999999</v>
      </c>
      <c r="AE274" s="5">
        <v>49.156999999999996</v>
      </c>
      <c r="AF274" s="7">
        <v>10</v>
      </c>
      <c r="AG274" s="7">
        <v>7</v>
      </c>
      <c r="AH274" s="7">
        <v>9.25</v>
      </c>
      <c r="AI274" s="7">
        <v>17</v>
      </c>
      <c r="AJ274" s="7">
        <v>0</v>
      </c>
      <c r="AK274" s="8">
        <v>44115.514872685184</v>
      </c>
      <c r="AL274" s="7">
        <v>4.2</v>
      </c>
      <c r="AM274" s="7">
        <v>100</v>
      </c>
      <c r="AN274" s="7">
        <v>0</v>
      </c>
      <c r="AO274" s="7">
        <v>2.94</v>
      </c>
      <c r="AP274" s="7">
        <v>3.88</v>
      </c>
      <c r="AQ274" s="7">
        <v>8.8699999999999992</v>
      </c>
      <c r="AR274" s="7">
        <v>2.2000000000000002</v>
      </c>
      <c r="AS274" s="4" t="s">
        <v>303</v>
      </c>
      <c r="AT274" s="7">
        <v>0</v>
      </c>
      <c r="AU274" s="4" t="s">
        <v>468</v>
      </c>
      <c r="AV274" s="4" t="s">
        <v>305</v>
      </c>
      <c r="AW274" s="4" t="s">
        <v>292</v>
      </c>
    </row>
    <row r="275" spans="1:49" s="4" customFormat="1" x14ac:dyDescent="0.25">
      <c r="A275" s="4" t="s">
        <v>11200</v>
      </c>
      <c r="B275" s="4" t="s">
        <v>293</v>
      </c>
      <c r="C275" s="4" t="s">
        <v>466</v>
      </c>
      <c r="D275" s="4" t="s">
        <v>467</v>
      </c>
      <c r="F275" s="4" t="s">
        <v>11462</v>
      </c>
      <c r="G275" s="4" t="s">
        <v>11463</v>
      </c>
      <c r="I275" s="4" t="s">
        <v>296</v>
      </c>
      <c r="J275" s="4" t="s">
        <v>297</v>
      </c>
      <c r="K275" s="4" t="s">
        <v>298</v>
      </c>
      <c r="L275" s="4" t="s">
        <v>299</v>
      </c>
      <c r="M275" s="4" t="s">
        <v>300</v>
      </c>
      <c r="N275" s="4" t="s">
        <v>11198</v>
      </c>
      <c r="O275" s="5">
        <v>78.103999999999999</v>
      </c>
      <c r="P275" s="6">
        <v>1</v>
      </c>
      <c r="Q275" s="7">
        <v>9.25</v>
      </c>
      <c r="R275" s="7">
        <v>18</v>
      </c>
      <c r="S275" s="4" t="s">
        <v>301</v>
      </c>
      <c r="T275" s="4" t="s">
        <v>302</v>
      </c>
      <c r="U275" s="5">
        <v>107.35899999999999</v>
      </c>
      <c r="V275" s="6">
        <v>0.45</v>
      </c>
      <c r="W275" s="7">
        <v>1.5</v>
      </c>
      <c r="X275" s="5">
        <v>35.951999999999998</v>
      </c>
      <c r="Y275" s="4" t="s">
        <v>292</v>
      </c>
      <c r="Z275" s="6">
        <v>1</v>
      </c>
      <c r="AA275" s="6">
        <v>1</v>
      </c>
      <c r="AB275" s="5">
        <v>35.951999999999998</v>
      </c>
      <c r="AC275" s="6">
        <v>1</v>
      </c>
      <c r="AD275" s="6">
        <v>1</v>
      </c>
      <c r="AE275" s="5">
        <v>35.951999999999998</v>
      </c>
      <c r="AF275" s="7">
        <v>10</v>
      </c>
      <c r="AG275" s="7">
        <v>18</v>
      </c>
      <c r="AH275" s="7">
        <v>9.25</v>
      </c>
      <c r="AI275" s="7">
        <v>0</v>
      </c>
      <c r="AJ275" s="7">
        <v>0</v>
      </c>
      <c r="AK275" s="8">
        <v>44115.506516203706</v>
      </c>
      <c r="AL275" s="7">
        <v>4.83</v>
      </c>
      <c r="AM275" s="7">
        <v>100</v>
      </c>
      <c r="AN275" s="7">
        <v>0</v>
      </c>
      <c r="AO275" s="7">
        <v>8.69</v>
      </c>
      <c r="AP275" s="7">
        <v>4.47</v>
      </c>
      <c r="AQ275" s="7">
        <v>0</v>
      </c>
      <c r="AR275" s="7">
        <v>0.8</v>
      </c>
      <c r="AS275" s="4" t="s">
        <v>303</v>
      </c>
      <c r="AT275" s="7">
        <v>0</v>
      </c>
      <c r="AU275" s="4" t="s">
        <v>468</v>
      </c>
      <c r="AV275" s="4" t="s">
        <v>305</v>
      </c>
      <c r="AW275" s="4" t="s">
        <v>292</v>
      </c>
    </row>
    <row r="276" spans="1:49" s="4" customFormat="1" x14ac:dyDescent="0.25">
      <c r="A276" s="4" t="s">
        <v>11207</v>
      </c>
      <c r="B276" s="4" t="s">
        <v>293</v>
      </c>
      <c r="C276" s="4" t="s">
        <v>466</v>
      </c>
      <c r="D276" s="4" t="s">
        <v>467</v>
      </c>
      <c r="F276" s="4" t="s">
        <v>11236</v>
      </c>
      <c r="G276" s="4" t="s">
        <v>11237</v>
      </c>
      <c r="I276" s="4" t="s">
        <v>296</v>
      </c>
      <c r="J276" s="4" t="s">
        <v>297</v>
      </c>
      <c r="K276" s="4" t="s">
        <v>298</v>
      </c>
      <c r="L276" s="4" t="s">
        <v>299</v>
      </c>
      <c r="M276" s="4" t="s">
        <v>300</v>
      </c>
      <c r="N276" s="4" t="s">
        <v>11238</v>
      </c>
      <c r="O276" s="5">
        <v>35.950000000000003</v>
      </c>
      <c r="P276" s="6">
        <v>1</v>
      </c>
      <c r="Q276" s="7">
        <v>9.25</v>
      </c>
      <c r="R276" s="7">
        <v>7</v>
      </c>
      <c r="S276" s="4" t="s">
        <v>301</v>
      </c>
      <c r="T276" s="4" t="s">
        <v>302</v>
      </c>
      <c r="U276" s="5">
        <v>42.924999999999997</v>
      </c>
      <c r="V276" s="6">
        <v>0.25</v>
      </c>
      <c r="W276" s="7">
        <v>3</v>
      </c>
      <c r="X276" s="5">
        <v>14.441000000000001</v>
      </c>
      <c r="Y276" s="4" t="s">
        <v>292</v>
      </c>
      <c r="Z276" s="6">
        <v>4</v>
      </c>
      <c r="AA276" s="6">
        <v>1</v>
      </c>
      <c r="AB276" s="5">
        <v>57.764000000000003</v>
      </c>
      <c r="AC276" s="6">
        <v>1</v>
      </c>
      <c r="AD276" s="6">
        <v>1</v>
      </c>
      <c r="AE276" s="5">
        <v>57.764000000000003</v>
      </c>
      <c r="AF276" s="5">
        <v>57.764000000000003</v>
      </c>
      <c r="AG276" s="7">
        <v>7</v>
      </c>
      <c r="AH276" s="7">
        <v>0</v>
      </c>
      <c r="AI276" s="7">
        <v>17</v>
      </c>
      <c r="AJ276" s="7">
        <v>0</v>
      </c>
      <c r="AK276" s="8">
        <v>44115.530671296299</v>
      </c>
      <c r="AL276" s="7">
        <v>1.07</v>
      </c>
      <c r="AM276" s="7">
        <v>100</v>
      </c>
      <c r="AN276" s="7">
        <v>0</v>
      </c>
      <c r="AO276" s="7">
        <v>0.75</v>
      </c>
      <c r="AP276" s="7">
        <v>0</v>
      </c>
      <c r="AQ276" s="7">
        <v>2.2200000000000002</v>
      </c>
      <c r="AR276" s="7">
        <v>0.42</v>
      </c>
      <c r="AS276" s="4" t="s">
        <v>303</v>
      </c>
      <c r="AT276" s="7">
        <v>0</v>
      </c>
      <c r="AU276" s="4" t="s">
        <v>468</v>
      </c>
      <c r="AV276" s="4" t="s">
        <v>305</v>
      </c>
    </row>
    <row r="277" spans="1:49" s="4" customFormat="1" x14ac:dyDescent="0.25">
      <c r="A277" s="4" t="s">
        <v>11201</v>
      </c>
      <c r="B277" s="4" t="s">
        <v>293</v>
      </c>
      <c r="C277" s="4" t="s">
        <v>469</v>
      </c>
      <c r="D277" s="4" t="s">
        <v>470</v>
      </c>
      <c r="F277" s="4" t="s">
        <v>11462</v>
      </c>
      <c r="G277" s="4" t="s">
        <v>11463</v>
      </c>
      <c r="I277" s="4" t="s">
        <v>296</v>
      </c>
      <c r="J277" s="4" t="s">
        <v>297</v>
      </c>
      <c r="K277" s="4" t="s">
        <v>298</v>
      </c>
      <c r="L277" s="4" t="s">
        <v>299</v>
      </c>
      <c r="M277" s="4" t="s">
        <v>300</v>
      </c>
      <c r="N277" s="4" t="s">
        <v>11198</v>
      </c>
      <c r="O277" s="5">
        <v>89.274000000000001</v>
      </c>
      <c r="P277" s="6">
        <v>1</v>
      </c>
      <c r="Q277" s="7">
        <v>9.25</v>
      </c>
      <c r="R277" s="7">
        <v>12</v>
      </c>
      <c r="S277" s="4" t="s">
        <v>301</v>
      </c>
      <c r="T277" s="4" t="s">
        <v>302</v>
      </c>
      <c r="U277" s="5">
        <v>113.364</v>
      </c>
      <c r="V277" s="6">
        <v>0.45</v>
      </c>
      <c r="W277" s="7">
        <v>1.5</v>
      </c>
      <c r="X277" s="5">
        <v>41.014000000000003</v>
      </c>
      <c r="Y277" s="4" t="s">
        <v>292</v>
      </c>
      <c r="Z277" s="6">
        <v>1</v>
      </c>
      <c r="AA277" s="6">
        <v>1</v>
      </c>
      <c r="AB277" s="5">
        <v>41.014000000000003</v>
      </c>
      <c r="AC277" s="6">
        <v>1</v>
      </c>
      <c r="AD277" s="6">
        <v>1</v>
      </c>
      <c r="AE277" s="5">
        <v>41.014000000000003</v>
      </c>
      <c r="AF277" s="7">
        <v>10</v>
      </c>
      <c r="AG277" s="7">
        <v>12</v>
      </c>
      <c r="AH277" s="7">
        <v>9.25</v>
      </c>
      <c r="AI277" s="7">
        <v>0</v>
      </c>
      <c r="AJ277" s="7">
        <v>0</v>
      </c>
      <c r="AK277" s="8">
        <v>44115.512349537035</v>
      </c>
      <c r="AL277" s="7">
        <v>5.0999999999999996</v>
      </c>
      <c r="AM277" s="7">
        <v>100</v>
      </c>
      <c r="AN277" s="7">
        <v>0</v>
      </c>
      <c r="AO277" s="7">
        <v>6.12</v>
      </c>
      <c r="AP277" s="7">
        <v>4.72</v>
      </c>
      <c r="AQ277" s="7">
        <v>0</v>
      </c>
      <c r="AR277" s="7">
        <v>0.84</v>
      </c>
      <c r="AS277" s="4" t="s">
        <v>303</v>
      </c>
      <c r="AT277" s="7">
        <v>0</v>
      </c>
      <c r="AU277" s="4" t="s">
        <v>471</v>
      </c>
      <c r="AV277" s="4" t="s">
        <v>305</v>
      </c>
      <c r="AW277" s="4" t="s">
        <v>292</v>
      </c>
    </row>
    <row r="278" spans="1:49" s="4" customFormat="1" x14ac:dyDescent="0.25">
      <c r="A278" s="4" t="s">
        <v>11199</v>
      </c>
      <c r="B278" s="4" t="s">
        <v>293</v>
      </c>
      <c r="C278" s="4" t="s">
        <v>469</v>
      </c>
      <c r="D278" s="4" t="s">
        <v>470</v>
      </c>
      <c r="F278" s="4" t="s">
        <v>11462</v>
      </c>
      <c r="G278" s="4" t="s">
        <v>11463</v>
      </c>
      <c r="I278" s="4" t="s">
        <v>296</v>
      </c>
      <c r="J278" s="4" t="s">
        <v>297</v>
      </c>
      <c r="K278" s="4" t="s">
        <v>298</v>
      </c>
      <c r="L278" s="4" t="s">
        <v>299</v>
      </c>
      <c r="M278" s="4" t="s">
        <v>300</v>
      </c>
      <c r="N278" s="4" t="s">
        <v>11198</v>
      </c>
      <c r="O278" s="5">
        <v>89.272000000000006</v>
      </c>
      <c r="P278" s="6">
        <v>1</v>
      </c>
      <c r="Q278" s="7">
        <v>9.25</v>
      </c>
      <c r="R278" s="7">
        <v>7</v>
      </c>
      <c r="S278" s="4" t="s">
        <v>301</v>
      </c>
      <c r="T278" s="4" t="s">
        <v>302</v>
      </c>
      <c r="U278" s="5">
        <v>106.593</v>
      </c>
      <c r="V278" s="6">
        <v>0.45</v>
      </c>
      <c r="W278" s="7">
        <v>2</v>
      </c>
      <c r="X278" s="5">
        <v>41.226999999999997</v>
      </c>
      <c r="Y278" s="4" t="s">
        <v>292</v>
      </c>
      <c r="Z278" s="6">
        <v>1</v>
      </c>
      <c r="AA278" s="6">
        <v>1</v>
      </c>
      <c r="AB278" s="5">
        <v>41.226999999999997</v>
      </c>
      <c r="AC278" s="6">
        <v>1</v>
      </c>
      <c r="AD278" s="6">
        <v>1</v>
      </c>
      <c r="AE278" s="5">
        <v>41.226999999999997</v>
      </c>
      <c r="AF278" s="7">
        <v>10</v>
      </c>
      <c r="AG278" s="7">
        <v>7</v>
      </c>
      <c r="AH278" s="7">
        <v>9.25</v>
      </c>
      <c r="AI278" s="7">
        <v>0</v>
      </c>
      <c r="AJ278" s="7">
        <v>0</v>
      </c>
      <c r="AK278" s="8">
        <v>44115.514872685184</v>
      </c>
      <c r="AL278" s="7">
        <v>4.8</v>
      </c>
      <c r="AM278" s="7">
        <v>100</v>
      </c>
      <c r="AN278" s="7">
        <v>0</v>
      </c>
      <c r="AO278" s="7">
        <v>3.36</v>
      </c>
      <c r="AP278" s="7">
        <v>4.4400000000000004</v>
      </c>
      <c r="AQ278" s="7">
        <v>0</v>
      </c>
      <c r="AR278" s="7">
        <v>1.06</v>
      </c>
      <c r="AS278" s="4" t="s">
        <v>303</v>
      </c>
      <c r="AT278" s="7">
        <v>0</v>
      </c>
      <c r="AU278" s="4" t="s">
        <v>471</v>
      </c>
      <c r="AV278" s="4" t="s">
        <v>305</v>
      </c>
      <c r="AW278" s="4" t="s">
        <v>292</v>
      </c>
    </row>
    <row r="279" spans="1:49" s="4" customFormat="1" x14ac:dyDescent="0.25">
      <c r="A279" s="4" t="s">
        <v>395</v>
      </c>
      <c r="B279" s="4" t="s">
        <v>293</v>
      </c>
      <c r="C279" s="4" t="s">
        <v>469</v>
      </c>
      <c r="D279" s="4" t="s">
        <v>470</v>
      </c>
      <c r="F279" s="4" t="s">
        <v>11462</v>
      </c>
      <c r="G279" s="4" t="s">
        <v>11463</v>
      </c>
      <c r="I279" s="4" t="s">
        <v>296</v>
      </c>
      <c r="J279" s="4" t="s">
        <v>297</v>
      </c>
      <c r="K279" s="4" t="s">
        <v>298</v>
      </c>
      <c r="L279" s="4" t="s">
        <v>299</v>
      </c>
      <c r="M279" s="4" t="s">
        <v>300</v>
      </c>
      <c r="N279" s="4" t="s">
        <v>447</v>
      </c>
      <c r="O279" s="5">
        <v>89.272000000000006</v>
      </c>
      <c r="P279" s="6">
        <v>1</v>
      </c>
      <c r="Q279" s="7">
        <v>9.25</v>
      </c>
      <c r="R279" s="7">
        <v>7</v>
      </c>
      <c r="S279" s="4" t="s">
        <v>301</v>
      </c>
      <c r="T279" s="4" t="s">
        <v>302</v>
      </c>
      <c r="U279" s="5">
        <v>106.593</v>
      </c>
      <c r="V279" s="6">
        <v>0.45</v>
      </c>
      <c r="W279" s="7">
        <v>4</v>
      </c>
      <c r="X279" s="5">
        <v>56.177</v>
      </c>
      <c r="Y279" s="4" t="s">
        <v>292</v>
      </c>
      <c r="Z279" s="6">
        <v>1</v>
      </c>
      <c r="AA279" s="6">
        <v>0.75256800000000001</v>
      </c>
      <c r="AB279" s="5">
        <v>56.177</v>
      </c>
      <c r="AC279" s="6">
        <v>1</v>
      </c>
      <c r="AD279" s="6">
        <v>0.75256800000000001</v>
      </c>
      <c r="AE279" s="5">
        <v>56.177</v>
      </c>
      <c r="AF279" s="7">
        <v>10</v>
      </c>
      <c r="AG279" s="7">
        <v>7</v>
      </c>
      <c r="AH279" s="7">
        <v>9.25</v>
      </c>
      <c r="AI279" s="7">
        <v>17</v>
      </c>
      <c r="AJ279" s="7">
        <v>0</v>
      </c>
      <c r="AK279" s="8">
        <v>44115.514872685184</v>
      </c>
      <c r="AL279" s="7">
        <v>4.8</v>
      </c>
      <c r="AM279" s="7">
        <v>100</v>
      </c>
      <c r="AN279" s="7">
        <v>0</v>
      </c>
      <c r="AO279" s="7">
        <v>3.36</v>
      </c>
      <c r="AP279" s="7">
        <v>4.4400000000000004</v>
      </c>
      <c r="AQ279" s="7">
        <v>10.130000000000001</v>
      </c>
      <c r="AR279" s="7">
        <v>2.52</v>
      </c>
      <c r="AS279" s="4" t="s">
        <v>303</v>
      </c>
      <c r="AT279" s="7">
        <v>0</v>
      </c>
      <c r="AU279" s="4" t="s">
        <v>471</v>
      </c>
      <c r="AV279" s="4" t="s">
        <v>305</v>
      </c>
      <c r="AW279" s="4" t="s">
        <v>292</v>
      </c>
    </row>
    <row r="280" spans="1:49" s="4" customFormat="1" x14ac:dyDescent="0.25">
      <c r="A280" s="4" t="s">
        <v>11200</v>
      </c>
      <c r="B280" s="4" t="s">
        <v>293</v>
      </c>
      <c r="C280" s="4" t="s">
        <v>469</v>
      </c>
      <c r="D280" s="4" t="s">
        <v>470</v>
      </c>
      <c r="F280" s="4" t="s">
        <v>11462</v>
      </c>
      <c r="G280" s="4" t="s">
        <v>11463</v>
      </c>
      <c r="I280" s="4" t="s">
        <v>296</v>
      </c>
      <c r="J280" s="4" t="s">
        <v>297</v>
      </c>
      <c r="K280" s="4" t="s">
        <v>298</v>
      </c>
      <c r="L280" s="4" t="s">
        <v>299</v>
      </c>
      <c r="M280" s="4" t="s">
        <v>300</v>
      </c>
      <c r="N280" s="4" t="s">
        <v>11198</v>
      </c>
      <c r="O280" s="5">
        <v>89.272000000000006</v>
      </c>
      <c r="P280" s="6">
        <v>1</v>
      </c>
      <c r="Q280" s="7">
        <v>9.25</v>
      </c>
      <c r="R280" s="7">
        <v>18</v>
      </c>
      <c r="S280" s="4" t="s">
        <v>301</v>
      </c>
      <c r="T280" s="4" t="s">
        <v>302</v>
      </c>
      <c r="U280" s="5">
        <v>122.711</v>
      </c>
      <c r="V280" s="6">
        <v>0.45</v>
      </c>
      <c r="W280" s="7">
        <v>1.5</v>
      </c>
      <c r="X280" s="5">
        <v>41.08</v>
      </c>
      <c r="Y280" s="4" t="s">
        <v>292</v>
      </c>
      <c r="Z280" s="6">
        <v>1</v>
      </c>
      <c r="AA280" s="6">
        <v>1</v>
      </c>
      <c r="AB280" s="5">
        <v>41.08</v>
      </c>
      <c r="AC280" s="6">
        <v>1</v>
      </c>
      <c r="AD280" s="6">
        <v>1</v>
      </c>
      <c r="AE280" s="5">
        <v>41.08</v>
      </c>
      <c r="AF280" s="7">
        <v>10</v>
      </c>
      <c r="AG280" s="7">
        <v>18</v>
      </c>
      <c r="AH280" s="7">
        <v>9.25</v>
      </c>
      <c r="AI280" s="7">
        <v>0</v>
      </c>
      <c r="AJ280" s="7">
        <v>0</v>
      </c>
      <c r="AK280" s="8">
        <v>44115.506516203706</v>
      </c>
      <c r="AL280" s="7">
        <v>5.52</v>
      </c>
      <c r="AM280" s="7">
        <v>100</v>
      </c>
      <c r="AN280" s="7">
        <v>0</v>
      </c>
      <c r="AO280" s="7">
        <v>9.94</v>
      </c>
      <c r="AP280" s="7">
        <v>5.1100000000000003</v>
      </c>
      <c r="AQ280" s="7">
        <v>0</v>
      </c>
      <c r="AR280" s="7">
        <v>0.91</v>
      </c>
      <c r="AS280" s="4" t="s">
        <v>303</v>
      </c>
      <c r="AT280" s="7">
        <v>0</v>
      </c>
      <c r="AU280" s="4" t="s">
        <v>471</v>
      </c>
      <c r="AV280" s="4" t="s">
        <v>305</v>
      </c>
      <c r="AW280" s="4" t="s">
        <v>292</v>
      </c>
    </row>
    <row r="281" spans="1:49" s="4" customFormat="1" x14ac:dyDescent="0.25">
      <c r="A281" s="4" t="s">
        <v>11207</v>
      </c>
      <c r="B281" s="4" t="s">
        <v>293</v>
      </c>
      <c r="C281" s="4" t="s">
        <v>469</v>
      </c>
      <c r="D281" s="4" t="s">
        <v>470</v>
      </c>
      <c r="F281" s="4" t="s">
        <v>11236</v>
      </c>
      <c r="G281" s="4" t="s">
        <v>11237</v>
      </c>
      <c r="I281" s="4" t="s">
        <v>296</v>
      </c>
      <c r="J281" s="4" t="s">
        <v>297</v>
      </c>
      <c r="K281" s="4" t="s">
        <v>298</v>
      </c>
      <c r="L281" s="4" t="s">
        <v>299</v>
      </c>
      <c r="M281" s="4" t="s">
        <v>300</v>
      </c>
      <c r="N281" s="4" t="s">
        <v>11238</v>
      </c>
      <c r="O281" s="5">
        <v>41.08</v>
      </c>
      <c r="P281" s="6">
        <v>1</v>
      </c>
      <c r="Q281" s="7">
        <v>9.25</v>
      </c>
      <c r="R281" s="7">
        <v>7</v>
      </c>
      <c r="S281" s="4" t="s">
        <v>301</v>
      </c>
      <c r="T281" s="4" t="s">
        <v>302</v>
      </c>
      <c r="U281" s="5">
        <v>49.051000000000002</v>
      </c>
      <c r="V281" s="6">
        <v>0.25</v>
      </c>
      <c r="W281" s="7">
        <v>3</v>
      </c>
      <c r="X281" s="5">
        <v>16.503</v>
      </c>
      <c r="Y281" s="4" t="s">
        <v>292</v>
      </c>
      <c r="Z281" s="6">
        <v>4</v>
      </c>
      <c r="AA281" s="6">
        <v>1</v>
      </c>
      <c r="AB281" s="5">
        <v>66.012</v>
      </c>
      <c r="AC281" s="6">
        <v>1</v>
      </c>
      <c r="AD281" s="6">
        <v>1</v>
      </c>
      <c r="AE281" s="5">
        <v>66.012</v>
      </c>
      <c r="AF281" s="5">
        <v>66.012</v>
      </c>
      <c r="AG281" s="7">
        <v>7</v>
      </c>
      <c r="AH281" s="7">
        <v>0</v>
      </c>
      <c r="AI281" s="7">
        <v>17</v>
      </c>
      <c r="AJ281" s="7">
        <v>0</v>
      </c>
      <c r="AK281" s="8">
        <v>44115.530682870369</v>
      </c>
      <c r="AL281" s="7">
        <v>1.23</v>
      </c>
      <c r="AM281" s="7">
        <v>100</v>
      </c>
      <c r="AN281" s="7">
        <v>0</v>
      </c>
      <c r="AO281" s="7">
        <v>0.86</v>
      </c>
      <c r="AP281" s="7">
        <v>0</v>
      </c>
      <c r="AQ281" s="7">
        <v>2.5299999999999998</v>
      </c>
      <c r="AR281" s="7">
        <v>0.48</v>
      </c>
      <c r="AS281" s="4" t="s">
        <v>303</v>
      </c>
      <c r="AT281" s="7">
        <v>0</v>
      </c>
      <c r="AU281" s="4" t="s">
        <v>471</v>
      </c>
      <c r="AV281" s="4" t="s">
        <v>305</v>
      </c>
    </row>
    <row r="282" spans="1:49" s="4" customFormat="1" x14ac:dyDescent="0.25">
      <c r="A282" s="4" t="s">
        <v>11201</v>
      </c>
      <c r="B282" s="4" t="s">
        <v>293</v>
      </c>
      <c r="C282" s="4" t="s">
        <v>472</v>
      </c>
      <c r="D282" s="4" t="s">
        <v>473</v>
      </c>
      <c r="F282" s="4" t="s">
        <v>11462</v>
      </c>
      <c r="G282" s="4" t="s">
        <v>11463</v>
      </c>
      <c r="I282" s="4" t="s">
        <v>296</v>
      </c>
      <c r="J282" s="4" t="s">
        <v>297</v>
      </c>
      <c r="K282" s="4" t="s">
        <v>298</v>
      </c>
      <c r="L282" s="4" t="s">
        <v>322</v>
      </c>
      <c r="M282" s="4" t="s">
        <v>300</v>
      </c>
      <c r="N282" s="4" t="s">
        <v>11198</v>
      </c>
      <c r="O282" s="5">
        <v>108.46299999999999</v>
      </c>
      <c r="P282" s="6">
        <v>1</v>
      </c>
      <c r="Q282" s="7">
        <v>9.25</v>
      </c>
      <c r="R282" s="7">
        <v>12</v>
      </c>
      <c r="S282" s="4" t="s">
        <v>301</v>
      </c>
      <c r="T282" s="4" t="s">
        <v>302</v>
      </c>
      <c r="U282" s="5">
        <v>137.73099999999999</v>
      </c>
      <c r="V282" s="6">
        <v>0.45</v>
      </c>
      <c r="W282" s="7">
        <v>1.5</v>
      </c>
      <c r="X282" s="5">
        <v>49.829000000000001</v>
      </c>
      <c r="Y282" s="4" t="s">
        <v>292</v>
      </c>
      <c r="Z282" s="6">
        <v>1</v>
      </c>
      <c r="AA282" s="6">
        <v>1</v>
      </c>
      <c r="AB282" s="5">
        <v>49.829000000000001</v>
      </c>
      <c r="AC282" s="6">
        <v>1</v>
      </c>
      <c r="AD282" s="6">
        <v>1</v>
      </c>
      <c r="AE282" s="5">
        <v>49.829000000000001</v>
      </c>
      <c r="AF282" s="7">
        <v>10</v>
      </c>
      <c r="AG282" s="7">
        <v>12</v>
      </c>
      <c r="AH282" s="7">
        <v>9.25</v>
      </c>
      <c r="AI282" s="7">
        <v>0</v>
      </c>
      <c r="AJ282" s="7">
        <v>0</v>
      </c>
      <c r="AK282" s="8">
        <v>44115.512499999997</v>
      </c>
      <c r="AL282" s="7">
        <v>6.2</v>
      </c>
      <c r="AM282" s="7">
        <v>100</v>
      </c>
      <c r="AN282" s="7">
        <v>0</v>
      </c>
      <c r="AO282" s="7">
        <v>7.44</v>
      </c>
      <c r="AP282" s="7">
        <v>5.73</v>
      </c>
      <c r="AQ282" s="7">
        <v>0</v>
      </c>
      <c r="AR282" s="7">
        <v>1.02</v>
      </c>
      <c r="AS282" s="4" t="s">
        <v>303</v>
      </c>
      <c r="AT282" s="7">
        <v>0</v>
      </c>
      <c r="AU282" s="4" t="s">
        <v>474</v>
      </c>
      <c r="AV282" s="4" t="s">
        <v>305</v>
      </c>
      <c r="AW282" s="4" t="s">
        <v>292</v>
      </c>
    </row>
    <row r="283" spans="1:49" s="4" customFormat="1" x14ac:dyDescent="0.25">
      <c r="A283" s="4" t="s">
        <v>395</v>
      </c>
      <c r="B283" s="4" t="s">
        <v>293</v>
      </c>
      <c r="C283" s="4" t="s">
        <v>472</v>
      </c>
      <c r="D283" s="4" t="s">
        <v>473</v>
      </c>
      <c r="F283" s="4" t="s">
        <v>11245</v>
      </c>
      <c r="G283" s="4" t="s">
        <v>11246</v>
      </c>
      <c r="I283" s="4" t="s">
        <v>292</v>
      </c>
      <c r="J283" s="4" t="s">
        <v>297</v>
      </c>
      <c r="K283" s="4" t="s">
        <v>298</v>
      </c>
      <c r="L283" s="4" t="s">
        <v>322</v>
      </c>
      <c r="M283" s="4" t="s">
        <v>300</v>
      </c>
      <c r="N283" s="4" t="s">
        <v>447</v>
      </c>
      <c r="O283" s="5">
        <v>49.829000000000001</v>
      </c>
      <c r="P283" s="6">
        <v>1</v>
      </c>
      <c r="Q283" s="7">
        <v>9.25</v>
      </c>
      <c r="R283" s="7">
        <v>7</v>
      </c>
      <c r="S283" s="4" t="s">
        <v>301</v>
      </c>
      <c r="T283" s="4" t="s">
        <v>302</v>
      </c>
      <c r="U283" s="5">
        <v>59.497</v>
      </c>
      <c r="V283" s="6">
        <v>1</v>
      </c>
      <c r="W283" s="7">
        <v>4</v>
      </c>
      <c r="X283" s="5">
        <v>69.686999999999998</v>
      </c>
      <c r="Y283" s="4" t="s">
        <v>292</v>
      </c>
      <c r="Z283" s="6">
        <v>1</v>
      </c>
      <c r="AA283" s="6">
        <v>0.75260800000000005</v>
      </c>
      <c r="AB283" s="5">
        <v>69.686999999999998</v>
      </c>
      <c r="AC283" s="6">
        <v>1</v>
      </c>
      <c r="AD283" s="6">
        <v>0.75260800000000005</v>
      </c>
      <c r="AE283" s="5">
        <v>69.686999999999998</v>
      </c>
      <c r="AF283" s="5">
        <v>69.686999999999998</v>
      </c>
      <c r="AG283" s="7">
        <v>7</v>
      </c>
      <c r="AH283" s="7">
        <v>9.25</v>
      </c>
      <c r="AI283" s="7">
        <v>17</v>
      </c>
      <c r="AJ283" s="7">
        <v>0</v>
      </c>
      <c r="AK283" s="8">
        <v>44115.009062500001</v>
      </c>
      <c r="AL283" s="7">
        <v>5.95</v>
      </c>
      <c r="AM283" s="7">
        <v>100</v>
      </c>
      <c r="AN283" s="7">
        <v>0</v>
      </c>
      <c r="AO283" s="7">
        <v>4.17</v>
      </c>
      <c r="AP283" s="7">
        <v>5.5</v>
      </c>
      <c r="AQ283" s="7">
        <v>12.57</v>
      </c>
      <c r="AR283" s="7">
        <v>3.12</v>
      </c>
      <c r="AS283" s="4" t="s">
        <v>303</v>
      </c>
      <c r="AT283" s="7">
        <v>0</v>
      </c>
      <c r="AU283" s="4" t="s">
        <v>474</v>
      </c>
      <c r="AV283" s="4" t="s">
        <v>305</v>
      </c>
    </row>
    <row r="284" spans="1:49" s="4" customFormat="1" x14ac:dyDescent="0.25">
      <c r="A284" s="4" t="s">
        <v>395</v>
      </c>
      <c r="B284" s="4" t="s">
        <v>293</v>
      </c>
      <c r="C284" s="4" t="s">
        <v>472</v>
      </c>
      <c r="D284" s="4" t="s">
        <v>473</v>
      </c>
      <c r="F284" s="4" t="s">
        <v>11462</v>
      </c>
      <c r="G284" s="4" t="s">
        <v>11463</v>
      </c>
      <c r="I284" s="4" t="s">
        <v>296</v>
      </c>
      <c r="J284" s="4" t="s">
        <v>297</v>
      </c>
      <c r="K284" s="4" t="s">
        <v>298</v>
      </c>
      <c r="L284" s="4" t="s">
        <v>322</v>
      </c>
      <c r="M284" s="4" t="s">
        <v>300</v>
      </c>
      <c r="N284" s="4" t="s">
        <v>447</v>
      </c>
      <c r="O284" s="5">
        <v>108.46299999999999</v>
      </c>
      <c r="P284" s="6">
        <v>1</v>
      </c>
      <c r="Q284" s="7">
        <v>9.25</v>
      </c>
      <c r="R284" s="7">
        <v>7</v>
      </c>
      <c r="S284" s="4" t="s">
        <v>301</v>
      </c>
      <c r="T284" s="4" t="s">
        <v>302</v>
      </c>
      <c r="U284" s="5">
        <v>129.50800000000001</v>
      </c>
      <c r="V284" s="6">
        <v>0.45</v>
      </c>
      <c r="W284" s="7">
        <v>4</v>
      </c>
      <c r="X284" s="5">
        <v>68.259</v>
      </c>
      <c r="Y284" s="4" t="s">
        <v>292</v>
      </c>
      <c r="Z284" s="6">
        <v>1</v>
      </c>
      <c r="AA284" s="6">
        <v>0.75256000000000001</v>
      </c>
      <c r="AB284" s="5">
        <v>68.259</v>
      </c>
      <c r="AC284" s="6">
        <v>1</v>
      </c>
      <c r="AD284" s="6">
        <v>0.75256000000000001</v>
      </c>
      <c r="AE284" s="5">
        <v>68.259</v>
      </c>
      <c r="AF284" s="7">
        <v>10</v>
      </c>
      <c r="AG284" s="7">
        <v>7</v>
      </c>
      <c r="AH284" s="7">
        <v>9.25</v>
      </c>
      <c r="AI284" s="7">
        <v>17</v>
      </c>
      <c r="AJ284" s="7">
        <v>0</v>
      </c>
      <c r="AK284" s="8">
        <v>44115.515740740739</v>
      </c>
      <c r="AL284" s="7">
        <v>5.83</v>
      </c>
      <c r="AM284" s="7">
        <v>100</v>
      </c>
      <c r="AN284" s="7">
        <v>0</v>
      </c>
      <c r="AO284" s="7">
        <v>4.08</v>
      </c>
      <c r="AP284" s="7">
        <v>5.39</v>
      </c>
      <c r="AQ284" s="7">
        <v>12.31</v>
      </c>
      <c r="AR284" s="7">
        <v>3.06</v>
      </c>
      <c r="AS284" s="4" t="s">
        <v>303</v>
      </c>
      <c r="AT284" s="7">
        <v>0</v>
      </c>
      <c r="AU284" s="4" t="s">
        <v>474</v>
      </c>
      <c r="AV284" s="4" t="s">
        <v>305</v>
      </c>
      <c r="AW284" s="4" t="s">
        <v>292</v>
      </c>
    </row>
    <row r="285" spans="1:49" s="4" customFormat="1" x14ac:dyDescent="0.25">
      <c r="A285" s="4" t="s">
        <v>11201</v>
      </c>
      <c r="B285" s="4" t="s">
        <v>293</v>
      </c>
      <c r="C285" s="4" t="s">
        <v>475</v>
      </c>
      <c r="D285" s="4" t="s">
        <v>476</v>
      </c>
      <c r="F285" s="4" t="s">
        <v>11462</v>
      </c>
      <c r="G285" s="4" t="s">
        <v>11463</v>
      </c>
      <c r="I285" s="4" t="s">
        <v>296</v>
      </c>
      <c r="J285" s="4" t="s">
        <v>297</v>
      </c>
      <c r="K285" s="4" t="s">
        <v>298</v>
      </c>
      <c r="L285" s="4" t="s">
        <v>299</v>
      </c>
      <c r="M285" s="4" t="s">
        <v>300</v>
      </c>
      <c r="N285" s="4" t="s">
        <v>11198</v>
      </c>
      <c r="O285" s="5">
        <v>77.587000000000003</v>
      </c>
      <c r="P285" s="6">
        <v>1</v>
      </c>
      <c r="Q285" s="7">
        <v>9.25</v>
      </c>
      <c r="R285" s="7">
        <v>12</v>
      </c>
      <c r="S285" s="4" t="s">
        <v>301</v>
      </c>
      <c r="T285" s="4" t="s">
        <v>302</v>
      </c>
      <c r="U285" s="5">
        <v>98.522999999999996</v>
      </c>
      <c r="V285" s="6">
        <v>0.45</v>
      </c>
      <c r="W285" s="7">
        <v>1.5</v>
      </c>
      <c r="X285" s="5">
        <v>35.645000000000003</v>
      </c>
      <c r="Y285" s="4" t="s">
        <v>292</v>
      </c>
      <c r="Z285" s="6">
        <v>1</v>
      </c>
      <c r="AA285" s="6">
        <v>1</v>
      </c>
      <c r="AB285" s="5">
        <v>35.645000000000003</v>
      </c>
      <c r="AC285" s="6">
        <v>1</v>
      </c>
      <c r="AD285" s="6">
        <v>1</v>
      </c>
      <c r="AE285" s="5">
        <v>35.645000000000003</v>
      </c>
      <c r="AF285" s="7">
        <v>10</v>
      </c>
      <c r="AG285" s="7">
        <v>12</v>
      </c>
      <c r="AH285" s="7">
        <v>9.25</v>
      </c>
      <c r="AI285" s="7">
        <v>0</v>
      </c>
      <c r="AJ285" s="7">
        <v>0</v>
      </c>
      <c r="AK285" s="8">
        <v>44115.513518518521</v>
      </c>
      <c r="AL285" s="7">
        <v>4.43</v>
      </c>
      <c r="AM285" s="7">
        <v>100</v>
      </c>
      <c r="AN285" s="7">
        <v>0</v>
      </c>
      <c r="AO285" s="7">
        <v>5.32</v>
      </c>
      <c r="AP285" s="7">
        <v>4.0999999999999996</v>
      </c>
      <c r="AQ285" s="7">
        <v>0</v>
      </c>
      <c r="AR285" s="7">
        <v>0.73</v>
      </c>
      <c r="AS285" s="4" t="s">
        <v>303</v>
      </c>
      <c r="AT285" s="7">
        <v>0</v>
      </c>
      <c r="AU285" s="4" t="s">
        <v>477</v>
      </c>
      <c r="AV285" s="4" t="s">
        <v>305</v>
      </c>
      <c r="AW285" s="4" t="s">
        <v>292</v>
      </c>
    </row>
    <row r="286" spans="1:49" s="4" customFormat="1" x14ac:dyDescent="0.25">
      <c r="A286" s="4" t="s">
        <v>11199</v>
      </c>
      <c r="B286" s="4" t="s">
        <v>293</v>
      </c>
      <c r="C286" s="4" t="s">
        <v>475</v>
      </c>
      <c r="D286" s="4" t="s">
        <v>476</v>
      </c>
      <c r="F286" s="4" t="s">
        <v>11462</v>
      </c>
      <c r="G286" s="4" t="s">
        <v>11463</v>
      </c>
      <c r="I286" s="4" t="s">
        <v>296</v>
      </c>
      <c r="J286" s="4" t="s">
        <v>297</v>
      </c>
      <c r="K286" s="4" t="s">
        <v>298</v>
      </c>
      <c r="L286" s="4" t="s">
        <v>299</v>
      </c>
      <c r="M286" s="4" t="s">
        <v>300</v>
      </c>
      <c r="N286" s="4" t="s">
        <v>11198</v>
      </c>
      <c r="O286" s="5">
        <v>77.587999999999994</v>
      </c>
      <c r="P286" s="6">
        <v>1</v>
      </c>
      <c r="Q286" s="7">
        <v>9.25</v>
      </c>
      <c r="R286" s="7">
        <v>7</v>
      </c>
      <c r="S286" s="4" t="s">
        <v>301</v>
      </c>
      <c r="T286" s="4" t="s">
        <v>302</v>
      </c>
      <c r="U286" s="5">
        <v>92.641999999999996</v>
      </c>
      <c r="V286" s="6">
        <v>0.45</v>
      </c>
      <c r="W286" s="7">
        <v>2</v>
      </c>
      <c r="X286" s="5">
        <v>35.829000000000001</v>
      </c>
      <c r="Y286" s="4" t="s">
        <v>292</v>
      </c>
      <c r="Z286" s="6">
        <v>1</v>
      </c>
      <c r="AA286" s="6">
        <v>1</v>
      </c>
      <c r="AB286" s="5">
        <v>35.829000000000001</v>
      </c>
      <c r="AC286" s="6">
        <v>1</v>
      </c>
      <c r="AD286" s="6">
        <v>1</v>
      </c>
      <c r="AE286" s="5">
        <v>35.829000000000001</v>
      </c>
      <c r="AF286" s="7">
        <v>10</v>
      </c>
      <c r="AG286" s="7">
        <v>7</v>
      </c>
      <c r="AH286" s="7">
        <v>9.25</v>
      </c>
      <c r="AI286" s="7">
        <v>0</v>
      </c>
      <c r="AJ286" s="7">
        <v>0</v>
      </c>
      <c r="AK286" s="8">
        <v>44115.517152777778</v>
      </c>
      <c r="AL286" s="7">
        <v>4.17</v>
      </c>
      <c r="AM286" s="7">
        <v>100</v>
      </c>
      <c r="AN286" s="7">
        <v>0</v>
      </c>
      <c r="AO286" s="7">
        <v>2.92</v>
      </c>
      <c r="AP286" s="7">
        <v>3.86</v>
      </c>
      <c r="AQ286" s="7">
        <v>0</v>
      </c>
      <c r="AR286" s="7">
        <v>0.92</v>
      </c>
      <c r="AS286" s="4" t="s">
        <v>303</v>
      </c>
      <c r="AT286" s="7">
        <v>0</v>
      </c>
      <c r="AU286" s="4" t="s">
        <v>477</v>
      </c>
      <c r="AV286" s="4" t="s">
        <v>305</v>
      </c>
      <c r="AW286" s="4" t="s">
        <v>292</v>
      </c>
    </row>
    <row r="287" spans="1:49" s="4" customFormat="1" x14ac:dyDescent="0.25">
      <c r="A287" s="4" t="s">
        <v>395</v>
      </c>
      <c r="B287" s="4" t="s">
        <v>293</v>
      </c>
      <c r="C287" s="4" t="s">
        <v>475</v>
      </c>
      <c r="D287" s="4" t="s">
        <v>476</v>
      </c>
      <c r="F287" s="4" t="s">
        <v>11462</v>
      </c>
      <c r="G287" s="4" t="s">
        <v>11463</v>
      </c>
      <c r="I287" s="4" t="s">
        <v>296</v>
      </c>
      <c r="J287" s="4" t="s">
        <v>297</v>
      </c>
      <c r="K287" s="4" t="s">
        <v>298</v>
      </c>
      <c r="L287" s="4" t="s">
        <v>299</v>
      </c>
      <c r="M287" s="4" t="s">
        <v>300</v>
      </c>
      <c r="N287" s="4" t="s">
        <v>447</v>
      </c>
      <c r="O287" s="5">
        <v>77.587999999999994</v>
      </c>
      <c r="P287" s="6">
        <v>1</v>
      </c>
      <c r="Q287" s="7">
        <v>9.25</v>
      </c>
      <c r="R287" s="7">
        <v>7</v>
      </c>
      <c r="S287" s="4" t="s">
        <v>301</v>
      </c>
      <c r="T287" s="4" t="s">
        <v>302</v>
      </c>
      <c r="U287" s="5">
        <v>92.641999999999996</v>
      </c>
      <c r="V287" s="6">
        <v>0.45</v>
      </c>
      <c r="W287" s="7">
        <v>4</v>
      </c>
      <c r="X287" s="5">
        <v>48.829000000000001</v>
      </c>
      <c r="Y287" s="4" t="s">
        <v>292</v>
      </c>
      <c r="Z287" s="6">
        <v>1</v>
      </c>
      <c r="AA287" s="6">
        <v>0.75240099999999999</v>
      </c>
      <c r="AB287" s="5">
        <v>48.829000000000001</v>
      </c>
      <c r="AC287" s="6">
        <v>1</v>
      </c>
      <c r="AD287" s="6">
        <v>0.75240099999999999</v>
      </c>
      <c r="AE287" s="5">
        <v>48.829000000000001</v>
      </c>
      <c r="AF287" s="7">
        <v>10</v>
      </c>
      <c r="AG287" s="7">
        <v>7</v>
      </c>
      <c r="AH287" s="7">
        <v>9.25</v>
      </c>
      <c r="AI287" s="7">
        <v>17</v>
      </c>
      <c r="AJ287" s="7">
        <v>0</v>
      </c>
      <c r="AK287" s="8">
        <v>44115.517152777778</v>
      </c>
      <c r="AL287" s="7">
        <v>4.17</v>
      </c>
      <c r="AM287" s="7">
        <v>100</v>
      </c>
      <c r="AN287" s="7">
        <v>0</v>
      </c>
      <c r="AO287" s="7">
        <v>2.92</v>
      </c>
      <c r="AP287" s="7">
        <v>3.86</v>
      </c>
      <c r="AQ287" s="7">
        <v>8.81</v>
      </c>
      <c r="AR287" s="7">
        <v>2.19</v>
      </c>
      <c r="AS287" s="4" t="s">
        <v>303</v>
      </c>
      <c r="AT287" s="7">
        <v>0</v>
      </c>
      <c r="AU287" s="4" t="s">
        <v>477</v>
      </c>
      <c r="AV287" s="4" t="s">
        <v>305</v>
      </c>
      <c r="AW287" s="4" t="s">
        <v>292</v>
      </c>
    </row>
    <row r="288" spans="1:49" s="4" customFormat="1" x14ac:dyDescent="0.25">
      <c r="A288" s="4" t="s">
        <v>11200</v>
      </c>
      <c r="B288" s="4" t="s">
        <v>293</v>
      </c>
      <c r="C288" s="4" t="s">
        <v>475</v>
      </c>
      <c r="D288" s="4" t="s">
        <v>476</v>
      </c>
      <c r="F288" s="4" t="s">
        <v>11462</v>
      </c>
      <c r="G288" s="4" t="s">
        <v>11463</v>
      </c>
      <c r="I288" s="4" t="s">
        <v>296</v>
      </c>
      <c r="J288" s="4" t="s">
        <v>297</v>
      </c>
      <c r="K288" s="4" t="s">
        <v>298</v>
      </c>
      <c r="L288" s="4" t="s">
        <v>299</v>
      </c>
      <c r="M288" s="4" t="s">
        <v>300</v>
      </c>
      <c r="N288" s="4" t="s">
        <v>11198</v>
      </c>
      <c r="O288" s="5">
        <v>77.587999999999994</v>
      </c>
      <c r="P288" s="6">
        <v>1</v>
      </c>
      <c r="Q288" s="7">
        <v>9.25</v>
      </c>
      <c r="R288" s="7">
        <v>18</v>
      </c>
      <c r="S288" s="4" t="s">
        <v>301</v>
      </c>
      <c r="T288" s="4" t="s">
        <v>302</v>
      </c>
      <c r="U288" s="5">
        <v>106.65</v>
      </c>
      <c r="V288" s="6">
        <v>0.45</v>
      </c>
      <c r="W288" s="7">
        <v>1.5</v>
      </c>
      <c r="X288" s="5">
        <v>35.703000000000003</v>
      </c>
      <c r="Y288" s="4" t="s">
        <v>292</v>
      </c>
      <c r="Z288" s="6">
        <v>1</v>
      </c>
      <c r="AA288" s="6">
        <v>1</v>
      </c>
      <c r="AB288" s="5">
        <v>35.703000000000003</v>
      </c>
      <c r="AC288" s="6">
        <v>1</v>
      </c>
      <c r="AD288" s="6">
        <v>1</v>
      </c>
      <c r="AE288" s="5">
        <v>35.703000000000003</v>
      </c>
      <c r="AF288" s="7">
        <v>10</v>
      </c>
      <c r="AG288" s="7">
        <v>18</v>
      </c>
      <c r="AH288" s="7">
        <v>9.25</v>
      </c>
      <c r="AI288" s="7">
        <v>0</v>
      </c>
      <c r="AJ288" s="7">
        <v>0</v>
      </c>
      <c r="AK288" s="8">
        <v>44115.506990740738</v>
      </c>
      <c r="AL288" s="7">
        <v>4.8</v>
      </c>
      <c r="AM288" s="7">
        <v>100</v>
      </c>
      <c r="AN288" s="7">
        <v>0</v>
      </c>
      <c r="AO288" s="7">
        <v>8.64</v>
      </c>
      <c r="AP288" s="7">
        <v>4.4400000000000004</v>
      </c>
      <c r="AQ288" s="7">
        <v>0</v>
      </c>
      <c r="AR288" s="7">
        <v>0.79</v>
      </c>
      <c r="AS288" s="4" t="s">
        <v>303</v>
      </c>
      <c r="AT288" s="7">
        <v>0</v>
      </c>
      <c r="AU288" s="4" t="s">
        <v>477</v>
      </c>
      <c r="AV288" s="4" t="s">
        <v>305</v>
      </c>
      <c r="AW288" s="4" t="s">
        <v>292</v>
      </c>
    </row>
    <row r="289" spans="1:49" s="4" customFormat="1" x14ac:dyDescent="0.25">
      <c r="A289" s="4" t="s">
        <v>11207</v>
      </c>
      <c r="B289" s="4" t="s">
        <v>293</v>
      </c>
      <c r="C289" s="4" t="s">
        <v>475</v>
      </c>
      <c r="D289" s="4" t="s">
        <v>476</v>
      </c>
      <c r="F289" s="4" t="s">
        <v>11236</v>
      </c>
      <c r="G289" s="4" t="s">
        <v>11237</v>
      </c>
      <c r="I289" s="4" t="s">
        <v>296</v>
      </c>
      <c r="J289" s="4" t="s">
        <v>297</v>
      </c>
      <c r="K289" s="4" t="s">
        <v>298</v>
      </c>
      <c r="L289" s="4" t="s">
        <v>299</v>
      </c>
      <c r="M289" s="4" t="s">
        <v>300</v>
      </c>
      <c r="N289" s="4" t="s">
        <v>11238</v>
      </c>
      <c r="O289" s="5">
        <v>35.700000000000003</v>
      </c>
      <c r="P289" s="6">
        <v>1</v>
      </c>
      <c r="Q289" s="7">
        <v>9.25</v>
      </c>
      <c r="R289" s="7">
        <v>7</v>
      </c>
      <c r="S289" s="4" t="s">
        <v>301</v>
      </c>
      <c r="T289" s="4" t="s">
        <v>302</v>
      </c>
      <c r="U289" s="5">
        <v>42.627000000000002</v>
      </c>
      <c r="V289" s="6">
        <v>0.25</v>
      </c>
      <c r="W289" s="7">
        <v>3</v>
      </c>
      <c r="X289" s="5">
        <v>14.347</v>
      </c>
      <c r="Y289" s="4" t="s">
        <v>292</v>
      </c>
      <c r="Z289" s="6">
        <v>4</v>
      </c>
      <c r="AA289" s="6">
        <v>1</v>
      </c>
      <c r="AB289" s="5">
        <v>57.387999999999998</v>
      </c>
      <c r="AC289" s="6">
        <v>1</v>
      </c>
      <c r="AD289" s="6">
        <v>1</v>
      </c>
      <c r="AE289" s="5">
        <v>57.387999999999998</v>
      </c>
      <c r="AF289" s="5">
        <v>57.387999999999998</v>
      </c>
      <c r="AG289" s="7">
        <v>7</v>
      </c>
      <c r="AH289" s="7">
        <v>0</v>
      </c>
      <c r="AI289" s="7">
        <v>17</v>
      </c>
      <c r="AJ289" s="7">
        <v>0</v>
      </c>
      <c r="AK289" s="8">
        <v>44115.531817129631</v>
      </c>
      <c r="AL289" s="7">
        <v>1.07</v>
      </c>
      <c r="AM289" s="7">
        <v>100</v>
      </c>
      <c r="AN289" s="7">
        <v>0</v>
      </c>
      <c r="AO289" s="7">
        <v>0.75</v>
      </c>
      <c r="AP289" s="7">
        <v>0</v>
      </c>
      <c r="AQ289" s="7">
        <v>2.2000000000000002</v>
      </c>
      <c r="AR289" s="7">
        <v>0.42</v>
      </c>
      <c r="AS289" s="4" t="s">
        <v>303</v>
      </c>
      <c r="AT289" s="7">
        <v>0</v>
      </c>
      <c r="AU289" s="4" t="s">
        <v>477</v>
      </c>
      <c r="AV289" s="4" t="s">
        <v>305</v>
      </c>
    </row>
    <row r="290" spans="1:49" s="4" customFormat="1" x14ac:dyDescent="0.25">
      <c r="A290" s="4" t="s">
        <v>11201</v>
      </c>
      <c r="B290" s="4" t="s">
        <v>293</v>
      </c>
      <c r="C290" s="4" t="s">
        <v>478</v>
      </c>
      <c r="D290" s="4" t="s">
        <v>479</v>
      </c>
      <c r="F290" s="4" t="s">
        <v>11462</v>
      </c>
      <c r="G290" s="4" t="s">
        <v>11463</v>
      </c>
      <c r="I290" s="4" t="s">
        <v>296</v>
      </c>
      <c r="J290" s="4" t="s">
        <v>297</v>
      </c>
      <c r="K290" s="4" t="s">
        <v>298</v>
      </c>
      <c r="L290" s="4" t="s">
        <v>299</v>
      </c>
      <c r="M290" s="4" t="s">
        <v>300</v>
      </c>
      <c r="N290" s="4" t="s">
        <v>11198</v>
      </c>
      <c r="O290" s="5">
        <v>93.869</v>
      </c>
      <c r="P290" s="6">
        <v>1</v>
      </c>
      <c r="Q290" s="7">
        <v>9.25</v>
      </c>
      <c r="R290" s="7">
        <v>12</v>
      </c>
      <c r="S290" s="4" t="s">
        <v>301</v>
      </c>
      <c r="T290" s="4" t="s">
        <v>302</v>
      </c>
      <c r="U290" s="5">
        <v>119.199</v>
      </c>
      <c r="V290" s="6">
        <v>0.45</v>
      </c>
      <c r="W290" s="7">
        <v>1.5</v>
      </c>
      <c r="X290" s="5">
        <v>43.12</v>
      </c>
      <c r="Y290" s="4" t="s">
        <v>292</v>
      </c>
      <c r="Z290" s="6">
        <v>1</v>
      </c>
      <c r="AA290" s="6">
        <v>1</v>
      </c>
      <c r="AB290" s="5">
        <v>43.12</v>
      </c>
      <c r="AC290" s="6">
        <v>1</v>
      </c>
      <c r="AD290" s="6">
        <v>1</v>
      </c>
      <c r="AE290" s="5">
        <v>43.12</v>
      </c>
      <c r="AF290" s="7">
        <v>10</v>
      </c>
      <c r="AG290" s="7">
        <v>12</v>
      </c>
      <c r="AH290" s="7">
        <v>9.25</v>
      </c>
      <c r="AI290" s="7">
        <v>0</v>
      </c>
      <c r="AJ290" s="7">
        <v>0</v>
      </c>
      <c r="AK290" s="8">
        <v>44115.51363425926</v>
      </c>
      <c r="AL290" s="7">
        <v>5.36</v>
      </c>
      <c r="AM290" s="7">
        <v>100</v>
      </c>
      <c r="AN290" s="7">
        <v>0</v>
      </c>
      <c r="AO290" s="7">
        <v>6.44</v>
      </c>
      <c r="AP290" s="7">
        <v>4.97</v>
      </c>
      <c r="AQ290" s="7">
        <v>0</v>
      </c>
      <c r="AR290" s="7">
        <v>0.89</v>
      </c>
      <c r="AS290" s="4" t="s">
        <v>303</v>
      </c>
      <c r="AT290" s="7">
        <v>0</v>
      </c>
      <c r="AU290" s="4" t="s">
        <v>480</v>
      </c>
      <c r="AV290" s="4" t="s">
        <v>305</v>
      </c>
      <c r="AW290" s="4" t="s">
        <v>292</v>
      </c>
    </row>
    <row r="291" spans="1:49" s="4" customFormat="1" x14ac:dyDescent="0.25">
      <c r="A291" s="4" t="s">
        <v>11199</v>
      </c>
      <c r="B291" s="4" t="s">
        <v>293</v>
      </c>
      <c r="C291" s="4" t="s">
        <v>478</v>
      </c>
      <c r="D291" s="4" t="s">
        <v>479</v>
      </c>
      <c r="F291" s="4" t="s">
        <v>11462</v>
      </c>
      <c r="G291" s="4" t="s">
        <v>11463</v>
      </c>
      <c r="I291" s="4" t="s">
        <v>296</v>
      </c>
      <c r="J291" s="4" t="s">
        <v>297</v>
      </c>
      <c r="K291" s="4" t="s">
        <v>298</v>
      </c>
      <c r="L291" s="4" t="s">
        <v>299</v>
      </c>
      <c r="M291" s="4" t="s">
        <v>300</v>
      </c>
      <c r="N291" s="4" t="s">
        <v>11198</v>
      </c>
      <c r="O291" s="5">
        <v>93.869</v>
      </c>
      <c r="P291" s="6">
        <v>1</v>
      </c>
      <c r="Q291" s="7">
        <v>9.25</v>
      </c>
      <c r="R291" s="7">
        <v>7</v>
      </c>
      <c r="S291" s="4" t="s">
        <v>301</v>
      </c>
      <c r="T291" s="4" t="s">
        <v>302</v>
      </c>
      <c r="U291" s="5">
        <v>112.08199999999999</v>
      </c>
      <c r="V291" s="6">
        <v>0.45</v>
      </c>
      <c r="W291" s="7">
        <v>2</v>
      </c>
      <c r="X291" s="5">
        <v>43.356999999999999</v>
      </c>
      <c r="Y291" s="4" t="s">
        <v>292</v>
      </c>
      <c r="Z291" s="6">
        <v>1</v>
      </c>
      <c r="AA291" s="6">
        <v>1</v>
      </c>
      <c r="AB291" s="5">
        <v>43.356999999999999</v>
      </c>
      <c r="AC291" s="6">
        <v>1</v>
      </c>
      <c r="AD291" s="6">
        <v>1</v>
      </c>
      <c r="AE291" s="5">
        <v>43.356999999999999</v>
      </c>
      <c r="AF291" s="7">
        <v>10</v>
      </c>
      <c r="AG291" s="7">
        <v>7</v>
      </c>
      <c r="AH291" s="7">
        <v>9.25</v>
      </c>
      <c r="AI291" s="7">
        <v>0</v>
      </c>
      <c r="AJ291" s="7">
        <v>0</v>
      </c>
      <c r="AK291" s="8">
        <v>44115.517407407409</v>
      </c>
      <c r="AL291" s="7">
        <v>5.04</v>
      </c>
      <c r="AM291" s="7">
        <v>100</v>
      </c>
      <c r="AN291" s="7">
        <v>0</v>
      </c>
      <c r="AO291" s="7">
        <v>3.53</v>
      </c>
      <c r="AP291" s="7">
        <v>4.66</v>
      </c>
      <c r="AQ291" s="7">
        <v>0</v>
      </c>
      <c r="AR291" s="7">
        <v>1.1100000000000001</v>
      </c>
      <c r="AS291" s="4" t="s">
        <v>303</v>
      </c>
      <c r="AT291" s="7">
        <v>0</v>
      </c>
      <c r="AU291" s="4" t="s">
        <v>480</v>
      </c>
      <c r="AV291" s="4" t="s">
        <v>305</v>
      </c>
      <c r="AW291" s="4" t="s">
        <v>292</v>
      </c>
    </row>
    <row r="292" spans="1:49" s="4" customFormat="1" x14ac:dyDescent="0.25">
      <c r="A292" s="4" t="s">
        <v>395</v>
      </c>
      <c r="B292" s="4" t="s">
        <v>293</v>
      </c>
      <c r="C292" s="4" t="s">
        <v>478</v>
      </c>
      <c r="D292" s="4" t="s">
        <v>479</v>
      </c>
      <c r="F292" s="4" t="s">
        <v>11462</v>
      </c>
      <c r="G292" s="4" t="s">
        <v>11463</v>
      </c>
      <c r="I292" s="4" t="s">
        <v>296</v>
      </c>
      <c r="J292" s="4" t="s">
        <v>297</v>
      </c>
      <c r="K292" s="4" t="s">
        <v>298</v>
      </c>
      <c r="L292" s="4" t="s">
        <v>299</v>
      </c>
      <c r="M292" s="4" t="s">
        <v>300</v>
      </c>
      <c r="N292" s="4" t="s">
        <v>447</v>
      </c>
      <c r="O292" s="5">
        <v>93.869</v>
      </c>
      <c r="P292" s="6">
        <v>1</v>
      </c>
      <c r="Q292" s="7">
        <v>9.25</v>
      </c>
      <c r="R292" s="7">
        <v>7</v>
      </c>
      <c r="S292" s="4" t="s">
        <v>301</v>
      </c>
      <c r="T292" s="4" t="s">
        <v>302</v>
      </c>
      <c r="U292" s="5">
        <v>112.08199999999999</v>
      </c>
      <c r="V292" s="6">
        <v>0.45</v>
      </c>
      <c r="W292" s="7">
        <v>4</v>
      </c>
      <c r="X292" s="5">
        <v>59.076999999999998</v>
      </c>
      <c r="Y292" s="4" t="s">
        <v>292</v>
      </c>
      <c r="Z292" s="6">
        <v>1</v>
      </c>
      <c r="AA292" s="6">
        <v>0.75269600000000003</v>
      </c>
      <c r="AB292" s="5">
        <v>59.076999999999998</v>
      </c>
      <c r="AC292" s="6">
        <v>1</v>
      </c>
      <c r="AD292" s="6">
        <v>0.75269600000000003</v>
      </c>
      <c r="AE292" s="5">
        <v>59.076999999999998</v>
      </c>
      <c r="AF292" s="7">
        <v>10</v>
      </c>
      <c r="AG292" s="7">
        <v>7</v>
      </c>
      <c r="AH292" s="7">
        <v>9.25</v>
      </c>
      <c r="AI292" s="7">
        <v>17</v>
      </c>
      <c r="AJ292" s="7">
        <v>0</v>
      </c>
      <c r="AK292" s="8">
        <v>44115.517407407409</v>
      </c>
      <c r="AL292" s="7">
        <v>5.04</v>
      </c>
      <c r="AM292" s="7">
        <v>100</v>
      </c>
      <c r="AN292" s="7">
        <v>0</v>
      </c>
      <c r="AO292" s="7">
        <v>3.53</v>
      </c>
      <c r="AP292" s="7">
        <v>4.66</v>
      </c>
      <c r="AQ292" s="7">
        <v>10.65</v>
      </c>
      <c r="AR292" s="7">
        <v>2.65</v>
      </c>
      <c r="AS292" s="4" t="s">
        <v>303</v>
      </c>
      <c r="AT292" s="7">
        <v>0</v>
      </c>
      <c r="AU292" s="4" t="s">
        <v>480</v>
      </c>
      <c r="AV292" s="4" t="s">
        <v>305</v>
      </c>
      <c r="AW292" s="4" t="s">
        <v>292</v>
      </c>
    </row>
    <row r="293" spans="1:49" s="4" customFormat="1" x14ac:dyDescent="0.25">
      <c r="A293" s="4" t="s">
        <v>11200</v>
      </c>
      <c r="B293" s="4" t="s">
        <v>293</v>
      </c>
      <c r="C293" s="4" t="s">
        <v>478</v>
      </c>
      <c r="D293" s="4" t="s">
        <v>479</v>
      </c>
      <c r="F293" s="4" t="s">
        <v>11462</v>
      </c>
      <c r="G293" s="4" t="s">
        <v>11463</v>
      </c>
      <c r="I293" s="4" t="s">
        <v>296</v>
      </c>
      <c r="J293" s="4" t="s">
        <v>297</v>
      </c>
      <c r="K293" s="4" t="s">
        <v>298</v>
      </c>
      <c r="L293" s="4" t="s">
        <v>299</v>
      </c>
      <c r="M293" s="4" t="s">
        <v>300</v>
      </c>
      <c r="N293" s="4" t="s">
        <v>11198</v>
      </c>
      <c r="O293" s="5">
        <v>93.869</v>
      </c>
      <c r="P293" s="6">
        <v>1</v>
      </c>
      <c r="Q293" s="7">
        <v>9.25</v>
      </c>
      <c r="R293" s="7">
        <v>18</v>
      </c>
      <c r="S293" s="4" t="s">
        <v>301</v>
      </c>
      <c r="T293" s="4" t="s">
        <v>302</v>
      </c>
      <c r="U293" s="5">
        <v>129.03</v>
      </c>
      <c r="V293" s="6">
        <v>0.45</v>
      </c>
      <c r="W293" s="7">
        <v>1.5</v>
      </c>
      <c r="X293" s="5">
        <v>43.204000000000001</v>
      </c>
      <c r="Y293" s="4" t="s">
        <v>292</v>
      </c>
      <c r="Z293" s="6">
        <v>1</v>
      </c>
      <c r="AA293" s="6">
        <v>1</v>
      </c>
      <c r="AB293" s="5">
        <v>43.204000000000001</v>
      </c>
      <c r="AC293" s="6">
        <v>1</v>
      </c>
      <c r="AD293" s="6">
        <v>1</v>
      </c>
      <c r="AE293" s="5">
        <v>43.204000000000001</v>
      </c>
      <c r="AF293" s="7">
        <v>10</v>
      </c>
      <c r="AG293" s="7">
        <v>18</v>
      </c>
      <c r="AH293" s="7">
        <v>9.25</v>
      </c>
      <c r="AI293" s="7">
        <v>0</v>
      </c>
      <c r="AJ293" s="7">
        <v>0</v>
      </c>
      <c r="AK293" s="8">
        <v>44115.507037037038</v>
      </c>
      <c r="AL293" s="7">
        <v>5.81</v>
      </c>
      <c r="AM293" s="7">
        <v>100</v>
      </c>
      <c r="AN293" s="7">
        <v>0</v>
      </c>
      <c r="AO293" s="7">
        <v>10.45</v>
      </c>
      <c r="AP293" s="7">
        <v>5.37</v>
      </c>
      <c r="AQ293" s="7">
        <v>0</v>
      </c>
      <c r="AR293" s="7">
        <v>0.96</v>
      </c>
      <c r="AS293" s="4" t="s">
        <v>303</v>
      </c>
      <c r="AT293" s="7">
        <v>0</v>
      </c>
      <c r="AU293" s="4" t="s">
        <v>480</v>
      </c>
      <c r="AV293" s="4" t="s">
        <v>305</v>
      </c>
      <c r="AW293" s="4" t="s">
        <v>292</v>
      </c>
    </row>
    <row r="294" spans="1:49" s="4" customFormat="1" x14ac:dyDescent="0.25">
      <c r="A294" s="4" t="s">
        <v>11207</v>
      </c>
      <c r="B294" s="4" t="s">
        <v>293</v>
      </c>
      <c r="C294" s="4" t="s">
        <v>478</v>
      </c>
      <c r="D294" s="4" t="s">
        <v>479</v>
      </c>
      <c r="F294" s="4" t="s">
        <v>11236</v>
      </c>
      <c r="G294" s="4" t="s">
        <v>11237</v>
      </c>
      <c r="I294" s="4" t="s">
        <v>296</v>
      </c>
      <c r="J294" s="4" t="s">
        <v>297</v>
      </c>
      <c r="K294" s="4" t="s">
        <v>298</v>
      </c>
      <c r="L294" s="4" t="s">
        <v>299</v>
      </c>
      <c r="M294" s="4" t="s">
        <v>300</v>
      </c>
      <c r="N294" s="4" t="s">
        <v>11238</v>
      </c>
      <c r="O294" s="5">
        <v>43.2</v>
      </c>
      <c r="P294" s="6">
        <v>1</v>
      </c>
      <c r="Q294" s="7">
        <v>9.25</v>
      </c>
      <c r="R294" s="7">
        <v>7</v>
      </c>
      <c r="S294" s="4" t="s">
        <v>301</v>
      </c>
      <c r="T294" s="4" t="s">
        <v>302</v>
      </c>
      <c r="U294" s="5">
        <v>51.582000000000001</v>
      </c>
      <c r="V294" s="6">
        <v>0.25</v>
      </c>
      <c r="W294" s="7">
        <v>3</v>
      </c>
      <c r="X294" s="5">
        <v>17.366</v>
      </c>
      <c r="Y294" s="4" t="s">
        <v>292</v>
      </c>
      <c r="Z294" s="6">
        <v>4</v>
      </c>
      <c r="AA294" s="6">
        <v>1</v>
      </c>
      <c r="AB294" s="5">
        <v>69.463999999999999</v>
      </c>
      <c r="AC294" s="6">
        <v>1</v>
      </c>
      <c r="AD294" s="6">
        <v>1</v>
      </c>
      <c r="AE294" s="5">
        <v>69.463999999999999</v>
      </c>
      <c r="AF294" s="5">
        <v>69.463999999999999</v>
      </c>
      <c r="AG294" s="7">
        <v>7</v>
      </c>
      <c r="AH294" s="7">
        <v>0</v>
      </c>
      <c r="AI294" s="7">
        <v>17</v>
      </c>
      <c r="AJ294" s="7">
        <v>0</v>
      </c>
      <c r="AK294" s="8">
        <v>44115.531863425924</v>
      </c>
      <c r="AL294" s="7">
        <v>1.29</v>
      </c>
      <c r="AM294" s="7">
        <v>100</v>
      </c>
      <c r="AN294" s="7">
        <v>0</v>
      </c>
      <c r="AO294" s="7">
        <v>0.9</v>
      </c>
      <c r="AP294" s="7">
        <v>0</v>
      </c>
      <c r="AQ294" s="7">
        <v>2.67</v>
      </c>
      <c r="AR294" s="7">
        <v>0.51</v>
      </c>
      <c r="AS294" s="4" t="s">
        <v>303</v>
      </c>
      <c r="AT294" s="7">
        <v>0</v>
      </c>
      <c r="AU294" s="4" t="s">
        <v>480</v>
      </c>
      <c r="AV294" s="4" t="s">
        <v>305</v>
      </c>
    </row>
    <row r="295" spans="1:49" s="4" customFormat="1" x14ac:dyDescent="0.25">
      <c r="A295" s="4" t="s">
        <v>11201</v>
      </c>
      <c r="B295" s="4" t="s">
        <v>293</v>
      </c>
      <c r="C295" s="4" t="s">
        <v>481</v>
      </c>
      <c r="D295" s="4" t="s">
        <v>482</v>
      </c>
      <c r="F295" s="4" t="s">
        <v>11462</v>
      </c>
      <c r="G295" s="4" t="s">
        <v>11463</v>
      </c>
      <c r="I295" s="4" t="s">
        <v>296</v>
      </c>
      <c r="J295" s="4" t="s">
        <v>297</v>
      </c>
      <c r="K295" s="4" t="s">
        <v>298</v>
      </c>
      <c r="L295" s="4" t="s">
        <v>299</v>
      </c>
      <c r="M295" s="4" t="s">
        <v>300</v>
      </c>
      <c r="N295" s="4" t="s">
        <v>11198</v>
      </c>
      <c r="O295" s="5">
        <v>101.114</v>
      </c>
      <c r="P295" s="6">
        <v>1</v>
      </c>
      <c r="Q295" s="7">
        <v>9.25</v>
      </c>
      <c r="R295" s="7">
        <v>12</v>
      </c>
      <c r="S295" s="4" t="s">
        <v>301</v>
      </c>
      <c r="T295" s="4" t="s">
        <v>302</v>
      </c>
      <c r="U295" s="5">
        <v>128.399</v>
      </c>
      <c r="V295" s="6">
        <v>0.45</v>
      </c>
      <c r="W295" s="7">
        <v>1.5</v>
      </c>
      <c r="X295" s="5">
        <v>46.46</v>
      </c>
      <c r="Y295" s="4" t="s">
        <v>292</v>
      </c>
      <c r="Z295" s="6">
        <v>1</v>
      </c>
      <c r="AA295" s="6">
        <v>1</v>
      </c>
      <c r="AB295" s="5">
        <v>46.46</v>
      </c>
      <c r="AC295" s="6">
        <v>1</v>
      </c>
      <c r="AD295" s="6">
        <v>1</v>
      </c>
      <c r="AE295" s="5">
        <v>46.46</v>
      </c>
      <c r="AF295" s="7">
        <v>10</v>
      </c>
      <c r="AG295" s="7">
        <v>12</v>
      </c>
      <c r="AH295" s="7">
        <v>9.25</v>
      </c>
      <c r="AI295" s="7">
        <v>0</v>
      </c>
      <c r="AJ295" s="7">
        <v>0</v>
      </c>
      <c r="AK295" s="8">
        <v>44115.51363425926</v>
      </c>
      <c r="AL295" s="7">
        <v>5.78</v>
      </c>
      <c r="AM295" s="7">
        <v>100</v>
      </c>
      <c r="AN295" s="7">
        <v>0</v>
      </c>
      <c r="AO295" s="7">
        <v>6.93</v>
      </c>
      <c r="AP295" s="7">
        <v>5.34</v>
      </c>
      <c r="AQ295" s="7">
        <v>0</v>
      </c>
      <c r="AR295" s="7">
        <v>0.95</v>
      </c>
      <c r="AS295" s="4" t="s">
        <v>303</v>
      </c>
      <c r="AT295" s="7">
        <v>0</v>
      </c>
      <c r="AU295" s="4" t="s">
        <v>483</v>
      </c>
      <c r="AV295" s="4" t="s">
        <v>305</v>
      </c>
      <c r="AW295" s="4" t="s">
        <v>292</v>
      </c>
    </row>
    <row r="296" spans="1:49" s="4" customFormat="1" x14ac:dyDescent="0.25">
      <c r="A296" s="4" t="s">
        <v>11199</v>
      </c>
      <c r="B296" s="4" t="s">
        <v>293</v>
      </c>
      <c r="C296" s="4" t="s">
        <v>481</v>
      </c>
      <c r="D296" s="4" t="s">
        <v>482</v>
      </c>
      <c r="F296" s="4" t="s">
        <v>11462</v>
      </c>
      <c r="G296" s="4" t="s">
        <v>11463</v>
      </c>
      <c r="I296" s="4" t="s">
        <v>296</v>
      </c>
      <c r="J296" s="4" t="s">
        <v>297</v>
      </c>
      <c r="K296" s="4" t="s">
        <v>298</v>
      </c>
      <c r="L296" s="4" t="s">
        <v>299</v>
      </c>
      <c r="M296" s="4" t="s">
        <v>300</v>
      </c>
      <c r="N296" s="4" t="s">
        <v>11198</v>
      </c>
      <c r="O296" s="5">
        <v>101.11499999999999</v>
      </c>
      <c r="P296" s="6">
        <v>1</v>
      </c>
      <c r="Q296" s="7">
        <v>9.25</v>
      </c>
      <c r="R296" s="7">
        <v>7</v>
      </c>
      <c r="S296" s="4" t="s">
        <v>301</v>
      </c>
      <c r="T296" s="4" t="s">
        <v>302</v>
      </c>
      <c r="U296" s="5">
        <v>120.73399999999999</v>
      </c>
      <c r="V296" s="6">
        <v>0.45</v>
      </c>
      <c r="W296" s="7">
        <v>2</v>
      </c>
      <c r="X296" s="5">
        <v>46.7</v>
      </c>
      <c r="Y296" s="4" t="s">
        <v>292</v>
      </c>
      <c r="Z296" s="6">
        <v>1</v>
      </c>
      <c r="AA296" s="6">
        <v>1</v>
      </c>
      <c r="AB296" s="5">
        <v>46.7</v>
      </c>
      <c r="AC296" s="6">
        <v>1</v>
      </c>
      <c r="AD296" s="6">
        <v>1</v>
      </c>
      <c r="AE296" s="5">
        <v>46.7</v>
      </c>
      <c r="AF296" s="7">
        <v>10</v>
      </c>
      <c r="AG296" s="7">
        <v>7</v>
      </c>
      <c r="AH296" s="7">
        <v>9.25</v>
      </c>
      <c r="AI296" s="7">
        <v>0</v>
      </c>
      <c r="AJ296" s="7">
        <v>0</v>
      </c>
      <c r="AK296" s="8">
        <v>44115.517442129632</v>
      </c>
      <c r="AL296" s="7">
        <v>5.43</v>
      </c>
      <c r="AM296" s="7">
        <v>100</v>
      </c>
      <c r="AN296" s="7">
        <v>0</v>
      </c>
      <c r="AO296" s="7">
        <v>3.8</v>
      </c>
      <c r="AP296" s="7">
        <v>5.03</v>
      </c>
      <c r="AQ296" s="7">
        <v>0</v>
      </c>
      <c r="AR296" s="7">
        <v>1.2</v>
      </c>
      <c r="AS296" s="4" t="s">
        <v>303</v>
      </c>
      <c r="AT296" s="7">
        <v>0</v>
      </c>
      <c r="AU296" s="4" t="s">
        <v>483</v>
      </c>
      <c r="AV296" s="4" t="s">
        <v>305</v>
      </c>
      <c r="AW296" s="4" t="s">
        <v>292</v>
      </c>
    </row>
    <row r="297" spans="1:49" s="4" customFormat="1" x14ac:dyDescent="0.25">
      <c r="A297" s="4" t="s">
        <v>395</v>
      </c>
      <c r="B297" s="4" t="s">
        <v>293</v>
      </c>
      <c r="C297" s="4" t="s">
        <v>481</v>
      </c>
      <c r="D297" s="4" t="s">
        <v>482</v>
      </c>
      <c r="F297" s="4" t="s">
        <v>11462</v>
      </c>
      <c r="G297" s="4" t="s">
        <v>11463</v>
      </c>
      <c r="I297" s="4" t="s">
        <v>296</v>
      </c>
      <c r="J297" s="4" t="s">
        <v>297</v>
      </c>
      <c r="K297" s="4" t="s">
        <v>298</v>
      </c>
      <c r="L297" s="4" t="s">
        <v>299</v>
      </c>
      <c r="M297" s="4" t="s">
        <v>300</v>
      </c>
      <c r="N297" s="4" t="s">
        <v>447</v>
      </c>
      <c r="O297" s="5">
        <v>101.11499999999999</v>
      </c>
      <c r="P297" s="6">
        <v>1</v>
      </c>
      <c r="Q297" s="7">
        <v>9.25</v>
      </c>
      <c r="R297" s="7">
        <v>7</v>
      </c>
      <c r="S297" s="4" t="s">
        <v>301</v>
      </c>
      <c r="T297" s="4" t="s">
        <v>302</v>
      </c>
      <c r="U297" s="5">
        <v>120.73399999999999</v>
      </c>
      <c r="V297" s="6">
        <v>0.45</v>
      </c>
      <c r="W297" s="7">
        <v>4</v>
      </c>
      <c r="X297" s="5">
        <v>63.63</v>
      </c>
      <c r="Y297" s="4" t="s">
        <v>292</v>
      </c>
      <c r="Z297" s="6">
        <v>1</v>
      </c>
      <c r="AA297" s="6">
        <v>0.75263199999999997</v>
      </c>
      <c r="AB297" s="5">
        <v>63.63</v>
      </c>
      <c r="AC297" s="6">
        <v>1</v>
      </c>
      <c r="AD297" s="6">
        <v>0.75263199999999997</v>
      </c>
      <c r="AE297" s="5">
        <v>63.63</v>
      </c>
      <c r="AF297" s="7">
        <v>10</v>
      </c>
      <c r="AG297" s="7">
        <v>7</v>
      </c>
      <c r="AH297" s="7">
        <v>9.25</v>
      </c>
      <c r="AI297" s="7">
        <v>17</v>
      </c>
      <c r="AJ297" s="7">
        <v>0</v>
      </c>
      <c r="AK297" s="8">
        <v>44115.517442129632</v>
      </c>
      <c r="AL297" s="7">
        <v>5.43</v>
      </c>
      <c r="AM297" s="7">
        <v>100</v>
      </c>
      <c r="AN297" s="7">
        <v>0</v>
      </c>
      <c r="AO297" s="7">
        <v>3.8</v>
      </c>
      <c r="AP297" s="7">
        <v>5.03</v>
      </c>
      <c r="AQ297" s="7">
        <v>11.48</v>
      </c>
      <c r="AR297" s="7">
        <v>2.85</v>
      </c>
      <c r="AS297" s="4" t="s">
        <v>303</v>
      </c>
      <c r="AT297" s="7">
        <v>0</v>
      </c>
      <c r="AU297" s="4" t="s">
        <v>483</v>
      </c>
      <c r="AV297" s="4" t="s">
        <v>305</v>
      </c>
      <c r="AW297" s="4" t="s">
        <v>292</v>
      </c>
    </row>
    <row r="298" spans="1:49" s="4" customFormat="1" x14ac:dyDescent="0.25">
      <c r="A298" s="4" t="s">
        <v>11200</v>
      </c>
      <c r="B298" s="4" t="s">
        <v>293</v>
      </c>
      <c r="C298" s="4" t="s">
        <v>481</v>
      </c>
      <c r="D298" s="4" t="s">
        <v>482</v>
      </c>
      <c r="F298" s="4" t="s">
        <v>11462</v>
      </c>
      <c r="G298" s="4" t="s">
        <v>11463</v>
      </c>
      <c r="I298" s="4" t="s">
        <v>296</v>
      </c>
      <c r="J298" s="4" t="s">
        <v>297</v>
      </c>
      <c r="K298" s="4" t="s">
        <v>298</v>
      </c>
      <c r="L298" s="4" t="s">
        <v>299</v>
      </c>
      <c r="M298" s="4" t="s">
        <v>300</v>
      </c>
      <c r="N298" s="4" t="s">
        <v>11198</v>
      </c>
      <c r="O298" s="5">
        <v>101.11499999999999</v>
      </c>
      <c r="P298" s="6">
        <v>1</v>
      </c>
      <c r="Q298" s="7">
        <v>9.25</v>
      </c>
      <c r="R298" s="7">
        <v>18</v>
      </c>
      <c r="S298" s="4" t="s">
        <v>301</v>
      </c>
      <c r="T298" s="4" t="s">
        <v>302</v>
      </c>
      <c r="U298" s="5">
        <v>138.99</v>
      </c>
      <c r="V298" s="6">
        <v>0.45</v>
      </c>
      <c r="W298" s="7">
        <v>1.5</v>
      </c>
      <c r="X298" s="5">
        <v>46.536000000000001</v>
      </c>
      <c r="Y298" s="4" t="s">
        <v>292</v>
      </c>
      <c r="Z298" s="6">
        <v>1</v>
      </c>
      <c r="AA298" s="6">
        <v>1</v>
      </c>
      <c r="AB298" s="5">
        <v>46.536000000000001</v>
      </c>
      <c r="AC298" s="6">
        <v>1</v>
      </c>
      <c r="AD298" s="6">
        <v>1</v>
      </c>
      <c r="AE298" s="5">
        <v>46.536000000000001</v>
      </c>
      <c r="AF298" s="7">
        <v>10</v>
      </c>
      <c r="AG298" s="7">
        <v>18</v>
      </c>
      <c r="AH298" s="7">
        <v>9.25</v>
      </c>
      <c r="AI298" s="7">
        <v>0</v>
      </c>
      <c r="AJ298" s="7">
        <v>0</v>
      </c>
      <c r="AK298" s="8">
        <v>44115.507037037038</v>
      </c>
      <c r="AL298" s="7">
        <v>6.26</v>
      </c>
      <c r="AM298" s="7">
        <v>100</v>
      </c>
      <c r="AN298" s="7">
        <v>0</v>
      </c>
      <c r="AO298" s="7">
        <v>11.26</v>
      </c>
      <c r="AP298" s="7">
        <v>5.78</v>
      </c>
      <c r="AQ298" s="7">
        <v>0</v>
      </c>
      <c r="AR298" s="7">
        <v>1.03</v>
      </c>
      <c r="AS298" s="4" t="s">
        <v>303</v>
      </c>
      <c r="AT298" s="7">
        <v>0</v>
      </c>
      <c r="AU298" s="4" t="s">
        <v>483</v>
      </c>
      <c r="AV298" s="4" t="s">
        <v>305</v>
      </c>
      <c r="AW298" s="4" t="s">
        <v>292</v>
      </c>
    </row>
    <row r="299" spans="1:49" s="4" customFormat="1" x14ac:dyDescent="0.25">
      <c r="A299" s="4" t="s">
        <v>11207</v>
      </c>
      <c r="B299" s="4" t="s">
        <v>293</v>
      </c>
      <c r="C299" s="4" t="s">
        <v>481</v>
      </c>
      <c r="D299" s="4" t="s">
        <v>482</v>
      </c>
      <c r="F299" s="4" t="s">
        <v>11236</v>
      </c>
      <c r="G299" s="4" t="s">
        <v>11237</v>
      </c>
      <c r="I299" s="4" t="s">
        <v>296</v>
      </c>
      <c r="J299" s="4" t="s">
        <v>297</v>
      </c>
      <c r="K299" s="4" t="s">
        <v>298</v>
      </c>
      <c r="L299" s="4" t="s">
        <v>299</v>
      </c>
      <c r="M299" s="4" t="s">
        <v>300</v>
      </c>
      <c r="N299" s="4" t="s">
        <v>11238</v>
      </c>
      <c r="O299" s="5">
        <v>46.54</v>
      </c>
      <c r="P299" s="6">
        <v>1</v>
      </c>
      <c r="Q299" s="7">
        <v>9.25</v>
      </c>
      <c r="R299" s="7">
        <v>7</v>
      </c>
      <c r="S299" s="4" t="s">
        <v>301</v>
      </c>
      <c r="T299" s="4" t="s">
        <v>302</v>
      </c>
      <c r="U299" s="5">
        <v>55.57</v>
      </c>
      <c r="V299" s="6">
        <v>0.25</v>
      </c>
      <c r="W299" s="7">
        <v>3</v>
      </c>
      <c r="X299" s="5">
        <v>18.693000000000001</v>
      </c>
      <c r="Y299" s="4" t="s">
        <v>292</v>
      </c>
      <c r="Z299" s="6">
        <v>4</v>
      </c>
      <c r="AA299" s="6">
        <v>1</v>
      </c>
      <c r="AB299" s="5">
        <v>74.772000000000006</v>
      </c>
      <c r="AC299" s="6">
        <v>1</v>
      </c>
      <c r="AD299" s="6">
        <v>1</v>
      </c>
      <c r="AE299" s="5">
        <v>74.772000000000006</v>
      </c>
      <c r="AF299" s="5">
        <v>74.772000000000006</v>
      </c>
      <c r="AG299" s="7">
        <v>7</v>
      </c>
      <c r="AH299" s="7">
        <v>0</v>
      </c>
      <c r="AI299" s="7">
        <v>17</v>
      </c>
      <c r="AJ299" s="7">
        <v>0</v>
      </c>
      <c r="AK299" s="8">
        <v>44115.531875000001</v>
      </c>
      <c r="AL299" s="7">
        <v>1.39</v>
      </c>
      <c r="AM299" s="7">
        <v>100</v>
      </c>
      <c r="AN299" s="7">
        <v>0</v>
      </c>
      <c r="AO299" s="7">
        <v>0.97</v>
      </c>
      <c r="AP299" s="7">
        <v>0</v>
      </c>
      <c r="AQ299" s="7">
        <v>2.87</v>
      </c>
      <c r="AR299" s="7">
        <v>0.54</v>
      </c>
      <c r="AS299" s="4" t="s">
        <v>303</v>
      </c>
      <c r="AT299" s="7">
        <v>0</v>
      </c>
      <c r="AU299" s="4" t="s">
        <v>483</v>
      </c>
      <c r="AV299" s="4" t="s">
        <v>305</v>
      </c>
    </row>
    <row r="300" spans="1:49" s="4" customFormat="1" x14ac:dyDescent="0.25">
      <c r="A300" s="4" t="s">
        <v>11201</v>
      </c>
      <c r="B300" s="4" t="s">
        <v>293</v>
      </c>
      <c r="C300" s="4" t="s">
        <v>484</v>
      </c>
      <c r="D300" s="4" t="s">
        <v>485</v>
      </c>
      <c r="F300" s="4" t="s">
        <v>11462</v>
      </c>
      <c r="G300" s="4" t="s">
        <v>11463</v>
      </c>
      <c r="I300" s="4" t="s">
        <v>296</v>
      </c>
      <c r="J300" s="4" t="s">
        <v>297</v>
      </c>
      <c r="K300" s="4" t="s">
        <v>298</v>
      </c>
      <c r="L300" s="4" t="s">
        <v>299</v>
      </c>
      <c r="M300" s="4" t="s">
        <v>300</v>
      </c>
      <c r="N300" s="4" t="s">
        <v>11198</v>
      </c>
      <c r="O300" s="5">
        <v>111.05200000000001</v>
      </c>
      <c r="P300" s="6">
        <v>1</v>
      </c>
      <c r="Q300" s="7">
        <v>9.25</v>
      </c>
      <c r="R300" s="7">
        <v>12</v>
      </c>
      <c r="S300" s="4" t="s">
        <v>301</v>
      </c>
      <c r="T300" s="4" t="s">
        <v>302</v>
      </c>
      <c r="U300" s="5">
        <v>141.018</v>
      </c>
      <c r="V300" s="6">
        <v>0.45</v>
      </c>
      <c r="W300" s="7">
        <v>1.5</v>
      </c>
      <c r="X300" s="5">
        <v>51.018000000000001</v>
      </c>
      <c r="Y300" s="4" t="s">
        <v>292</v>
      </c>
      <c r="Z300" s="6">
        <v>1</v>
      </c>
      <c r="AA300" s="6">
        <v>1</v>
      </c>
      <c r="AB300" s="5">
        <v>51.018000000000001</v>
      </c>
      <c r="AC300" s="6">
        <v>1</v>
      </c>
      <c r="AD300" s="6">
        <v>1</v>
      </c>
      <c r="AE300" s="5">
        <v>51.018000000000001</v>
      </c>
      <c r="AF300" s="7">
        <v>10</v>
      </c>
      <c r="AG300" s="7">
        <v>12</v>
      </c>
      <c r="AH300" s="7">
        <v>9.25</v>
      </c>
      <c r="AI300" s="7">
        <v>0</v>
      </c>
      <c r="AJ300" s="7">
        <v>0</v>
      </c>
      <c r="AK300" s="8">
        <v>44115.51363425926</v>
      </c>
      <c r="AL300" s="7">
        <v>6.35</v>
      </c>
      <c r="AM300" s="7">
        <v>100</v>
      </c>
      <c r="AN300" s="7">
        <v>0</v>
      </c>
      <c r="AO300" s="7">
        <v>7.62</v>
      </c>
      <c r="AP300" s="7">
        <v>5.87</v>
      </c>
      <c r="AQ300" s="7">
        <v>0</v>
      </c>
      <c r="AR300" s="7">
        <v>1.05</v>
      </c>
      <c r="AS300" s="4" t="s">
        <v>303</v>
      </c>
      <c r="AT300" s="7">
        <v>0</v>
      </c>
      <c r="AU300" s="4" t="s">
        <v>486</v>
      </c>
      <c r="AV300" s="4" t="s">
        <v>305</v>
      </c>
      <c r="AW300" s="4" t="s">
        <v>292</v>
      </c>
    </row>
    <row r="301" spans="1:49" s="4" customFormat="1" x14ac:dyDescent="0.25">
      <c r="A301" s="4" t="s">
        <v>11199</v>
      </c>
      <c r="B301" s="4" t="s">
        <v>293</v>
      </c>
      <c r="C301" s="4" t="s">
        <v>484</v>
      </c>
      <c r="D301" s="4" t="s">
        <v>485</v>
      </c>
      <c r="F301" s="4" t="s">
        <v>11462</v>
      </c>
      <c r="G301" s="4" t="s">
        <v>11463</v>
      </c>
      <c r="I301" s="4" t="s">
        <v>296</v>
      </c>
      <c r="J301" s="4" t="s">
        <v>297</v>
      </c>
      <c r="K301" s="4" t="s">
        <v>298</v>
      </c>
      <c r="L301" s="4" t="s">
        <v>299</v>
      </c>
      <c r="M301" s="4" t="s">
        <v>300</v>
      </c>
      <c r="N301" s="4" t="s">
        <v>11198</v>
      </c>
      <c r="O301" s="5">
        <v>111.053</v>
      </c>
      <c r="P301" s="6">
        <v>1</v>
      </c>
      <c r="Q301" s="7">
        <v>9.25</v>
      </c>
      <c r="R301" s="7">
        <v>7</v>
      </c>
      <c r="S301" s="4" t="s">
        <v>301</v>
      </c>
      <c r="T301" s="4" t="s">
        <v>302</v>
      </c>
      <c r="U301" s="5">
        <v>132.601</v>
      </c>
      <c r="V301" s="6">
        <v>0.45</v>
      </c>
      <c r="W301" s="7">
        <v>2</v>
      </c>
      <c r="X301" s="5">
        <v>51.29</v>
      </c>
      <c r="Y301" s="4" t="s">
        <v>292</v>
      </c>
      <c r="Z301" s="6">
        <v>1</v>
      </c>
      <c r="AA301" s="6">
        <v>1</v>
      </c>
      <c r="AB301" s="5">
        <v>51.29</v>
      </c>
      <c r="AC301" s="6">
        <v>1</v>
      </c>
      <c r="AD301" s="6">
        <v>1</v>
      </c>
      <c r="AE301" s="5">
        <v>51.29</v>
      </c>
      <c r="AF301" s="7">
        <v>10</v>
      </c>
      <c r="AG301" s="7">
        <v>7</v>
      </c>
      <c r="AH301" s="7">
        <v>9.25</v>
      </c>
      <c r="AI301" s="7">
        <v>0</v>
      </c>
      <c r="AJ301" s="7">
        <v>0</v>
      </c>
      <c r="AK301" s="8">
        <v>44115.517453703702</v>
      </c>
      <c r="AL301" s="7">
        <v>5.97</v>
      </c>
      <c r="AM301" s="7">
        <v>100</v>
      </c>
      <c r="AN301" s="7">
        <v>0</v>
      </c>
      <c r="AO301" s="7">
        <v>4.18</v>
      </c>
      <c r="AP301" s="7">
        <v>5.51</v>
      </c>
      <c r="AQ301" s="7">
        <v>0</v>
      </c>
      <c r="AR301" s="7">
        <v>1.31</v>
      </c>
      <c r="AS301" s="4" t="s">
        <v>303</v>
      </c>
      <c r="AT301" s="7">
        <v>0</v>
      </c>
      <c r="AU301" s="4" t="s">
        <v>486</v>
      </c>
      <c r="AV301" s="4" t="s">
        <v>305</v>
      </c>
      <c r="AW301" s="4" t="s">
        <v>292</v>
      </c>
    </row>
    <row r="302" spans="1:49" s="4" customFormat="1" x14ac:dyDescent="0.25">
      <c r="A302" s="4" t="s">
        <v>395</v>
      </c>
      <c r="B302" s="4" t="s">
        <v>293</v>
      </c>
      <c r="C302" s="4" t="s">
        <v>484</v>
      </c>
      <c r="D302" s="4" t="s">
        <v>485</v>
      </c>
      <c r="F302" s="4" t="s">
        <v>11462</v>
      </c>
      <c r="G302" s="4" t="s">
        <v>11463</v>
      </c>
      <c r="I302" s="4" t="s">
        <v>296</v>
      </c>
      <c r="J302" s="4" t="s">
        <v>297</v>
      </c>
      <c r="K302" s="4" t="s">
        <v>298</v>
      </c>
      <c r="L302" s="4" t="s">
        <v>299</v>
      </c>
      <c r="M302" s="4" t="s">
        <v>300</v>
      </c>
      <c r="N302" s="4" t="s">
        <v>447</v>
      </c>
      <c r="O302" s="5">
        <v>111.053</v>
      </c>
      <c r="P302" s="6">
        <v>1</v>
      </c>
      <c r="Q302" s="7">
        <v>9.25</v>
      </c>
      <c r="R302" s="7">
        <v>7</v>
      </c>
      <c r="S302" s="4" t="s">
        <v>301</v>
      </c>
      <c r="T302" s="4" t="s">
        <v>302</v>
      </c>
      <c r="U302" s="5">
        <v>132.601</v>
      </c>
      <c r="V302" s="6">
        <v>0.45</v>
      </c>
      <c r="W302" s="7">
        <v>4</v>
      </c>
      <c r="X302" s="5">
        <v>69.89</v>
      </c>
      <c r="Y302" s="4" t="s">
        <v>292</v>
      </c>
      <c r="Z302" s="6">
        <v>1</v>
      </c>
      <c r="AA302" s="6">
        <v>0.75275400000000003</v>
      </c>
      <c r="AB302" s="5">
        <v>69.89</v>
      </c>
      <c r="AC302" s="6">
        <v>1</v>
      </c>
      <c r="AD302" s="6">
        <v>0.75275400000000003</v>
      </c>
      <c r="AE302" s="5">
        <v>69.89</v>
      </c>
      <c r="AF302" s="7">
        <v>10</v>
      </c>
      <c r="AG302" s="7">
        <v>7</v>
      </c>
      <c r="AH302" s="7">
        <v>9.25</v>
      </c>
      <c r="AI302" s="7">
        <v>17</v>
      </c>
      <c r="AJ302" s="7">
        <v>0</v>
      </c>
      <c r="AK302" s="8">
        <v>44115.517453703702</v>
      </c>
      <c r="AL302" s="7">
        <v>5.97</v>
      </c>
      <c r="AM302" s="7">
        <v>100</v>
      </c>
      <c r="AN302" s="7">
        <v>0</v>
      </c>
      <c r="AO302" s="7">
        <v>4.18</v>
      </c>
      <c r="AP302" s="7">
        <v>5.51</v>
      </c>
      <c r="AQ302" s="7">
        <v>12.6</v>
      </c>
      <c r="AR302" s="7">
        <v>3.13</v>
      </c>
      <c r="AS302" s="4" t="s">
        <v>303</v>
      </c>
      <c r="AT302" s="7">
        <v>0</v>
      </c>
      <c r="AU302" s="4" t="s">
        <v>486</v>
      </c>
      <c r="AV302" s="4" t="s">
        <v>305</v>
      </c>
      <c r="AW302" s="4" t="s">
        <v>292</v>
      </c>
    </row>
    <row r="303" spans="1:49" s="4" customFormat="1" x14ac:dyDescent="0.25">
      <c r="A303" s="4" t="s">
        <v>11200</v>
      </c>
      <c r="B303" s="4" t="s">
        <v>293</v>
      </c>
      <c r="C303" s="4" t="s">
        <v>484</v>
      </c>
      <c r="D303" s="4" t="s">
        <v>485</v>
      </c>
      <c r="F303" s="4" t="s">
        <v>11462</v>
      </c>
      <c r="G303" s="4" t="s">
        <v>11463</v>
      </c>
      <c r="I303" s="4" t="s">
        <v>296</v>
      </c>
      <c r="J303" s="4" t="s">
        <v>297</v>
      </c>
      <c r="K303" s="4" t="s">
        <v>298</v>
      </c>
      <c r="L303" s="4" t="s">
        <v>299</v>
      </c>
      <c r="M303" s="4" t="s">
        <v>300</v>
      </c>
      <c r="N303" s="4" t="s">
        <v>11198</v>
      </c>
      <c r="O303" s="5">
        <v>111.053</v>
      </c>
      <c r="P303" s="6">
        <v>1</v>
      </c>
      <c r="Q303" s="7">
        <v>9.25</v>
      </c>
      <c r="R303" s="7">
        <v>18</v>
      </c>
      <c r="S303" s="4" t="s">
        <v>301</v>
      </c>
      <c r="T303" s="4" t="s">
        <v>302</v>
      </c>
      <c r="U303" s="5">
        <v>152.65</v>
      </c>
      <c r="V303" s="6">
        <v>0.45</v>
      </c>
      <c r="W303" s="7">
        <v>1.5</v>
      </c>
      <c r="X303" s="5">
        <v>51.103000000000002</v>
      </c>
      <c r="Y303" s="4" t="s">
        <v>292</v>
      </c>
      <c r="Z303" s="6">
        <v>1</v>
      </c>
      <c r="AA303" s="6">
        <v>1</v>
      </c>
      <c r="AB303" s="5">
        <v>51.103000000000002</v>
      </c>
      <c r="AC303" s="6">
        <v>1</v>
      </c>
      <c r="AD303" s="6">
        <v>1</v>
      </c>
      <c r="AE303" s="5">
        <v>51.103000000000002</v>
      </c>
      <c r="AF303" s="7">
        <v>10</v>
      </c>
      <c r="AG303" s="7">
        <v>18</v>
      </c>
      <c r="AH303" s="7">
        <v>9.25</v>
      </c>
      <c r="AI303" s="7">
        <v>0</v>
      </c>
      <c r="AJ303" s="7">
        <v>0</v>
      </c>
      <c r="AK303" s="8">
        <v>44115.507037037038</v>
      </c>
      <c r="AL303" s="7">
        <v>6.87</v>
      </c>
      <c r="AM303" s="7">
        <v>100</v>
      </c>
      <c r="AN303" s="7">
        <v>0</v>
      </c>
      <c r="AO303" s="7">
        <v>12.37</v>
      </c>
      <c r="AP303" s="7">
        <v>6.35</v>
      </c>
      <c r="AQ303" s="7">
        <v>0</v>
      </c>
      <c r="AR303" s="7">
        <v>1.1299999999999999</v>
      </c>
      <c r="AS303" s="4" t="s">
        <v>303</v>
      </c>
      <c r="AT303" s="7">
        <v>0</v>
      </c>
      <c r="AU303" s="4" t="s">
        <v>486</v>
      </c>
      <c r="AV303" s="4" t="s">
        <v>305</v>
      </c>
      <c r="AW303" s="4" t="s">
        <v>292</v>
      </c>
    </row>
    <row r="304" spans="1:49" s="4" customFormat="1" x14ac:dyDescent="0.25">
      <c r="A304" s="4" t="s">
        <v>11207</v>
      </c>
      <c r="B304" s="4" t="s">
        <v>293</v>
      </c>
      <c r="C304" s="4" t="s">
        <v>484</v>
      </c>
      <c r="D304" s="4" t="s">
        <v>485</v>
      </c>
      <c r="F304" s="4" t="s">
        <v>11236</v>
      </c>
      <c r="G304" s="4" t="s">
        <v>11237</v>
      </c>
      <c r="I304" s="4" t="s">
        <v>296</v>
      </c>
      <c r="J304" s="4" t="s">
        <v>297</v>
      </c>
      <c r="K304" s="4" t="s">
        <v>298</v>
      </c>
      <c r="L304" s="4" t="s">
        <v>299</v>
      </c>
      <c r="M304" s="4" t="s">
        <v>300</v>
      </c>
      <c r="N304" s="4" t="s">
        <v>11238</v>
      </c>
      <c r="O304" s="5">
        <v>51.1</v>
      </c>
      <c r="P304" s="6">
        <v>1</v>
      </c>
      <c r="Q304" s="7">
        <v>9.25</v>
      </c>
      <c r="R304" s="7">
        <v>7</v>
      </c>
      <c r="S304" s="4" t="s">
        <v>301</v>
      </c>
      <c r="T304" s="4" t="s">
        <v>302</v>
      </c>
      <c r="U304" s="5">
        <v>61.015000000000001</v>
      </c>
      <c r="V304" s="6">
        <v>0.25</v>
      </c>
      <c r="W304" s="7">
        <v>3</v>
      </c>
      <c r="X304" s="5">
        <v>20.533999999999999</v>
      </c>
      <c r="Y304" s="4" t="s">
        <v>292</v>
      </c>
      <c r="Z304" s="6">
        <v>4</v>
      </c>
      <c r="AA304" s="6">
        <v>1</v>
      </c>
      <c r="AB304" s="5">
        <v>82.135999999999996</v>
      </c>
      <c r="AC304" s="6">
        <v>1</v>
      </c>
      <c r="AD304" s="6">
        <v>1</v>
      </c>
      <c r="AE304" s="5">
        <v>82.135999999999996</v>
      </c>
      <c r="AF304" s="5">
        <v>82.135999999999996</v>
      </c>
      <c r="AG304" s="7">
        <v>7</v>
      </c>
      <c r="AH304" s="7">
        <v>0</v>
      </c>
      <c r="AI304" s="7">
        <v>17</v>
      </c>
      <c r="AJ304" s="7">
        <v>0</v>
      </c>
      <c r="AK304" s="8">
        <v>44115.531875000001</v>
      </c>
      <c r="AL304" s="7">
        <v>1.53</v>
      </c>
      <c r="AM304" s="7">
        <v>100</v>
      </c>
      <c r="AN304" s="7">
        <v>0</v>
      </c>
      <c r="AO304" s="7">
        <v>1.07</v>
      </c>
      <c r="AP304" s="7">
        <v>0</v>
      </c>
      <c r="AQ304" s="7">
        <v>3.15</v>
      </c>
      <c r="AR304" s="7">
        <v>0.6</v>
      </c>
      <c r="AS304" s="4" t="s">
        <v>303</v>
      </c>
      <c r="AT304" s="7">
        <v>0</v>
      </c>
      <c r="AU304" s="4" t="s">
        <v>486</v>
      </c>
      <c r="AV304" s="4" t="s">
        <v>305</v>
      </c>
    </row>
    <row r="305" spans="1:49" s="4" customFormat="1" x14ac:dyDescent="0.25">
      <c r="A305" s="4" t="s">
        <v>11199</v>
      </c>
      <c r="B305" s="4" t="s">
        <v>293</v>
      </c>
      <c r="C305" s="4" t="s">
        <v>11214</v>
      </c>
      <c r="D305" s="4" t="s">
        <v>11215</v>
      </c>
      <c r="F305" s="4" t="s">
        <v>11462</v>
      </c>
      <c r="G305" s="4" t="s">
        <v>11463</v>
      </c>
      <c r="I305" s="4" t="s">
        <v>296</v>
      </c>
      <c r="J305" s="4" t="s">
        <v>297</v>
      </c>
      <c r="K305" s="4" t="s">
        <v>298</v>
      </c>
      <c r="L305" s="4" t="s">
        <v>322</v>
      </c>
      <c r="M305" s="4" t="s">
        <v>300</v>
      </c>
      <c r="N305" s="4" t="s">
        <v>11198</v>
      </c>
      <c r="O305" s="5">
        <v>0</v>
      </c>
      <c r="P305" s="6">
        <v>1</v>
      </c>
      <c r="Q305" s="7">
        <v>9.25</v>
      </c>
      <c r="R305" s="7">
        <v>7</v>
      </c>
      <c r="S305" s="4" t="s">
        <v>301</v>
      </c>
      <c r="T305" s="4" t="s">
        <v>302</v>
      </c>
      <c r="U305" s="5">
        <v>13.45</v>
      </c>
      <c r="V305" s="6">
        <v>0.39089600000000002</v>
      </c>
      <c r="W305" s="7">
        <v>2</v>
      </c>
      <c r="X305" s="5">
        <v>4.5179999999999998</v>
      </c>
      <c r="Y305" s="4" t="s">
        <v>292</v>
      </c>
      <c r="Z305" s="6">
        <v>1</v>
      </c>
      <c r="AA305" s="6">
        <v>1</v>
      </c>
      <c r="AB305" s="5">
        <v>4.5179999999999998</v>
      </c>
      <c r="AC305" s="6">
        <v>1</v>
      </c>
      <c r="AD305" s="6">
        <v>1</v>
      </c>
      <c r="AE305" s="5">
        <v>4.5179999999999998</v>
      </c>
      <c r="AF305" s="7">
        <v>10</v>
      </c>
      <c r="AG305" s="7">
        <v>7</v>
      </c>
      <c r="AH305" s="7">
        <v>9.25</v>
      </c>
      <c r="AI305" s="7">
        <v>0</v>
      </c>
      <c r="AJ305" s="7">
        <v>0</v>
      </c>
      <c r="AK305" s="8">
        <v>44115.01153935185</v>
      </c>
      <c r="AL305" s="7">
        <v>0.53</v>
      </c>
      <c r="AM305" s="7">
        <v>100</v>
      </c>
      <c r="AN305" s="7">
        <v>0</v>
      </c>
      <c r="AO305" s="7">
        <v>0.37</v>
      </c>
      <c r="AP305" s="7">
        <v>0.49</v>
      </c>
      <c r="AQ305" s="7">
        <v>0</v>
      </c>
      <c r="AR305" s="7">
        <v>0.12</v>
      </c>
      <c r="AS305" s="4" t="s">
        <v>303</v>
      </c>
      <c r="AT305" s="7">
        <v>0</v>
      </c>
      <c r="AU305" s="4" t="s">
        <v>11216</v>
      </c>
      <c r="AV305" s="4" t="s">
        <v>305</v>
      </c>
      <c r="AW305" s="4" t="s">
        <v>296</v>
      </c>
    </row>
    <row r="306" spans="1:49" s="4" customFormat="1" x14ac:dyDescent="0.25">
      <c r="A306" s="4" t="s">
        <v>11201</v>
      </c>
      <c r="B306" s="4" t="s">
        <v>293</v>
      </c>
      <c r="C306" s="4" t="s">
        <v>487</v>
      </c>
      <c r="D306" s="4" t="s">
        <v>488</v>
      </c>
      <c r="F306" s="4" t="s">
        <v>11462</v>
      </c>
      <c r="G306" s="4" t="s">
        <v>11463</v>
      </c>
      <c r="I306" s="4" t="s">
        <v>296</v>
      </c>
      <c r="J306" s="4" t="s">
        <v>297</v>
      </c>
      <c r="K306" s="4" t="s">
        <v>298</v>
      </c>
      <c r="L306" s="4" t="s">
        <v>299</v>
      </c>
      <c r="M306" s="4" t="s">
        <v>300</v>
      </c>
      <c r="N306" s="4" t="s">
        <v>11198</v>
      </c>
      <c r="O306" s="5">
        <v>98.510999999999996</v>
      </c>
      <c r="P306" s="6">
        <v>1</v>
      </c>
      <c r="Q306" s="7">
        <v>9.25</v>
      </c>
      <c r="R306" s="7">
        <v>12</v>
      </c>
      <c r="S306" s="4" t="s">
        <v>301</v>
      </c>
      <c r="T306" s="4" t="s">
        <v>302</v>
      </c>
      <c r="U306" s="5">
        <v>125.093</v>
      </c>
      <c r="V306" s="6">
        <v>0.45</v>
      </c>
      <c r="W306" s="7">
        <v>1.5</v>
      </c>
      <c r="X306" s="5">
        <v>45.262</v>
      </c>
      <c r="Y306" s="4" t="s">
        <v>292</v>
      </c>
      <c r="Z306" s="6">
        <v>1</v>
      </c>
      <c r="AA306" s="6">
        <v>1</v>
      </c>
      <c r="AB306" s="5">
        <v>45.262</v>
      </c>
      <c r="AC306" s="6">
        <v>1</v>
      </c>
      <c r="AD306" s="6">
        <v>1</v>
      </c>
      <c r="AE306" s="5">
        <v>45.262</v>
      </c>
      <c r="AF306" s="7">
        <v>10</v>
      </c>
      <c r="AG306" s="7">
        <v>12</v>
      </c>
      <c r="AH306" s="7">
        <v>9.25</v>
      </c>
      <c r="AI306" s="7">
        <v>0</v>
      </c>
      <c r="AJ306" s="7">
        <v>0</v>
      </c>
      <c r="AK306" s="8">
        <v>44115.514849537038</v>
      </c>
      <c r="AL306" s="7">
        <v>5.63</v>
      </c>
      <c r="AM306" s="7">
        <v>100</v>
      </c>
      <c r="AN306" s="7">
        <v>0</v>
      </c>
      <c r="AO306" s="7">
        <v>6.75</v>
      </c>
      <c r="AP306" s="7">
        <v>5.21</v>
      </c>
      <c r="AQ306" s="7">
        <v>0</v>
      </c>
      <c r="AR306" s="7">
        <v>0.93</v>
      </c>
      <c r="AS306" s="4" t="s">
        <v>303</v>
      </c>
      <c r="AT306" s="7">
        <v>0</v>
      </c>
      <c r="AU306" s="4" t="s">
        <v>489</v>
      </c>
      <c r="AV306" s="4" t="s">
        <v>305</v>
      </c>
      <c r="AW306" s="4" t="s">
        <v>292</v>
      </c>
    </row>
    <row r="307" spans="1:49" s="4" customFormat="1" x14ac:dyDescent="0.25">
      <c r="A307" s="4" t="s">
        <v>11199</v>
      </c>
      <c r="B307" s="4" t="s">
        <v>293</v>
      </c>
      <c r="C307" s="4" t="s">
        <v>487</v>
      </c>
      <c r="D307" s="4" t="s">
        <v>488</v>
      </c>
      <c r="F307" s="4" t="s">
        <v>11462</v>
      </c>
      <c r="G307" s="4" t="s">
        <v>11463</v>
      </c>
      <c r="I307" s="4" t="s">
        <v>296</v>
      </c>
      <c r="J307" s="4" t="s">
        <v>297</v>
      </c>
      <c r="K307" s="4" t="s">
        <v>298</v>
      </c>
      <c r="L307" s="4" t="s">
        <v>299</v>
      </c>
      <c r="M307" s="4" t="s">
        <v>300</v>
      </c>
      <c r="N307" s="4" t="s">
        <v>11198</v>
      </c>
      <c r="O307" s="5">
        <v>98.510999999999996</v>
      </c>
      <c r="P307" s="6">
        <v>1</v>
      </c>
      <c r="Q307" s="7">
        <v>9.25</v>
      </c>
      <c r="R307" s="7">
        <v>7</v>
      </c>
      <c r="S307" s="4" t="s">
        <v>301</v>
      </c>
      <c r="T307" s="4" t="s">
        <v>302</v>
      </c>
      <c r="U307" s="5">
        <v>117.625</v>
      </c>
      <c r="V307" s="6">
        <v>0.45</v>
      </c>
      <c r="W307" s="7">
        <v>2</v>
      </c>
      <c r="X307" s="5">
        <v>45.500999999999998</v>
      </c>
      <c r="Y307" s="4" t="s">
        <v>292</v>
      </c>
      <c r="Z307" s="6">
        <v>1</v>
      </c>
      <c r="AA307" s="6">
        <v>1</v>
      </c>
      <c r="AB307" s="5">
        <v>45.500999999999998</v>
      </c>
      <c r="AC307" s="6">
        <v>1</v>
      </c>
      <c r="AD307" s="6">
        <v>1</v>
      </c>
      <c r="AE307" s="5">
        <v>45.500999999999998</v>
      </c>
      <c r="AF307" s="7">
        <v>10</v>
      </c>
      <c r="AG307" s="7">
        <v>7</v>
      </c>
      <c r="AH307" s="7">
        <v>9.25</v>
      </c>
      <c r="AI307" s="7">
        <v>0</v>
      </c>
      <c r="AJ307" s="7">
        <v>0</v>
      </c>
      <c r="AK307" s="8">
        <v>44115.519444444442</v>
      </c>
      <c r="AL307" s="7">
        <v>5.29</v>
      </c>
      <c r="AM307" s="7">
        <v>100</v>
      </c>
      <c r="AN307" s="7">
        <v>0</v>
      </c>
      <c r="AO307" s="7">
        <v>3.7</v>
      </c>
      <c r="AP307" s="7">
        <v>4.8899999999999997</v>
      </c>
      <c r="AQ307" s="7">
        <v>0</v>
      </c>
      <c r="AR307" s="7">
        <v>1.1599999999999999</v>
      </c>
      <c r="AS307" s="4" t="s">
        <v>303</v>
      </c>
      <c r="AT307" s="7">
        <v>0</v>
      </c>
      <c r="AU307" s="4" t="s">
        <v>489</v>
      </c>
      <c r="AV307" s="4" t="s">
        <v>305</v>
      </c>
      <c r="AW307" s="4" t="s">
        <v>292</v>
      </c>
    </row>
    <row r="308" spans="1:49" s="4" customFormat="1" x14ac:dyDescent="0.25">
      <c r="A308" s="4" t="s">
        <v>395</v>
      </c>
      <c r="B308" s="4" t="s">
        <v>293</v>
      </c>
      <c r="C308" s="4" t="s">
        <v>487</v>
      </c>
      <c r="D308" s="4" t="s">
        <v>488</v>
      </c>
      <c r="F308" s="4" t="s">
        <v>11462</v>
      </c>
      <c r="G308" s="4" t="s">
        <v>11463</v>
      </c>
      <c r="I308" s="4" t="s">
        <v>296</v>
      </c>
      <c r="J308" s="4" t="s">
        <v>297</v>
      </c>
      <c r="K308" s="4" t="s">
        <v>298</v>
      </c>
      <c r="L308" s="4" t="s">
        <v>299</v>
      </c>
      <c r="M308" s="4" t="s">
        <v>300</v>
      </c>
      <c r="N308" s="4" t="s">
        <v>447</v>
      </c>
      <c r="O308" s="5">
        <v>98.510999999999996</v>
      </c>
      <c r="P308" s="6">
        <v>1</v>
      </c>
      <c r="Q308" s="7">
        <v>9.25</v>
      </c>
      <c r="R308" s="7">
        <v>7</v>
      </c>
      <c r="S308" s="4" t="s">
        <v>301</v>
      </c>
      <c r="T308" s="4" t="s">
        <v>302</v>
      </c>
      <c r="U308" s="5">
        <v>117.625</v>
      </c>
      <c r="V308" s="6">
        <v>0.45</v>
      </c>
      <c r="W308" s="7">
        <v>4</v>
      </c>
      <c r="X308" s="5">
        <v>62.000999999999998</v>
      </c>
      <c r="Y308" s="4" t="s">
        <v>292</v>
      </c>
      <c r="Z308" s="6">
        <v>1</v>
      </c>
      <c r="AA308" s="6">
        <v>0.75274600000000003</v>
      </c>
      <c r="AB308" s="5">
        <v>62.000999999999998</v>
      </c>
      <c r="AC308" s="6">
        <v>1</v>
      </c>
      <c r="AD308" s="6">
        <v>0.75274600000000003</v>
      </c>
      <c r="AE308" s="5">
        <v>62.000999999999998</v>
      </c>
      <c r="AF308" s="7">
        <v>10</v>
      </c>
      <c r="AG308" s="7">
        <v>7</v>
      </c>
      <c r="AH308" s="7">
        <v>9.25</v>
      </c>
      <c r="AI308" s="7">
        <v>17</v>
      </c>
      <c r="AJ308" s="7">
        <v>0</v>
      </c>
      <c r="AK308" s="8">
        <v>44115.519444444442</v>
      </c>
      <c r="AL308" s="7">
        <v>5.29</v>
      </c>
      <c r="AM308" s="7">
        <v>100</v>
      </c>
      <c r="AN308" s="7">
        <v>0</v>
      </c>
      <c r="AO308" s="7">
        <v>3.7</v>
      </c>
      <c r="AP308" s="7">
        <v>4.8899999999999997</v>
      </c>
      <c r="AQ308" s="7">
        <v>11.18</v>
      </c>
      <c r="AR308" s="7">
        <v>2.78</v>
      </c>
      <c r="AS308" s="4" t="s">
        <v>303</v>
      </c>
      <c r="AT308" s="7">
        <v>0</v>
      </c>
      <c r="AU308" s="4" t="s">
        <v>489</v>
      </c>
      <c r="AV308" s="4" t="s">
        <v>305</v>
      </c>
      <c r="AW308" s="4" t="s">
        <v>292</v>
      </c>
    </row>
    <row r="309" spans="1:49" s="4" customFormat="1" x14ac:dyDescent="0.25">
      <c r="A309" s="4" t="s">
        <v>11200</v>
      </c>
      <c r="B309" s="4" t="s">
        <v>293</v>
      </c>
      <c r="C309" s="4" t="s">
        <v>487</v>
      </c>
      <c r="D309" s="4" t="s">
        <v>488</v>
      </c>
      <c r="F309" s="4" t="s">
        <v>11462</v>
      </c>
      <c r="G309" s="4" t="s">
        <v>11463</v>
      </c>
      <c r="I309" s="4" t="s">
        <v>296</v>
      </c>
      <c r="J309" s="4" t="s">
        <v>297</v>
      </c>
      <c r="K309" s="4" t="s">
        <v>298</v>
      </c>
      <c r="L309" s="4" t="s">
        <v>299</v>
      </c>
      <c r="M309" s="4" t="s">
        <v>300</v>
      </c>
      <c r="N309" s="4" t="s">
        <v>11198</v>
      </c>
      <c r="O309" s="5">
        <v>98.510999999999996</v>
      </c>
      <c r="P309" s="6">
        <v>1</v>
      </c>
      <c r="Q309" s="7">
        <v>9.25</v>
      </c>
      <c r="R309" s="7">
        <v>18</v>
      </c>
      <c r="S309" s="4" t="s">
        <v>301</v>
      </c>
      <c r="T309" s="4" t="s">
        <v>302</v>
      </c>
      <c r="U309" s="5">
        <v>135.41</v>
      </c>
      <c r="V309" s="6">
        <v>0.45</v>
      </c>
      <c r="W309" s="7">
        <v>1.5</v>
      </c>
      <c r="X309" s="5">
        <v>45.335000000000001</v>
      </c>
      <c r="Y309" s="4" t="s">
        <v>292</v>
      </c>
      <c r="Z309" s="6">
        <v>1</v>
      </c>
      <c r="AA309" s="6">
        <v>1</v>
      </c>
      <c r="AB309" s="5">
        <v>45.335000000000001</v>
      </c>
      <c r="AC309" s="6">
        <v>1</v>
      </c>
      <c r="AD309" s="6">
        <v>1</v>
      </c>
      <c r="AE309" s="5">
        <v>45.335000000000001</v>
      </c>
      <c r="AF309" s="7">
        <v>10</v>
      </c>
      <c r="AG309" s="7">
        <v>18</v>
      </c>
      <c r="AH309" s="7">
        <v>9.25</v>
      </c>
      <c r="AI309" s="7">
        <v>0</v>
      </c>
      <c r="AJ309" s="7">
        <v>0</v>
      </c>
      <c r="AK309" s="8">
        <v>44115.507638888892</v>
      </c>
      <c r="AL309" s="7">
        <v>6.09</v>
      </c>
      <c r="AM309" s="7">
        <v>100</v>
      </c>
      <c r="AN309" s="7">
        <v>0</v>
      </c>
      <c r="AO309" s="7">
        <v>10.97</v>
      </c>
      <c r="AP309" s="7">
        <v>5.64</v>
      </c>
      <c r="AQ309" s="7">
        <v>0</v>
      </c>
      <c r="AR309" s="7">
        <v>1.01</v>
      </c>
      <c r="AS309" s="4" t="s">
        <v>303</v>
      </c>
      <c r="AT309" s="7">
        <v>0</v>
      </c>
      <c r="AU309" s="4" t="s">
        <v>489</v>
      </c>
      <c r="AV309" s="4" t="s">
        <v>305</v>
      </c>
      <c r="AW309" s="4" t="s">
        <v>292</v>
      </c>
    </row>
    <row r="310" spans="1:49" s="4" customFormat="1" x14ac:dyDescent="0.25">
      <c r="A310" s="4" t="s">
        <v>11207</v>
      </c>
      <c r="B310" s="4" t="s">
        <v>293</v>
      </c>
      <c r="C310" s="4" t="s">
        <v>487</v>
      </c>
      <c r="D310" s="4" t="s">
        <v>488</v>
      </c>
      <c r="F310" s="4" t="s">
        <v>11236</v>
      </c>
      <c r="G310" s="4" t="s">
        <v>11237</v>
      </c>
      <c r="I310" s="4" t="s">
        <v>296</v>
      </c>
      <c r="J310" s="4" t="s">
        <v>297</v>
      </c>
      <c r="K310" s="4" t="s">
        <v>298</v>
      </c>
      <c r="L310" s="4" t="s">
        <v>299</v>
      </c>
      <c r="M310" s="4" t="s">
        <v>300</v>
      </c>
      <c r="N310" s="4" t="s">
        <v>11238</v>
      </c>
      <c r="O310" s="5">
        <v>45.34</v>
      </c>
      <c r="P310" s="6">
        <v>1</v>
      </c>
      <c r="Q310" s="7">
        <v>9.25</v>
      </c>
      <c r="R310" s="7">
        <v>7</v>
      </c>
      <c r="S310" s="4" t="s">
        <v>301</v>
      </c>
      <c r="T310" s="4" t="s">
        <v>302</v>
      </c>
      <c r="U310" s="5">
        <v>54.137</v>
      </c>
      <c r="V310" s="6">
        <v>0.25</v>
      </c>
      <c r="W310" s="7">
        <v>3</v>
      </c>
      <c r="X310" s="5">
        <v>18.213999999999999</v>
      </c>
      <c r="Y310" s="4" t="s">
        <v>292</v>
      </c>
      <c r="Z310" s="6">
        <v>4</v>
      </c>
      <c r="AA310" s="6">
        <v>1</v>
      </c>
      <c r="AB310" s="5">
        <v>72.855999999999995</v>
      </c>
      <c r="AC310" s="6">
        <v>1</v>
      </c>
      <c r="AD310" s="6">
        <v>1</v>
      </c>
      <c r="AE310" s="5">
        <v>72.855999999999995</v>
      </c>
      <c r="AF310" s="5">
        <v>72.855999999999995</v>
      </c>
      <c r="AG310" s="7">
        <v>7</v>
      </c>
      <c r="AH310" s="7">
        <v>0</v>
      </c>
      <c r="AI310" s="7">
        <v>17</v>
      </c>
      <c r="AJ310" s="7">
        <v>0</v>
      </c>
      <c r="AK310" s="8">
        <v>44115.533217592594</v>
      </c>
      <c r="AL310" s="7">
        <v>1.35</v>
      </c>
      <c r="AM310" s="7">
        <v>100</v>
      </c>
      <c r="AN310" s="7">
        <v>0</v>
      </c>
      <c r="AO310" s="7">
        <v>0.95</v>
      </c>
      <c r="AP310" s="7">
        <v>0</v>
      </c>
      <c r="AQ310" s="7">
        <v>2.8</v>
      </c>
      <c r="AR310" s="7">
        <v>0.53</v>
      </c>
      <c r="AS310" s="4" t="s">
        <v>303</v>
      </c>
      <c r="AT310" s="7">
        <v>0</v>
      </c>
      <c r="AU310" s="4" t="s">
        <v>489</v>
      </c>
      <c r="AV310" s="4" t="s">
        <v>305</v>
      </c>
    </row>
    <row r="311" spans="1:49" s="4" customFormat="1" x14ac:dyDescent="0.25">
      <c r="A311" s="4" t="s">
        <v>11201</v>
      </c>
      <c r="B311" s="4" t="s">
        <v>293</v>
      </c>
      <c r="C311" s="4" t="s">
        <v>490</v>
      </c>
      <c r="D311" s="4" t="s">
        <v>491</v>
      </c>
      <c r="F311" s="4" t="s">
        <v>11462</v>
      </c>
      <c r="G311" s="4" t="s">
        <v>11463</v>
      </c>
      <c r="I311" s="4" t="s">
        <v>296</v>
      </c>
      <c r="J311" s="4" t="s">
        <v>297</v>
      </c>
      <c r="K311" s="4" t="s">
        <v>298</v>
      </c>
      <c r="L311" s="4" t="s">
        <v>322</v>
      </c>
      <c r="M311" s="4" t="s">
        <v>300</v>
      </c>
      <c r="N311" s="4" t="s">
        <v>11198</v>
      </c>
      <c r="O311" s="5">
        <v>231.94300000000001</v>
      </c>
      <c r="P311" s="6">
        <v>1</v>
      </c>
      <c r="Q311" s="7">
        <v>9.25</v>
      </c>
      <c r="R311" s="7">
        <v>12</v>
      </c>
      <c r="S311" s="4" t="s">
        <v>301</v>
      </c>
      <c r="T311" s="4" t="s">
        <v>302</v>
      </c>
      <c r="U311" s="5">
        <v>294.53100000000001</v>
      </c>
      <c r="V311" s="6">
        <v>0.45</v>
      </c>
      <c r="W311" s="7">
        <v>1.5</v>
      </c>
      <c r="X311" s="5">
        <v>106.559</v>
      </c>
      <c r="Y311" s="4" t="s">
        <v>292</v>
      </c>
      <c r="Z311" s="6">
        <v>1</v>
      </c>
      <c r="AA311" s="6">
        <v>1</v>
      </c>
      <c r="AB311" s="5">
        <v>106.559</v>
      </c>
      <c r="AC311" s="6">
        <v>1</v>
      </c>
      <c r="AD311" s="6">
        <v>1</v>
      </c>
      <c r="AE311" s="5">
        <v>106.559</v>
      </c>
      <c r="AF311" s="7">
        <v>10</v>
      </c>
      <c r="AG311" s="7">
        <v>12</v>
      </c>
      <c r="AH311" s="7">
        <v>9.25</v>
      </c>
      <c r="AI311" s="7">
        <v>0</v>
      </c>
      <c r="AJ311" s="7">
        <v>0</v>
      </c>
      <c r="AK311" s="8">
        <v>44115.514849537038</v>
      </c>
      <c r="AL311" s="7">
        <v>13.26</v>
      </c>
      <c r="AM311" s="7">
        <v>100</v>
      </c>
      <c r="AN311" s="7">
        <v>0</v>
      </c>
      <c r="AO311" s="7">
        <v>15.91</v>
      </c>
      <c r="AP311" s="7">
        <v>12.26</v>
      </c>
      <c r="AQ311" s="7">
        <v>0</v>
      </c>
      <c r="AR311" s="7">
        <v>2.19</v>
      </c>
      <c r="AS311" s="4" t="s">
        <v>303</v>
      </c>
      <c r="AT311" s="7">
        <v>0</v>
      </c>
      <c r="AU311" s="4" t="s">
        <v>492</v>
      </c>
      <c r="AV311" s="4" t="s">
        <v>305</v>
      </c>
      <c r="AW311" s="4" t="s">
        <v>292</v>
      </c>
    </row>
    <row r="312" spans="1:49" s="4" customFormat="1" x14ac:dyDescent="0.25">
      <c r="A312" s="4" t="s">
        <v>11199</v>
      </c>
      <c r="B312" s="4" t="s">
        <v>293</v>
      </c>
      <c r="C312" s="4" t="s">
        <v>490</v>
      </c>
      <c r="D312" s="4" t="s">
        <v>491</v>
      </c>
      <c r="F312" s="4" t="s">
        <v>11462</v>
      </c>
      <c r="G312" s="4" t="s">
        <v>11463</v>
      </c>
      <c r="I312" s="4" t="s">
        <v>296</v>
      </c>
      <c r="J312" s="4" t="s">
        <v>297</v>
      </c>
      <c r="K312" s="4" t="s">
        <v>298</v>
      </c>
      <c r="L312" s="4" t="s">
        <v>322</v>
      </c>
      <c r="M312" s="4" t="s">
        <v>300</v>
      </c>
      <c r="N312" s="4" t="s">
        <v>11198</v>
      </c>
      <c r="O312" s="5">
        <v>231.94200000000001</v>
      </c>
      <c r="P312" s="6">
        <v>1</v>
      </c>
      <c r="Q312" s="7">
        <v>9.25</v>
      </c>
      <c r="R312" s="7">
        <v>7</v>
      </c>
      <c r="S312" s="4" t="s">
        <v>301</v>
      </c>
      <c r="T312" s="4" t="s">
        <v>302</v>
      </c>
      <c r="U312" s="5">
        <v>276.94600000000003</v>
      </c>
      <c r="V312" s="6">
        <v>0.45</v>
      </c>
      <c r="W312" s="7">
        <v>2</v>
      </c>
      <c r="X312" s="5">
        <v>107.116</v>
      </c>
      <c r="Y312" s="4" t="s">
        <v>292</v>
      </c>
      <c r="Z312" s="6">
        <v>1</v>
      </c>
      <c r="AA312" s="6">
        <v>1</v>
      </c>
      <c r="AB312" s="5">
        <v>107.116</v>
      </c>
      <c r="AC312" s="6">
        <v>1</v>
      </c>
      <c r="AD312" s="6">
        <v>1</v>
      </c>
      <c r="AE312" s="5">
        <v>107.116</v>
      </c>
      <c r="AF312" s="7">
        <v>10</v>
      </c>
      <c r="AG312" s="7">
        <v>7</v>
      </c>
      <c r="AH312" s="7">
        <v>9.25</v>
      </c>
      <c r="AI312" s="7">
        <v>0</v>
      </c>
      <c r="AJ312" s="7">
        <v>0</v>
      </c>
      <c r="AK312" s="8">
        <v>44115.519456018519</v>
      </c>
      <c r="AL312" s="7">
        <v>12.46</v>
      </c>
      <c r="AM312" s="7">
        <v>100</v>
      </c>
      <c r="AN312" s="7">
        <v>0</v>
      </c>
      <c r="AO312" s="7">
        <v>8.7200000000000006</v>
      </c>
      <c r="AP312" s="7">
        <v>11.53</v>
      </c>
      <c r="AQ312" s="7">
        <v>0</v>
      </c>
      <c r="AR312" s="7">
        <v>2.74</v>
      </c>
      <c r="AS312" s="4" t="s">
        <v>303</v>
      </c>
      <c r="AT312" s="7">
        <v>0</v>
      </c>
      <c r="AU312" s="4" t="s">
        <v>492</v>
      </c>
      <c r="AV312" s="4" t="s">
        <v>305</v>
      </c>
      <c r="AW312" s="4" t="s">
        <v>292</v>
      </c>
    </row>
    <row r="313" spans="1:49" s="4" customFormat="1" x14ac:dyDescent="0.25">
      <c r="A313" s="4" t="s">
        <v>395</v>
      </c>
      <c r="B313" s="4" t="s">
        <v>293</v>
      </c>
      <c r="C313" s="4" t="s">
        <v>490</v>
      </c>
      <c r="D313" s="4" t="s">
        <v>491</v>
      </c>
      <c r="F313" s="4" t="s">
        <v>11462</v>
      </c>
      <c r="G313" s="4" t="s">
        <v>11463</v>
      </c>
      <c r="I313" s="4" t="s">
        <v>296</v>
      </c>
      <c r="J313" s="4" t="s">
        <v>297</v>
      </c>
      <c r="K313" s="4" t="s">
        <v>298</v>
      </c>
      <c r="L313" s="4" t="s">
        <v>322</v>
      </c>
      <c r="M313" s="4" t="s">
        <v>300</v>
      </c>
      <c r="N313" s="4" t="s">
        <v>447</v>
      </c>
      <c r="O313" s="5">
        <v>231.94200000000001</v>
      </c>
      <c r="P313" s="6">
        <v>1</v>
      </c>
      <c r="Q313" s="7">
        <v>9.25</v>
      </c>
      <c r="R313" s="7">
        <v>7</v>
      </c>
      <c r="S313" s="4" t="s">
        <v>301</v>
      </c>
      <c r="T313" s="4" t="s">
        <v>302</v>
      </c>
      <c r="U313" s="5">
        <v>276.94600000000003</v>
      </c>
      <c r="V313" s="6">
        <v>0.45</v>
      </c>
      <c r="W313" s="7">
        <v>4</v>
      </c>
      <c r="X313" s="5">
        <v>145.96600000000001</v>
      </c>
      <c r="Y313" s="4" t="s">
        <v>292</v>
      </c>
      <c r="Z313" s="6">
        <v>1</v>
      </c>
      <c r="AA313" s="6">
        <v>0.75261400000000001</v>
      </c>
      <c r="AB313" s="5">
        <v>145.96600000000001</v>
      </c>
      <c r="AC313" s="6">
        <v>1</v>
      </c>
      <c r="AD313" s="6">
        <v>0.75261400000000001</v>
      </c>
      <c r="AE313" s="5">
        <v>145.96600000000001</v>
      </c>
      <c r="AF313" s="7">
        <v>10</v>
      </c>
      <c r="AG313" s="7">
        <v>7</v>
      </c>
      <c r="AH313" s="7">
        <v>9.25</v>
      </c>
      <c r="AI313" s="7">
        <v>17</v>
      </c>
      <c r="AJ313" s="7">
        <v>0</v>
      </c>
      <c r="AK313" s="8">
        <v>44115.519456018519</v>
      </c>
      <c r="AL313" s="7">
        <v>12.46</v>
      </c>
      <c r="AM313" s="7">
        <v>100</v>
      </c>
      <c r="AN313" s="7">
        <v>0</v>
      </c>
      <c r="AO313" s="7">
        <v>8.7200000000000006</v>
      </c>
      <c r="AP313" s="7">
        <v>11.53</v>
      </c>
      <c r="AQ313" s="7">
        <v>26.33</v>
      </c>
      <c r="AR313" s="7">
        <v>6.54</v>
      </c>
      <c r="AS313" s="4" t="s">
        <v>303</v>
      </c>
      <c r="AT313" s="7">
        <v>0</v>
      </c>
      <c r="AU313" s="4" t="s">
        <v>492</v>
      </c>
      <c r="AV313" s="4" t="s">
        <v>305</v>
      </c>
      <c r="AW313" s="4" t="s">
        <v>292</v>
      </c>
    </row>
    <row r="314" spans="1:49" s="4" customFormat="1" x14ac:dyDescent="0.25">
      <c r="A314" s="4" t="s">
        <v>11200</v>
      </c>
      <c r="B314" s="4" t="s">
        <v>293</v>
      </c>
      <c r="C314" s="4" t="s">
        <v>490</v>
      </c>
      <c r="D314" s="4" t="s">
        <v>491</v>
      </c>
      <c r="F314" s="4" t="s">
        <v>11462</v>
      </c>
      <c r="G314" s="4" t="s">
        <v>11463</v>
      </c>
      <c r="I314" s="4" t="s">
        <v>296</v>
      </c>
      <c r="J314" s="4" t="s">
        <v>297</v>
      </c>
      <c r="K314" s="4" t="s">
        <v>298</v>
      </c>
      <c r="L314" s="4" t="s">
        <v>322</v>
      </c>
      <c r="M314" s="4" t="s">
        <v>300</v>
      </c>
      <c r="N314" s="4" t="s">
        <v>11198</v>
      </c>
      <c r="O314" s="5">
        <v>231.94200000000001</v>
      </c>
      <c r="P314" s="6">
        <v>1</v>
      </c>
      <c r="Q314" s="7">
        <v>9.25</v>
      </c>
      <c r="R314" s="7">
        <v>18</v>
      </c>
      <c r="S314" s="4" t="s">
        <v>301</v>
      </c>
      <c r="T314" s="4" t="s">
        <v>302</v>
      </c>
      <c r="U314" s="5">
        <v>318.82100000000003</v>
      </c>
      <c r="V314" s="6">
        <v>0.45</v>
      </c>
      <c r="W314" s="7">
        <v>1.5</v>
      </c>
      <c r="X314" s="5">
        <v>106.739</v>
      </c>
      <c r="Y314" s="4" t="s">
        <v>292</v>
      </c>
      <c r="Z314" s="6">
        <v>1</v>
      </c>
      <c r="AA314" s="6">
        <v>1</v>
      </c>
      <c r="AB314" s="5">
        <v>106.739</v>
      </c>
      <c r="AC314" s="6">
        <v>1</v>
      </c>
      <c r="AD314" s="6">
        <v>1</v>
      </c>
      <c r="AE314" s="5">
        <v>106.739</v>
      </c>
      <c r="AF314" s="7">
        <v>10</v>
      </c>
      <c r="AG314" s="7">
        <v>18</v>
      </c>
      <c r="AH314" s="7">
        <v>9.25</v>
      </c>
      <c r="AI314" s="7">
        <v>0</v>
      </c>
      <c r="AJ314" s="7">
        <v>0</v>
      </c>
      <c r="AK314" s="8">
        <v>44115.507638888892</v>
      </c>
      <c r="AL314" s="7">
        <v>14.35</v>
      </c>
      <c r="AM314" s="7">
        <v>100</v>
      </c>
      <c r="AN314" s="7">
        <v>0</v>
      </c>
      <c r="AO314" s="7">
        <v>25.83</v>
      </c>
      <c r="AP314" s="7">
        <v>13.27</v>
      </c>
      <c r="AQ314" s="7">
        <v>0</v>
      </c>
      <c r="AR314" s="7">
        <v>2.37</v>
      </c>
      <c r="AS314" s="4" t="s">
        <v>303</v>
      </c>
      <c r="AT314" s="7">
        <v>0</v>
      </c>
      <c r="AU314" s="4" t="s">
        <v>492</v>
      </c>
      <c r="AV314" s="4" t="s">
        <v>305</v>
      </c>
      <c r="AW314" s="4" t="s">
        <v>292</v>
      </c>
    </row>
    <row r="315" spans="1:49" s="4" customFormat="1" x14ac:dyDescent="0.25">
      <c r="A315" s="4" t="s">
        <v>11207</v>
      </c>
      <c r="B315" s="4" t="s">
        <v>293</v>
      </c>
      <c r="C315" s="4" t="s">
        <v>490</v>
      </c>
      <c r="D315" s="4" t="s">
        <v>491</v>
      </c>
      <c r="F315" s="4" t="s">
        <v>11236</v>
      </c>
      <c r="G315" s="4" t="s">
        <v>11237</v>
      </c>
      <c r="I315" s="4" t="s">
        <v>296</v>
      </c>
      <c r="J315" s="4" t="s">
        <v>297</v>
      </c>
      <c r="K315" s="4" t="s">
        <v>298</v>
      </c>
      <c r="L315" s="4" t="s">
        <v>322</v>
      </c>
      <c r="M315" s="4" t="s">
        <v>300</v>
      </c>
      <c r="N315" s="4" t="s">
        <v>11238</v>
      </c>
      <c r="O315" s="5">
        <v>106.74</v>
      </c>
      <c r="P315" s="6">
        <v>1</v>
      </c>
      <c r="Q315" s="7">
        <v>9.25</v>
      </c>
      <c r="R315" s="7">
        <v>7</v>
      </c>
      <c r="S315" s="4" t="s">
        <v>301</v>
      </c>
      <c r="T315" s="4" t="s">
        <v>302</v>
      </c>
      <c r="U315" s="5">
        <v>127.45099999999999</v>
      </c>
      <c r="V315" s="6">
        <v>0.25</v>
      </c>
      <c r="W315" s="7">
        <v>3</v>
      </c>
      <c r="X315" s="5">
        <v>42.893000000000001</v>
      </c>
      <c r="Y315" s="4" t="s">
        <v>292</v>
      </c>
      <c r="Z315" s="6">
        <v>4</v>
      </c>
      <c r="AA315" s="6">
        <v>1</v>
      </c>
      <c r="AB315" s="5">
        <v>171.572</v>
      </c>
      <c r="AC315" s="6">
        <v>1</v>
      </c>
      <c r="AD315" s="6">
        <v>1</v>
      </c>
      <c r="AE315" s="5">
        <v>171.572</v>
      </c>
      <c r="AF315" s="5">
        <v>171.572</v>
      </c>
      <c r="AG315" s="7">
        <v>7</v>
      </c>
      <c r="AH315" s="7">
        <v>0</v>
      </c>
      <c r="AI315" s="7">
        <v>17</v>
      </c>
      <c r="AJ315" s="7">
        <v>0</v>
      </c>
      <c r="AK315" s="8">
        <v>44115.533229166664</v>
      </c>
      <c r="AL315" s="7">
        <v>3.19</v>
      </c>
      <c r="AM315" s="7">
        <v>100</v>
      </c>
      <c r="AN315" s="7">
        <v>0</v>
      </c>
      <c r="AO315" s="7">
        <v>2.23</v>
      </c>
      <c r="AP315" s="7">
        <v>0</v>
      </c>
      <c r="AQ315" s="7">
        <v>6.59</v>
      </c>
      <c r="AR315" s="7">
        <v>1.25</v>
      </c>
      <c r="AS315" s="4" t="s">
        <v>303</v>
      </c>
      <c r="AT315" s="7">
        <v>0</v>
      </c>
      <c r="AU315" s="4" t="s">
        <v>492</v>
      </c>
      <c r="AV315" s="4" t="s">
        <v>305</v>
      </c>
    </row>
    <row r="316" spans="1:49" s="4" customFormat="1" x14ac:dyDescent="0.25">
      <c r="A316" s="4" t="s">
        <v>11201</v>
      </c>
      <c r="B316" s="4" t="s">
        <v>293</v>
      </c>
      <c r="C316" s="4" t="s">
        <v>493</v>
      </c>
      <c r="D316" s="4" t="s">
        <v>494</v>
      </c>
      <c r="F316" s="4" t="s">
        <v>11462</v>
      </c>
      <c r="G316" s="4" t="s">
        <v>11463</v>
      </c>
      <c r="I316" s="4" t="s">
        <v>296</v>
      </c>
      <c r="J316" s="4" t="s">
        <v>297</v>
      </c>
      <c r="K316" s="4" t="s">
        <v>298</v>
      </c>
      <c r="L316" s="4" t="s">
        <v>299</v>
      </c>
      <c r="M316" s="4" t="s">
        <v>300</v>
      </c>
      <c r="N316" s="4" t="s">
        <v>11198</v>
      </c>
      <c r="O316" s="5">
        <v>153.08799999999999</v>
      </c>
      <c r="P316" s="6">
        <v>1</v>
      </c>
      <c r="Q316" s="7">
        <v>9.25</v>
      </c>
      <c r="R316" s="7">
        <v>12</v>
      </c>
      <c r="S316" s="4" t="s">
        <v>301</v>
      </c>
      <c r="T316" s="4" t="s">
        <v>302</v>
      </c>
      <c r="U316" s="5">
        <v>194.39699999999999</v>
      </c>
      <c r="V316" s="6">
        <v>0.45</v>
      </c>
      <c r="W316" s="7">
        <v>1.5</v>
      </c>
      <c r="X316" s="5">
        <v>70.328999999999994</v>
      </c>
      <c r="Y316" s="4" t="s">
        <v>292</v>
      </c>
      <c r="Z316" s="6">
        <v>1</v>
      </c>
      <c r="AA316" s="6">
        <v>1</v>
      </c>
      <c r="AB316" s="5">
        <v>70.328999999999994</v>
      </c>
      <c r="AC316" s="6">
        <v>1</v>
      </c>
      <c r="AD316" s="6">
        <v>1</v>
      </c>
      <c r="AE316" s="5">
        <v>70.328999999999994</v>
      </c>
      <c r="AF316" s="7">
        <v>10</v>
      </c>
      <c r="AG316" s="7">
        <v>12</v>
      </c>
      <c r="AH316" s="7">
        <v>9.25</v>
      </c>
      <c r="AI316" s="7">
        <v>0</v>
      </c>
      <c r="AJ316" s="7">
        <v>0</v>
      </c>
      <c r="AK316" s="8">
        <v>44115.514918981484</v>
      </c>
      <c r="AL316" s="7">
        <v>8.75</v>
      </c>
      <c r="AM316" s="7">
        <v>100</v>
      </c>
      <c r="AN316" s="7">
        <v>0</v>
      </c>
      <c r="AO316" s="7">
        <v>10.5</v>
      </c>
      <c r="AP316" s="7">
        <v>8.09</v>
      </c>
      <c r="AQ316" s="7">
        <v>0</v>
      </c>
      <c r="AR316" s="7">
        <v>1.44</v>
      </c>
      <c r="AS316" s="4" t="s">
        <v>303</v>
      </c>
      <c r="AT316" s="7">
        <v>0</v>
      </c>
      <c r="AU316" s="4" t="s">
        <v>495</v>
      </c>
      <c r="AV316" s="4" t="s">
        <v>305</v>
      </c>
      <c r="AW316" s="4" t="s">
        <v>292</v>
      </c>
    </row>
    <row r="317" spans="1:49" s="4" customFormat="1" x14ac:dyDescent="0.25">
      <c r="A317" s="4" t="s">
        <v>11199</v>
      </c>
      <c r="B317" s="4" t="s">
        <v>293</v>
      </c>
      <c r="C317" s="4" t="s">
        <v>493</v>
      </c>
      <c r="D317" s="4" t="s">
        <v>494</v>
      </c>
      <c r="F317" s="4" t="s">
        <v>11462</v>
      </c>
      <c r="G317" s="4" t="s">
        <v>11463</v>
      </c>
      <c r="I317" s="4" t="s">
        <v>296</v>
      </c>
      <c r="J317" s="4" t="s">
        <v>297</v>
      </c>
      <c r="K317" s="4" t="s">
        <v>298</v>
      </c>
      <c r="L317" s="4" t="s">
        <v>299</v>
      </c>
      <c r="M317" s="4" t="s">
        <v>300</v>
      </c>
      <c r="N317" s="4" t="s">
        <v>11198</v>
      </c>
      <c r="O317" s="5">
        <v>153.08799999999999</v>
      </c>
      <c r="P317" s="6">
        <v>1</v>
      </c>
      <c r="Q317" s="7">
        <v>9.25</v>
      </c>
      <c r="R317" s="7">
        <v>7</v>
      </c>
      <c r="S317" s="4" t="s">
        <v>301</v>
      </c>
      <c r="T317" s="4" t="s">
        <v>302</v>
      </c>
      <c r="U317" s="5">
        <v>182.792</v>
      </c>
      <c r="V317" s="6">
        <v>0.45</v>
      </c>
      <c r="W317" s="7">
        <v>2</v>
      </c>
      <c r="X317" s="5">
        <v>70.695999999999998</v>
      </c>
      <c r="Y317" s="4" t="s">
        <v>292</v>
      </c>
      <c r="Z317" s="6">
        <v>1</v>
      </c>
      <c r="AA317" s="6">
        <v>1</v>
      </c>
      <c r="AB317" s="5">
        <v>70.695999999999998</v>
      </c>
      <c r="AC317" s="6">
        <v>1</v>
      </c>
      <c r="AD317" s="6">
        <v>1</v>
      </c>
      <c r="AE317" s="5">
        <v>70.695999999999998</v>
      </c>
      <c r="AF317" s="7">
        <v>10</v>
      </c>
      <c r="AG317" s="7">
        <v>7</v>
      </c>
      <c r="AH317" s="7">
        <v>9.25</v>
      </c>
      <c r="AI317" s="7">
        <v>0</v>
      </c>
      <c r="AJ317" s="7">
        <v>0</v>
      </c>
      <c r="AK317" s="8">
        <v>44115.519583333335</v>
      </c>
      <c r="AL317" s="7">
        <v>8.23</v>
      </c>
      <c r="AM317" s="7">
        <v>100</v>
      </c>
      <c r="AN317" s="7">
        <v>0</v>
      </c>
      <c r="AO317" s="7">
        <v>5.76</v>
      </c>
      <c r="AP317" s="7">
        <v>7.61</v>
      </c>
      <c r="AQ317" s="7">
        <v>0</v>
      </c>
      <c r="AR317" s="7">
        <v>1.81</v>
      </c>
      <c r="AS317" s="4" t="s">
        <v>303</v>
      </c>
      <c r="AT317" s="7">
        <v>0</v>
      </c>
      <c r="AU317" s="4" t="s">
        <v>495</v>
      </c>
      <c r="AV317" s="4" t="s">
        <v>305</v>
      </c>
      <c r="AW317" s="4" t="s">
        <v>292</v>
      </c>
    </row>
    <row r="318" spans="1:49" s="4" customFormat="1" x14ac:dyDescent="0.25">
      <c r="A318" s="4" t="s">
        <v>395</v>
      </c>
      <c r="B318" s="4" t="s">
        <v>293</v>
      </c>
      <c r="C318" s="4" t="s">
        <v>493</v>
      </c>
      <c r="D318" s="4" t="s">
        <v>494</v>
      </c>
      <c r="F318" s="4" t="s">
        <v>11462</v>
      </c>
      <c r="G318" s="4" t="s">
        <v>11463</v>
      </c>
      <c r="I318" s="4" t="s">
        <v>296</v>
      </c>
      <c r="J318" s="4" t="s">
        <v>297</v>
      </c>
      <c r="K318" s="4" t="s">
        <v>298</v>
      </c>
      <c r="L318" s="4" t="s">
        <v>299</v>
      </c>
      <c r="M318" s="4" t="s">
        <v>300</v>
      </c>
      <c r="N318" s="4" t="s">
        <v>447</v>
      </c>
      <c r="O318" s="5">
        <v>153.08799999999999</v>
      </c>
      <c r="P318" s="6">
        <v>1</v>
      </c>
      <c r="Q318" s="7">
        <v>9.25</v>
      </c>
      <c r="R318" s="7">
        <v>7</v>
      </c>
      <c r="S318" s="4" t="s">
        <v>301</v>
      </c>
      <c r="T318" s="4" t="s">
        <v>302</v>
      </c>
      <c r="U318" s="5">
        <v>182.792</v>
      </c>
      <c r="V318" s="6">
        <v>0.45</v>
      </c>
      <c r="W318" s="7">
        <v>4</v>
      </c>
      <c r="X318" s="5">
        <v>96.335999999999999</v>
      </c>
      <c r="Y318" s="4" t="s">
        <v>292</v>
      </c>
      <c r="Z318" s="6">
        <v>1</v>
      </c>
      <c r="AA318" s="6">
        <v>0.752637</v>
      </c>
      <c r="AB318" s="5">
        <v>96.335999999999999</v>
      </c>
      <c r="AC318" s="6">
        <v>1</v>
      </c>
      <c r="AD318" s="6">
        <v>0.752637</v>
      </c>
      <c r="AE318" s="5">
        <v>96.335999999999999</v>
      </c>
      <c r="AF318" s="7">
        <v>10</v>
      </c>
      <c r="AG318" s="7">
        <v>7</v>
      </c>
      <c r="AH318" s="7">
        <v>9.25</v>
      </c>
      <c r="AI318" s="7">
        <v>17</v>
      </c>
      <c r="AJ318" s="7">
        <v>0</v>
      </c>
      <c r="AK318" s="8">
        <v>44115.519583333335</v>
      </c>
      <c r="AL318" s="7">
        <v>8.23</v>
      </c>
      <c r="AM318" s="7">
        <v>100</v>
      </c>
      <c r="AN318" s="7">
        <v>0</v>
      </c>
      <c r="AO318" s="7">
        <v>5.76</v>
      </c>
      <c r="AP318" s="7">
        <v>7.61</v>
      </c>
      <c r="AQ318" s="7">
        <v>17.38</v>
      </c>
      <c r="AR318" s="7">
        <v>4.3099999999999996</v>
      </c>
      <c r="AS318" s="4" t="s">
        <v>303</v>
      </c>
      <c r="AT318" s="7">
        <v>0</v>
      </c>
      <c r="AU318" s="4" t="s">
        <v>495</v>
      </c>
      <c r="AV318" s="4" t="s">
        <v>305</v>
      </c>
      <c r="AW318" s="4" t="s">
        <v>292</v>
      </c>
    </row>
    <row r="319" spans="1:49" s="4" customFormat="1" x14ac:dyDescent="0.25">
      <c r="A319" s="4" t="s">
        <v>11200</v>
      </c>
      <c r="B319" s="4" t="s">
        <v>293</v>
      </c>
      <c r="C319" s="4" t="s">
        <v>493</v>
      </c>
      <c r="D319" s="4" t="s">
        <v>494</v>
      </c>
      <c r="F319" s="4" t="s">
        <v>11462</v>
      </c>
      <c r="G319" s="4" t="s">
        <v>11463</v>
      </c>
      <c r="I319" s="4" t="s">
        <v>296</v>
      </c>
      <c r="J319" s="4" t="s">
        <v>297</v>
      </c>
      <c r="K319" s="4" t="s">
        <v>298</v>
      </c>
      <c r="L319" s="4" t="s">
        <v>299</v>
      </c>
      <c r="M319" s="4" t="s">
        <v>300</v>
      </c>
      <c r="N319" s="4" t="s">
        <v>11198</v>
      </c>
      <c r="O319" s="5">
        <v>153.08799999999999</v>
      </c>
      <c r="P319" s="6">
        <v>1</v>
      </c>
      <c r="Q319" s="7">
        <v>9.25</v>
      </c>
      <c r="R319" s="7">
        <v>18</v>
      </c>
      <c r="S319" s="4" t="s">
        <v>301</v>
      </c>
      <c r="T319" s="4" t="s">
        <v>302</v>
      </c>
      <c r="U319" s="5">
        <v>210.43</v>
      </c>
      <c r="V319" s="6">
        <v>0.45</v>
      </c>
      <c r="W319" s="7">
        <v>1.5</v>
      </c>
      <c r="X319" s="5">
        <v>70.444000000000003</v>
      </c>
      <c r="Y319" s="4" t="s">
        <v>292</v>
      </c>
      <c r="Z319" s="6">
        <v>1</v>
      </c>
      <c r="AA319" s="6">
        <v>1</v>
      </c>
      <c r="AB319" s="5">
        <v>70.444000000000003</v>
      </c>
      <c r="AC319" s="6">
        <v>1</v>
      </c>
      <c r="AD319" s="6">
        <v>1</v>
      </c>
      <c r="AE319" s="5">
        <v>70.444000000000003</v>
      </c>
      <c r="AF319" s="7">
        <v>10</v>
      </c>
      <c r="AG319" s="7">
        <v>18</v>
      </c>
      <c r="AH319" s="7">
        <v>9.25</v>
      </c>
      <c r="AI319" s="7">
        <v>0</v>
      </c>
      <c r="AJ319" s="7">
        <v>0</v>
      </c>
      <c r="AK319" s="8">
        <v>44115.507685185185</v>
      </c>
      <c r="AL319" s="7">
        <v>9.4700000000000006</v>
      </c>
      <c r="AM319" s="7">
        <v>100</v>
      </c>
      <c r="AN319" s="7">
        <v>0</v>
      </c>
      <c r="AO319" s="7">
        <v>17.05</v>
      </c>
      <c r="AP319" s="7">
        <v>8.76</v>
      </c>
      <c r="AQ319" s="7">
        <v>0</v>
      </c>
      <c r="AR319" s="7">
        <v>1.56</v>
      </c>
      <c r="AS319" s="4" t="s">
        <v>303</v>
      </c>
      <c r="AT319" s="7">
        <v>0</v>
      </c>
      <c r="AU319" s="4" t="s">
        <v>495</v>
      </c>
      <c r="AV319" s="4" t="s">
        <v>305</v>
      </c>
      <c r="AW319" s="4" t="s">
        <v>292</v>
      </c>
    </row>
    <row r="320" spans="1:49" s="4" customFormat="1" x14ac:dyDescent="0.25">
      <c r="A320" s="4" t="s">
        <v>11207</v>
      </c>
      <c r="B320" s="4" t="s">
        <v>293</v>
      </c>
      <c r="C320" s="4" t="s">
        <v>493</v>
      </c>
      <c r="D320" s="4" t="s">
        <v>494</v>
      </c>
      <c r="F320" s="4" t="s">
        <v>11236</v>
      </c>
      <c r="G320" s="4" t="s">
        <v>11237</v>
      </c>
      <c r="I320" s="4" t="s">
        <v>296</v>
      </c>
      <c r="J320" s="4" t="s">
        <v>297</v>
      </c>
      <c r="K320" s="4" t="s">
        <v>298</v>
      </c>
      <c r="L320" s="4" t="s">
        <v>299</v>
      </c>
      <c r="M320" s="4" t="s">
        <v>300</v>
      </c>
      <c r="N320" s="4" t="s">
        <v>11238</v>
      </c>
      <c r="O320" s="5">
        <v>70.44</v>
      </c>
      <c r="P320" s="6">
        <v>1</v>
      </c>
      <c r="Q320" s="7">
        <v>9.25</v>
      </c>
      <c r="R320" s="7">
        <v>7</v>
      </c>
      <c r="S320" s="4" t="s">
        <v>301</v>
      </c>
      <c r="T320" s="4" t="s">
        <v>302</v>
      </c>
      <c r="U320" s="5">
        <v>84.106999999999999</v>
      </c>
      <c r="V320" s="6">
        <v>0.25</v>
      </c>
      <c r="W320" s="7">
        <v>3</v>
      </c>
      <c r="X320" s="5">
        <v>28.297000000000001</v>
      </c>
      <c r="Y320" s="4" t="s">
        <v>292</v>
      </c>
      <c r="Z320" s="6">
        <v>4</v>
      </c>
      <c r="AA320" s="6">
        <v>1</v>
      </c>
      <c r="AB320" s="5">
        <v>113.188</v>
      </c>
      <c r="AC320" s="6">
        <v>1</v>
      </c>
      <c r="AD320" s="6">
        <v>1</v>
      </c>
      <c r="AE320" s="5">
        <v>113.188</v>
      </c>
      <c r="AF320" s="5">
        <v>113.188</v>
      </c>
      <c r="AG320" s="7">
        <v>7</v>
      </c>
      <c r="AH320" s="7">
        <v>0</v>
      </c>
      <c r="AI320" s="7">
        <v>17</v>
      </c>
      <c r="AJ320" s="7">
        <v>0</v>
      </c>
      <c r="AK320" s="8">
        <v>44115.533333333333</v>
      </c>
      <c r="AL320" s="7">
        <v>2.1</v>
      </c>
      <c r="AM320" s="7">
        <v>100</v>
      </c>
      <c r="AN320" s="7">
        <v>0</v>
      </c>
      <c r="AO320" s="7">
        <v>1.47</v>
      </c>
      <c r="AP320" s="7">
        <v>0</v>
      </c>
      <c r="AQ320" s="7">
        <v>4.3499999999999996</v>
      </c>
      <c r="AR320" s="7">
        <v>0.82</v>
      </c>
      <c r="AS320" s="4" t="s">
        <v>303</v>
      </c>
      <c r="AT320" s="7">
        <v>0</v>
      </c>
      <c r="AU320" s="4" t="s">
        <v>495</v>
      </c>
      <c r="AV320" s="4" t="s">
        <v>305</v>
      </c>
    </row>
    <row r="321" spans="1:49" s="4" customFormat="1" x14ac:dyDescent="0.25">
      <c r="A321" s="4" t="s">
        <v>11201</v>
      </c>
      <c r="B321" s="4" t="s">
        <v>293</v>
      </c>
      <c r="C321" s="4" t="s">
        <v>496</v>
      </c>
      <c r="D321" s="4" t="s">
        <v>497</v>
      </c>
      <c r="F321" s="4" t="s">
        <v>11462</v>
      </c>
      <c r="G321" s="4" t="s">
        <v>11463</v>
      </c>
      <c r="I321" s="4" t="s">
        <v>296</v>
      </c>
      <c r="J321" s="4" t="s">
        <v>297</v>
      </c>
      <c r="K321" s="4" t="s">
        <v>311</v>
      </c>
      <c r="L321" s="4" t="s">
        <v>299</v>
      </c>
      <c r="M321" s="4" t="s">
        <v>300</v>
      </c>
      <c r="N321" s="4" t="s">
        <v>11198</v>
      </c>
      <c r="O321" s="5">
        <v>12.504</v>
      </c>
      <c r="P321" s="6">
        <v>1</v>
      </c>
      <c r="Q321" s="7">
        <v>9.25</v>
      </c>
      <c r="R321" s="7">
        <v>12</v>
      </c>
      <c r="S321" s="4" t="s">
        <v>301</v>
      </c>
      <c r="T321" s="4" t="s">
        <v>302</v>
      </c>
      <c r="U321" s="5">
        <v>15.878</v>
      </c>
      <c r="V321" s="6">
        <v>0.45</v>
      </c>
      <c r="W321" s="7">
        <v>1.5</v>
      </c>
      <c r="X321" s="5">
        <v>5.7450000000000001</v>
      </c>
      <c r="Y321" s="4" t="s">
        <v>292</v>
      </c>
      <c r="Z321" s="6">
        <v>1</v>
      </c>
      <c r="AA321" s="6">
        <v>1</v>
      </c>
      <c r="AB321" s="5">
        <v>5.7450000000000001</v>
      </c>
      <c r="AC321" s="6">
        <v>1</v>
      </c>
      <c r="AD321" s="6">
        <v>1</v>
      </c>
      <c r="AE321" s="5">
        <v>5.7450000000000001</v>
      </c>
      <c r="AF321" s="7">
        <v>10</v>
      </c>
      <c r="AG321" s="7">
        <v>12</v>
      </c>
      <c r="AH321" s="7">
        <v>9.25</v>
      </c>
      <c r="AI321" s="7">
        <v>0</v>
      </c>
      <c r="AJ321" s="7">
        <v>0</v>
      </c>
      <c r="AK321" s="8">
        <v>44115.515370370369</v>
      </c>
      <c r="AL321" s="7">
        <v>0.72</v>
      </c>
      <c r="AM321" s="7">
        <v>100</v>
      </c>
      <c r="AN321" s="7">
        <v>0</v>
      </c>
      <c r="AO321" s="7">
        <v>0.86</v>
      </c>
      <c r="AP321" s="7">
        <v>0.66</v>
      </c>
      <c r="AQ321" s="7">
        <v>0</v>
      </c>
      <c r="AR321" s="7">
        <v>0.12</v>
      </c>
      <c r="AS321" s="4" t="s">
        <v>303</v>
      </c>
      <c r="AT321" s="7">
        <v>0</v>
      </c>
      <c r="AU321" s="4" t="s">
        <v>498</v>
      </c>
      <c r="AV321" s="4" t="s">
        <v>305</v>
      </c>
      <c r="AW321" s="4" t="s">
        <v>292</v>
      </c>
    </row>
    <row r="322" spans="1:49" s="4" customFormat="1" x14ac:dyDescent="0.25">
      <c r="A322" s="4" t="s">
        <v>11199</v>
      </c>
      <c r="B322" s="4" t="s">
        <v>293</v>
      </c>
      <c r="C322" s="4" t="s">
        <v>496</v>
      </c>
      <c r="D322" s="4" t="s">
        <v>497</v>
      </c>
      <c r="F322" s="4" t="s">
        <v>11462</v>
      </c>
      <c r="G322" s="4" t="s">
        <v>11463</v>
      </c>
      <c r="I322" s="4" t="s">
        <v>296</v>
      </c>
      <c r="J322" s="4" t="s">
        <v>297</v>
      </c>
      <c r="K322" s="4" t="s">
        <v>311</v>
      </c>
      <c r="L322" s="4" t="s">
        <v>299</v>
      </c>
      <c r="M322" s="4" t="s">
        <v>300</v>
      </c>
      <c r="N322" s="4" t="s">
        <v>11198</v>
      </c>
      <c r="O322" s="5">
        <v>12.506</v>
      </c>
      <c r="P322" s="6">
        <v>1</v>
      </c>
      <c r="Q322" s="7">
        <v>9.25</v>
      </c>
      <c r="R322" s="7">
        <v>7</v>
      </c>
      <c r="S322" s="4" t="s">
        <v>301</v>
      </c>
      <c r="T322" s="4" t="s">
        <v>302</v>
      </c>
      <c r="U322" s="5">
        <v>14.933</v>
      </c>
      <c r="V322" s="6">
        <v>0.45</v>
      </c>
      <c r="W322" s="7">
        <v>2</v>
      </c>
      <c r="X322" s="5">
        <v>5.78</v>
      </c>
      <c r="Y322" s="4" t="s">
        <v>292</v>
      </c>
      <c r="Z322" s="6">
        <v>1</v>
      </c>
      <c r="AA322" s="6">
        <v>1</v>
      </c>
      <c r="AB322" s="5">
        <v>5.78</v>
      </c>
      <c r="AC322" s="6">
        <v>1</v>
      </c>
      <c r="AD322" s="6">
        <v>1</v>
      </c>
      <c r="AE322" s="5">
        <v>5.78</v>
      </c>
      <c r="AF322" s="7">
        <v>10</v>
      </c>
      <c r="AG322" s="7">
        <v>7</v>
      </c>
      <c r="AH322" s="7">
        <v>9.25</v>
      </c>
      <c r="AI322" s="7">
        <v>0</v>
      </c>
      <c r="AJ322" s="7">
        <v>0</v>
      </c>
      <c r="AK322" s="8">
        <v>44115.52003472222</v>
      </c>
      <c r="AL322" s="7">
        <v>0.67</v>
      </c>
      <c r="AM322" s="7">
        <v>100</v>
      </c>
      <c r="AN322" s="7">
        <v>0</v>
      </c>
      <c r="AO322" s="7">
        <v>0.47</v>
      </c>
      <c r="AP322" s="7">
        <v>0.62</v>
      </c>
      <c r="AQ322" s="7">
        <v>0</v>
      </c>
      <c r="AR322" s="7">
        <v>0.15</v>
      </c>
      <c r="AS322" s="4" t="s">
        <v>303</v>
      </c>
      <c r="AT322" s="7">
        <v>0</v>
      </c>
      <c r="AU322" s="4" t="s">
        <v>498</v>
      </c>
      <c r="AV322" s="4" t="s">
        <v>305</v>
      </c>
      <c r="AW322" s="4" t="s">
        <v>292</v>
      </c>
    </row>
    <row r="323" spans="1:49" s="4" customFormat="1" x14ac:dyDescent="0.25">
      <c r="A323" s="4" t="s">
        <v>395</v>
      </c>
      <c r="B323" s="4" t="s">
        <v>293</v>
      </c>
      <c r="C323" s="4" t="s">
        <v>496</v>
      </c>
      <c r="D323" s="4" t="s">
        <v>497</v>
      </c>
      <c r="F323" s="4" t="s">
        <v>11462</v>
      </c>
      <c r="G323" s="4" t="s">
        <v>11463</v>
      </c>
      <c r="I323" s="4" t="s">
        <v>296</v>
      </c>
      <c r="J323" s="4" t="s">
        <v>297</v>
      </c>
      <c r="K323" s="4" t="s">
        <v>311</v>
      </c>
      <c r="L323" s="4" t="s">
        <v>299</v>
      </c>
      <c r="M323" s="4" t="s">
        <v>300</v>
      </c>
      <c r="N323" s="4" t="s">
        <v>447</v>
      </c>
      <c r="O323" s="5">
        <v>12.506</v>
      </c>
      <c r="P323" s="6">
        <v>1</v>
      </c>
      <c r="Q323" s="7">
        <v>9.25</v>
      </c>
      <c r="R323" s="7">
        <v>7</v>
      </c>
      <c r="S323" s="4" t="s">
        <v>301</v>
      </c>
      <c r="T323" s="4" t="s">
        <v>302</v>
      </c>
      <c r="U323" s="5">
        <v>14.933</v>
      </c>
      <c r="V323" s="6">
        <v>0.45</v>
      </c>
      <c r="W323" s="7">
        <v>4</v>
      </c>
      <c r="X323" s="5">
        <v>7.87</v>
      </c>
      <c r="Y323" s="4" t="s">
        <v>292</v>
      </c>
      <c r="Z323" s="6">
        <v>1</v>
      </c>
      <c r="AA323" s="6">
        <v>0.753494</v>
      </c>
      <c r="AB323" s="5">
        <v>7.87</v>
      </c>
      <c r="AC323" s="6">
        <v>1</v>
      </c>
      <c r="AD323" s="6">
        <v>0.753494</v>
      </c>
      <c r="AE323" s="5">
        <v>7.87</v>
      </c>
      <c r="AF323" s="7">
        <v>10</v>
      </c>
      <c r="AG323" s="7">
        <v>7</v>
      </c>
      <c r="AH323" s="7">
        <v>9.25</v>
      </c>
      <c r="AI323" s="7">
        <v>17</v>
      </c>
      <c r="AJ323" s="7">
        <v>0</v>
      </c>
      <c r="AK323" s="8">
        <v>44115.52003472222</v>
      </c>
      <c r="AL323" s="7">
        <v>0.67</v>
      </c>
      <c r="AM323" s="7">
        <v>100</v>
      </c>
      <c r="AN323" s="7">
        <v>0</v>
      </c>
      <c r="AO323" s="7">
        <v>0.47</v>
      </c>
      <c r="AP323" s="7">
        <v>0.62</v>
      </c>
      <c r="AQ323" s="7">
        <v>1.42</v>
      </c>
      <c r="AR323" s="7">
        <v>0.35</v>
      </c>
      <c r="AS323" s="4" t="s">
        <v>303</v>
      </c>
      <c r="AT323" s="7">
        <v>0</v>
      </c>
      <c r="AU323" s="4" t="s">
        <v>498</v>
      </c>
      <c r="AV323" s="4" t="s">
        <v>305</v>
      </c>
      <c r="AW323" s="4" t="s">
        <v>292</v>
      </c>
    </row>
    <row r="324" spans="1:49" s="4" customFormat="1" x14ac:dyDescent="0.25">
      <c r="A324" s="4" t="s">
        <v>11200</v>
      </c>
      <c r="B324" s="4" t="s">
        <v>293</v>
      </c>
      <c r="C324" s="4" t="s">
        <v>496</v>
      </c>
      <c r="D324" s="4" t="s">
        <v>497</v>
      </c>
      <c r="F324" s="4" t="s">
        <v>11462</v>
      </c>
      <c r="G324" s="4" t="s">
        <v>11463</v>
      </c>
      <c r="I324" s="4" t="s">
        <v>296</v>
      </c>
      <c r="J324" s="4" t="s">
        <v>297</v>
      </c>
      <c r="K324" s="4" t="s">
        <v>311</v>
      </c>
      <c r="L324" s="4" t="s">
        <v>299</v>
      </c>
      <c r="M324" s="4" t="s">
        <v>300</v>
      </c>
      <c r="N324" s="4" t="s">
        <v>11198</v>
      </c>
      <c r="O324" s="5">
        <v>12.506</v>
      </c>
      <c r="P324" s="6">
        <v>1</v>
      </c>
      <c r="Q324" s="7">
        <v>9.25</v>
      </c>
      <c r="R324" s="7">
        <v>18</v>
      </c>
      <c r="S324" s="4" t="s">
        <v>301</v>
      </c>
      <c r="T324" s="4" t="s">
        <v>302</v>
      </c>
      <c r="U324" s="5">
        <v>17.190000000000001</v>
      </c>
      <c r="V324" s="6">
        <v>0.45</v>
      </c>
      <c r="W324" s="7">
        <v>1.5</v>
      </c>
      <c r="X324" s="5">
        <v>5.7560000000000002</v>
      </c>
      <c r="Y324" s="4" t="s">
        <v>292</v>
      </c>
      <c r="Z324" s="6">
        <v>1</v>
      </c>
      <c r="AA324" s="6">
        <v>1</v>
      </c>
      <c r="AB324" s="5">
        <v>5.7560000000000002</v>
      </c>
      <c r="AC324" s="6">
        <v>1</v>
      </c>
      <c r="AD324" s="6">
        <v>1</v>
      </c>
      <c r="AE324" s="5">
        <v>5.7560000000000002</v>
      </c>
      <c r="AF324" s="7">
        <v>10</v>
      </c>
      <c r="AG324" s="7">
        <v>18</v>
      </c>
      <c r="AH324" s="7">
        <v>9.25</v>
      </c>
      <c r="AI324" s="7">
        <v>0</v>
      </c>
      <c r="AJ324" s="7">
        <v>0</v>
      </c>
      <c r="AK324" s="8">
        <v>44115.509097222224</v>
      </c>
      <c r="AL324" s="7">
        <v>0.77</v>
      </c>
      <c r="AM324" s="7">
        <v>100</v>
      </c>
      <c r="AN324" s="7">
        <v>0</v>
      </c>
      <c r="AO324" s="7">
        <v>1.39</v>
      </c>
      <c r="AP324" s="7">
        <v>0.72</v>
      </c>
      <c r="AQ324" s="7">
        <v>0</v>
      </c>
      <c r="AR324" s="7">
        <v>0.13</v>
      </c>
      <c r="AS324" s="4" t="s">
        <v>303</v>
      </c>
      <c r="AT324" s="7">
        <v>0</v>
      </c>
      <c r="AU324" s="4" t="s">
        <v>498</v>
      </c>
      <c r="AV324" s="4" t="s">
        <v>305</v>
      </c>
      <c r="AW324" s="4" t="s">
        <v>292</v>
      </c>
    </row>
    <row r="325" spans="1:49" s="4" customFormat="1" x14ac:dyDescent="0.25">
      <c r="A325" s="4" t="s">
        <v>11207</v>
      </c>
      <c r="B325" s="4" t="s">
        <v>293</v>
      </c>
      <c r="C325" s="4" t="s">
        <v>496</v>
      </c>
      <c r="D325" s="4" t="s">
        <v>497</v>
      </c>
      <c r="F325" s="4" t="s">
        <v>11236</v>
      </c>
      <c r="G325" s="4" t="s">
        <v>11237</v>
      </c>
      <c r="I325" s="4" t="s">
        <v>296</v>
      </c>
      <c r="J325" s="4" t="s">
        <v>297</v>
      </c>
      <c r="K325" s="4" t="s">
        <v>311</v>
      </c>
      <c r="L325" s="4" t="s">
        <v>299</v>
      </c>
      <c r="M325" s="4" t="s">
        <v>300</v>
      </c>
      <c r="N325" s="4" t="s">
        <v>11238</v>
      </c>
      <c r="O325" s="5">
        <v>5.76</v>
      </c>
      <c r="P325" s="6">
        <v>1</v>
      </c>
      <c r="Q325" s="7">
        <v>9.25</v>
      </c>
      <c r="R325" s="7">
        <v>7</v>
      </c>
      <c r="S325" s="4" t="s">
        <v>301</v>
      </c>
      <c r="T325" s="4" t="s">
        <v>302</v>
      </c>
      <c r="U325" s="5">
        <v>6.8780000000000001</v>
      </c>
      <c r="V325" s="6">
        <v>0.25</v>
      </c>
      <c r="W325" s="7">
        <v>3</v>
      </c>
      <c r="X325" s="5">
        <v>2.3199999999999998</v>
      </c>
      <c r="Y325" s="4" t="s">
        <v>292</v>
      </c>
      <c r="Z325" s="6">
        <v>4</v>
      </c>
      <c r="AA325" s="6">
        <v>1</v>
      </c>
      <c r="AB325" s="5">
        <v>9.2799999999999994</v>
      </c>
      <c r="AC325" s="6">
        <v>1</v>
      </c>
      <c r="AD325" s="6">
        <v>1</v>
      </c>
      <c r="AE325" s="5">
        <v>9.2799999999999994</v>
      </c>
      <c r="AF325" s="5">
        <v>9.2799999999999994</v>
      </c>
      <c r="AG325" s="7">
        <v>7</v>
      </c>
      <c r="AH325" s="7">
        <v>0</v>
      </c>
      <c r="AI325" s="7">
        <v>17</v>
      </c>
      <c r="AJ325" s="7">
        <v>0</v>
      </c>
      <c r="AK325" s="8">
        <v>44115.533530092594</v>
      </c>
      <c r="AL325" s="7">
        <v>0.17</v>
      </c>
      <c r="AM325" s="7">
        <v>100</v>
      </c>
      <c r="AN325" s="7">
        <v>0</v>
      </c>
      <c r="AO325" s="7">
        <v>0.12</v>
      </c>
      <c r="AP325" s="7">
        <v>0</v>
      </c>
      <c r="AQ325" s="7">
        <v>0.36</v>
      </c>
      <c r="AR325" s="7">
        <v>7.0000000000000007E-2</v>
      </c>
      <c r="AS325" s="4" t="s">
        <v>303</v>
      </c>
      <c r="AT325" s="7">
        <v>0</v>
      </c>
      <c r="AU325" s="4" t="s">
        <v>498</v>
      </c>
      <c r="AV325" s="4" t="s">
        <v>305</v>
      </c>
    </row>
    <row r="326" spans="1:49" s="4" customFormat="1" x14ac:dyDescent="0.25">
      <c r="A326" s="4" t="s">
        <v>11201</v>
      </c>
      <c r="B326" s="4" t="s">
        <v>293</v>
      </c>
      <c r="C326" s="4" t="s">
        <v>499</v>
      </c>
      <c r="D326" s="4" t="s">
        <v>500</v>
      </c>
      <c r="F326" s="4" t="s">
        <v>11462</v>
      </c>
      <c r="G326" s="4" t="s">
        <v>11463</v>
      </c>
      <c r="I326" s="4" t="s">
        <v>296</v>
      </c>
      <c r="J326" s="4" t="s">
        <v>297</v>
      </c>
      <c r="K326" s="4" t="s">
        <v>311</v>
      </c>
      <c r="L326" s="4" t="s">
        <v>299</v>
      </c>
      <c r="M326" s="4" t="s">
        <v>300</v>
      </c>
      <c r="N326" s="4" t="s">
        <v>11198</v>
      </c>
      <c r="O326" s="5">
        <v>11.916</v>
      </c>
      <c r="P326" s="6">
        <v>1</v>
      </c>
      <c r="Q326" s="7">
        <v>9.25</v>
      </c>
      <c r="R326" s="7">
        <v>12</v>
      </c>
      <c r="S326" s="4" t="s">
        <v>301</v>
      </c>
      <c r="T326" s="4" t="s">
        <v>302</v>
      </c>
      <c r="U326" s="5">
        <v>15.131</v>
      </c>
      <c r="V326" s="6">
        <v>0.45</v>
      </c>
      <c r="W326" s="7">
        <v>1.5</v>
      </c>
      <c r="X326" s="5">
        <v>5.4690000000000003</v>
      </c>
      <c r="Y326" s="4" t="s">
        <v>292</v>
      </c>
      <c r="Z326" s="6">
        <v>1</v>
      </c>
      <c r="AA326" s="6">
        <v>1</v>
      </c>
      <c r="AB326" s="5">
        <v>5.4690000000000003</v>
      </c>
      <c r="AC326" s="6">
        <v>1</v>
      </c>
      <c r="AD326" s="6">
        <v>1</v>
      </c>
      <c r="AE326" s="5">
        <v>5.4690000000000003</v>
      </c>
      <c r="AF326" s="7">
        <v>10</v>
      </c>
      <c r="AG326" s="7">
        <v>12</v>
      </c>
      <c r="AH326" s="7">
        <v>9.25</v>
      </c>
      <c r="AI326" s="7">
        <v>0</v>
      </c>
      <c r="AJ326" s="7">
        <v>0</v>
      </c>
      <c r="AK326" s="8">
        <v>44115.515370370369</v>
      </c>
      <c r="AL326" s="7">
        <v>0.68</v>
      </c>
      <c r="AM326" s="7">
        <v>100</v>
      </c>
      <c r="AN326" s="7">
        <v>0</v>
      </c>
      <c r="AO326" s="7">
        <v>0.82</v>
      </c>
      <c r="AP326" s="7">
        <v>0.63</v>
      </c>
      <c r="AQ326" s="7">
        <v>0</v>
      </c>
      <c r="AR326" s="7">
        <v>0.11</v>
      </c>
      <c r="AS326" s="4" t="s">
        <v>303</v>
      </c>
      <c r="AT326" s="7">
        <v>0</v>
      </c>
      <c r="AU326" s="4" t="s">
        <v>501</v>
      </c>
      <c r="AV326" s="4" t="s">
        <v>305</v>
      </c>
      <c r="AW326" s="4" t="s">
        <v>292</v>
      </c>
    </row>
    <row r="327" spans="1:49" s="4" customFormat="1" x14ac:dyDescent="0.25">
      <c r="A327" s="4" t="s">
        <v>11199</v>
      </c>
      <c r="B327" s="4" t="s">
        <v>293</v>
      </c>
      <c r="C327" s="4" t="s">
        <v>499</v>
      </c>
      <c r="D327" s="4" t="s">
        <v>500</v>
      </c>
      <c r="F327" s="4" t="s">
        <v>11462</v>
      </c>
      <c r="G327" s="4" t="s">
        <v>11463</v>
      </c>
      <c r="I327" s="4" t="s">
        <v>296</v>
      </c>
      <c r="J327" s="4" t="s">
        <v>297</v>
      </c>
      <c r="K327" s="4" t="s">
        <v>311</v>
      </c>
      <c r="L327" s="4" t="s">
        <v>299</v>
      </c>
      <c r="M327" s="4" t="s">
        <v>300</v>
      </c>
      <c r="N327" s="4" t="s">
        <v>11198</v>
      </c>
      <c r="O327" s="5">
        <v>11.916</v>
      </c>
      <c r="P327" s="6">
        <v>1</v>
      </c>
      <c r="Q327" s="7">
        <v>9.25</v>
      </c>
      <c r="R327" s="7">
        <v>7</v>
      </c>
      <c r="S327" s="4" t="s">
        <v>301</v>
      </c>
      <c r="T327" s="4" t="s">
        <v>302</v>
      </c>
      <c r="U327" s="5">
        <v>14.228</v>
      </c>
      <c r="V327" s="6">
        <v>0.45</v>
      </c>
      <c r="W327" s="7">
        <v>2</v>
      </c>
      <c r="X327" s="5">
        <v>5.4930000000000003</v>
      </c>
      <c r="Y327" s="4" t="s">
        <v>292</v>
      </c>
      <c r="Z327" s="6">
        <v>1</v>
      </c>
      <c r="AA327" s="6">
        <v>1</v>
      </c>
      <c r="AB327" s="5">
        <v>5.4930000000000003</v>
      </c>
      <c r="AC327" s="6">
        <v>1</v>
      </c>
      <c r="AD327" s="6">
        <v>1</v>
      </c>
      <c r="AE327" s="5">
        <v>5.4930000000000003</v>
      </c>
      <c r="AF327" s="7">
        <v>10</v>
      </c>
      <c r="AG327" s="7">
        <v>7</v>
      </c>
      <c r="AH327" s="7">
        <v>9.25</v>
      </c>
      <c r="AI327" s="7">
        <v>0</v>
      </c>
      <c r="AJ327" s="7">
        <v>0</v>
      </c>
      <c r="AK327" s="8">
        <v>44115.520046296297</v>
      </c>
      <c r="AL327" s="7">
        <v>0.64</v>
      </c>
      <c r="AM327" s="7">
        <v>100</v>
      </c>
      <c r="AN327" s="7">
        <v>0</v>
      </c>
      <c r="AO327" s="7">
        <v>0.45</v>
      </c>
      <c r="AP327" s="7">
        <v>0.6</v>
      </c>
      <c r="AQ327" s="7">
        <v>0</v>
      </c>
      <c r="AR327" s="7">
        <v>0.14000000000000001</v>
      </c>
      <c r="AS327" s="4" t="s">
        <v>303</v>
      </c>
      <c r="AT327" s="7">
        <v>0</v>
      </c>
      <c r="AU327" s="4" t="s">
        <v>501</v>
      </c>
      <c r="AV327" s="4" t="s">
        <v>305</v>
      </c>
      <c r="AW327" s="4" t="s">
        <v>292</v>
      </c>
    </row>
    <row r="328" spans="1:49" s="4" customFormat="1" x14ac:dyDescent="0.25">
      <c r="A328" s="4" t="s">
        <v>395</v>
      </c>
      <c r="B328" s="4" t="s">
        <v>293</v>
      </c>
      <c r="C328" s="4" t="s">
        <v>499</v>
      </c>
      <c r="D328" s="4" t="s">
        <v>500</v>
      </c>
      <c r="F328" s="4" t="s">
        <v>11462</v>
      </c>
      <c r="G328" s="4" t="s">
        <v>11463</v>
      </c>
      <c r="I328" s="4" t="s">
        <v>296</v>
      </c>
      <c r="J328" s="4" t="s">
        <v>297</v>
      </c>
      <c r="K328" s="4" t="s">
        <v>311</v>
      </c>
      <c r="L328" s="4" t="s">
        <v>299</v>
      </c>
      <c r="M328" s="4" t="s">
        <v>300</v>
      </c>
      <c r="N328" s="4" t="s">
        <v>447</v>
      </c>
      <c r="O328" s="5">
        <v>11.916</v>
      </c>
      <c r="P328" s="6">
        <v>1</v>
      </c>
      <c r="Q328" s="7">
        <v>9.25</v>
      </c>
      <c r="R328" s="7">
        <v>7</v>
      </c>
      <c r="S328" s="4" t="s">
        <v>301</v>
      </c>
      <c r="T328" s="4" t="s">
        <v>302</v>
      </c>
      <c r="U328" s="5">
        <v>14.228</v>
      </c>
      <c r="V328" s="6">
        <v>0.45</v>
      </c>
      <c r="W328" s="7">
        <v>4</v>
      </c>
      <c r="X328" s="5">
        <v>7.4930000000000003</v>
      </c>
      <c r="Y328" s="4" t="s">
        <v>292</v>
      </c>
      <c r="Z328" s="6">
        <v>1</v>
      </c>
      <c r="AA328" s="6">
        <v>0.75176799999999999</v>
      </c>
      <c r="AB328" s="5">
        <v>7.4930000000000003</v>
      </c>
      <c r="AC328" s="6">
        <v>1</v>
      </c>
      <c r="AD328" s="6">
        <v>0.75176799999999999</v>
      </c>
      <c r="AE328" s="5">
        <v>7.4930000000000003</v>
      </c>
      <c r="AF328" s="7">
        <v>10</v>
      </c>
      <c r="AG328" s="7">
        <v>7</v>
      </c>
      <c r="AH328" s="7">
        <v>9.25</v>
      </c>
      <c r="AI328" s="7">
        <v>17</v>
      </c>
      <c r="AJ328" s="7">
        <v>0</v>
      </c>
      <c r="AK328" s="8">
        <v>44115.520046296297</v>
      </c>
      <c r="AL328" s="7">
        <v>0.64</v>
      </c>
      <c r="AM328" s="7">
        <v>100</v>
      </c>
      <c r="AN328" s="7">
        <v>0</v>
      </c>
      <c r="AO328" s="7">
        <v>0.45</v>
      </c>
      <c r="AP328" s="7">
        <v>0.6</v>
      </c>
      <c r="AQ328" s="7">
        <v>1.35</v>
      </c>
      <c r="AR328" s="7">
        <v>0.34</v>
      </c>
      <c r="AS328" s="4" t="s">
        <v>303</v>
      </c>
      <c r="AT328" s="7">
        <v>0</v>
      </c>
      <c r="AU328" s="4" t="s">
        <v>501</v>
      </c>
      <c r="AV328" s="4" t="s">
        <v>305</v>
      </c>
      <c r="AW328" s="4" t="s">
        <v>292</v>
      </c>
    </row>
    <row r="329" spans="1:49" s="4" customFormat="1" x14ac:dyDescent="0.25">
      <c r="A329" s="4" t="s">
        <v>11200</v>
      </c>
      <c r="B329" s="4" t="s">
        <v>293</v>
      </c>
      <c r="C329" s="4" t="s">
        <v>499</v>
      </c>
      <c r="D329" s="4" t="s">
        <v>500</v>
      </c>
      <c r="F329" s="4" t="s">
        <v>11462</v>
      </c>
      <c r="G329" s="4" t="s">
        <v>11463</v>
      </c>
      <c r="I329" s="4" t="s">
        <v>296</v>
      </c>
      <c r="J329" s="4" t="s">
        <v>297</v>
      </c>
      <c r="K329" s="4" t="s">
        <v>311</v>
      </c>
      <c r="L329" s="4" t="s">
        <v>299</v>
      </c>
      <c r="M329" s="4" t="s">
        <v>300</v>
      </c>
      <c r="N329" s="4" t="s">
        <v>11198</v>
      </c>
      <c r="O329" s="5">
        <v>11.916</v>
      </c>
      <c r="P329" s="6">
        <v>1</v>
      </c>
      <c r="Q329" s="7">
        <v>9.25</v>
      </c>
      <c r="R329" s="7">
        <v>18</v>
      </c>
      <c r="S329" s="4" t="s">
        <v>301</v>
      </c>
      <c r="T329" s="4" t="s">
        <v>302</v>
      </c>
      <c r="U329" s="5">
        <v>16.379000000000001</v>
      </c>
      <c r="V329" s="6">
        <v>0.45</v>
      </c>
      <c r="W329" s="7">
        <v>1.5</v>
      </c>
      <c r="X329" s="5">
        <v>5.4809999999999999</v>
      </c>
      <c r="Y329" s="4" t="s">
        <v>292</v>
      </c>
      <c r="Z329" s="6">
        <v>1</v>
      </c>
      <c r="AA329" s="6">
        <v>1</v>
      </c>
      <c r="AB329" s="5">
        <v>5.4809999999999999</v>
      </c>
      <c r="AC329" s="6">
        <v>1</v>
      </c>
      <c r="AD329" s="6">
        <v>1</v>
      </c>
      <c r="AE329" s="5">
        <v>5.4809999999999999</v>
      </c>
      <c r="AF329" s="7">
        <v>10</v>
      </c>
      <c r="AG329" s="7">
        <v>18</v>
      </c>
      <c r="AH329" s="7">
        <v>9.25</v>
      </c>
      <c r="AI329" s="7">
        <v>0</v>
      </c>
      <c r="AJ329" s="7">
        <v>0</v>
      </c>
      <c r="AK329" s="8">
        <v>44115.509097222224</v>
      </c>
      <c r="AL329" s="7">
        <v>0.74</v>
      </c>
      <c r="AM329" s="7">
        <v>100</v>
      </c>
      <c r="AN329" s="7">
        <v>0</v>
      </c>
      <c r="AO329" s="7">
        <v>1.33</v>
      </c>
      <c r="AP329" s="7">
        <v>0.68</v>
      </c>
      <c r="AQ329" s="7">
        <v>0</v>
      </c>
      <c r="AR329" s="7">
        <v>0.12</v>
      </c>
      <c r="AS329" s="4" t="s">
        <v>303</v>
      </c>
      <c r="AT329" s="7">
        <v>0</v>
      </c>
      <c r="AU329" s="4" t="s">
        <v>501</v>
      </c>
      <c r="AV329" s="4" t="s">
        <v>305</v>
      </c>
      <c r="AW329" s="4" t="s">
        <v>292</v>
      </c>
    </row>
    <row r="330" spans="1:49" s="4" customFormat="1" x14ac:dyDescent="0.25">
      <c r="A330" s="4" t="s">
        <v>11207</v>
      </c>
      <c r="B330" s="4" t="s">
        <v>293</v>
      </c>
      <c r="C330" s="4" t="s">
        <v>499</v>
      </c>
      <c r="D330" s="4" t="s">
        <v>500</v>
      </c>
      <c r="F330" s="4" t="s">
        <v>11236</v>
      </c>
      <c r="G330" s="4" t="s">
        <v>11237</v>
      </c>
      <c r="I330" s="4" t="s">
        <v>296</v>
      </c>
      <c r="J330" s="4" t="s">
        <v>297</v>
      </c>
      <c r="K330" s="4" t="s">
        <v>311</v>
      </c>
      <c r="L330" s="4" t="s">
        <v>299</v>
      </c>
      <c r="M330" s="4" t="s">
        <v>300</v>
      </c>
      <c r="N330" s="4" t="s">
        <v>11238</v>
      </c>
      <c r="O330" s="5">
        <v>5.48</v>
      </c>
      <c r="P330" s="6">
        <v>1</v>
      </c>
      <c r="Q330" s="7">
        <v>9.25</v>
      </c>
      <c r="R330" s="7">
        <v>7</v>
      </c>
      <c r="S330" s="4" t="s">
        <v>301</v>
      </c>
      <c r="T330" s="4" t="s">
        <v>302</v>
      </c>
      <c r="U330" s="5">
        <v>6.5430000000000001</v>
      </c>
      <c r="V330" s="6">
        <v>0.25</v>
      </c>
      <c r="W330" s="7">
        <v>3</v>
      </c>
      <c r="X330" s="5">
        <v>2.206</v>
      </c>
      <c r="Y330" s="4" t="s">
        <v>292</v>
      </c>
      <c r="Z330" s="6">
        <v>4</v>
      </c>
      <c r="AA330" s="6">
        <v>1</v>
      </c>
      <c r="AB330" s="5">
        <v>8.8239999999999998</v>
      </c>
      <c r="AC330" s="6">
        <v>1</v>
      </c>
      <c r="AD330" s="6">
        <v>1</v>
      </c>
      <c r="AE330" s="5">
        <v>8.8239999999999998</v>
      </c>
      <c r="AF330" s="5">
        <v>8.8239999999999998</v>
      </c>
      <c r="AG330" s="7">
        <v>7</v>
      </c>
      <c r="AH330" s="7">
        <v>0</v>
      </c>
      <c r="AI330" s="7">
        <v>17</v>
      </c>
      <c r="AJ330" s="7">
        <v>0</v>
      </c>
      <c r="AK330" s="8">
        <v>44115.533541666664</v>
      </c>
      <c r="AL330" s="7">
        <v>0.17</v>
      </c>
      <c r="AM330" s="7">
        <v>100</v>
      </c>
      <c r="AN330" s="7">
        <v>0</v>
      </c>
      <c r="AO330" s="7">
        <v>0.12</v>
      </c>
      <c r="AP330" s="7">
        <v>0</v>
      </c>
      <c r="AQ330" s="7">
        <v>0.34</v>
      </c>
      <c r="AR330" s="7">
        <v>0.06</v>
      </c>
      <c r="AS330" s="4" t="s">
        <v>303</v>
      </c>
      <c r="AT330" s="7">
        <v>0</v>
      </c>
      <c r="AU330" s="4" t="s">
        <v>501</v>
      </c>
      <c r="AV330" s="4" t="s">
        <v>305</v>
      </c>
    </row>
    <row r="331" spans="1:49" s="4" customFormat="1" x14ac:dyDescent="0.25">
      <c r="A331" s="4" t="s">
        <v>11201</v>
      </c>
      <c r="B331" s="4" t="s">
        <v>293</v>
      </c>
      <c r="C331" s="4" t="s">
        <v>11217</v>
      </c>
      <c r="D331" s="4" t="s">
        <v>11218</v>
      </c>
      <c r="F331" s="4" t="s">
        <v>11462</v>
      </c>
      <c r="G331" s="4" t="s">
        <v>11463</v>
      </c>
      <c r="I331" s="4" t="s">
        <v>296</v>
      </c>
      <c r="J331" s="4" t="s">
        <v>297</v>
      </c>
      <c r="K331" s="4" t="s">
        <v>311</v>
      </c>
      <c r="L331" s="4" t="s">
        <v>322</v>
      </c>
      <c r="M331" s="4" t="s">
        <v>300</v>
      </c>
      <c r="N331" s="4" t="s">
        <v>11198</v>
      </c>
      <c r="O331" s="5">
        <v>16.064</v>
      </c>
      <c r="P331" s="6">
        <v>1</v>
      </c>
      <c r="Q331" s="7">
        <v>9.25</v>
      </c>
      <c r="R331" s="7">
        <v>12</v>
      </c>
      <c r="S331" s="4" t="s">
        <v>301</v>
      </c>
      <c r="T331" s="4" t="s">
        <v>302</v>
      </c>
      <c r="U331" s="5">
        <v>20.399000000000001</v>
      </c>
      <c r="V331" s="6">
        <v>0.45</v>
      </c>
      <c r="W331" s="7">
        <v>1.5</v>
      </c>
      <c r="X331" s="5">
        <v>7.38</v>
      </c>
      <c r="Y331" s="4" t="s">
        <v>292</v>
      </c>
      <c r="Z331" s="6">
        <v>1</v>
      </c>
      <c r="AA331" s="6">
        <v>1</v>
      </c>
      <c r="AB331" s="5">
        <v>7.38</v>
      </c>
      <c r="AC331" s="6">
        <v>1</v>
      </c>
      <c r="AD331" s="6">
        <v>1</v>
      </c>
      <c r="AE331" s="5">
        <v>7.38</v>
      </c>
      <c r="AF331" s="7">
        <v>10</v>
      </c>
      <c r="AG331" s="7">
        <v>12</v>
      </c>
      <c r="AH331" s="7">
        <v>9.25</v>
      </c>
      <c r="AI331" s="7">
        <v>0</v>
      </c>
      <c r="AJ331" s="7">
        <v>0</v>
      </c>
      <c r="AK331" s="8">
        <v>44115.515416666669</v>
      </c>
      <c r="AL331" s="7">
        <v>0.92</v>
      </c>
      <c r="AM331" s="7">
        <v>100</v>
      </c>
      <c r="AN331" s="7">
        <v>0</v>
      </c>
      <c r="AO331" s="7">
        <v>1.1000000000000001</v>
      </c>
      <c r="AP331" s="7">
        <v>0.85</v>
      </c>
      <c r="AQ331" s="7">
        <v>0</v>
      </c>
      <c r="AR331" s="7">
        <v>0.15</v>
      </c>
      <c r="AS331" s="4" t="s">
        <v>303</v>
      </c>
      <c r="AT331" s="7">
        <v>0</v>
      </c>
      <c r="AU331" s="4" t="s">
        <v>11219</v>
      </c>
      <c r="AV331" s="4" t="s">
        <v>305</v>
      </c>
      <c r="AW331" s="4" t="s">
        <v>292</v>
      </c>
    </row>
    <row r="332" spans="1:49" s="4" customFormat="1" x14ac:dyDescent="0.25">
      <c r="A332" s="4" t="s">
        <v>11199</v>
      </c>
      <c r="B332" s="4" t="s">
        <v>293</v>
      </c>
      <c r="C332" s="4" t="s">
        <v>11217</v>
      </c>
      <c r="D332" s="4" t="s">
        <v>11218</v>
      </c>
      <c r="F332" s="4" t="s">
        <v>11462</v>
      </c>
      <c r="G332" s="4" t="s">
        <v>11463</v>
      </c>
      <c r="I332" s="4" t="s">
        <v>296</v>
      </c>
      <c r="J332" s="4" t="s">
        <v>297</v>
      </c>
      <c r="K332" s="4" t="s">
        <v>311</v>
      </c>
      <c r="L332" s="4" t="s">
        <v>322</v>
      </c>
      <c r="M332" s="4" t="s">
        <v>300</v>
      </c>
      <c r="N332" s="4" t="s">
        <v>11198</v>
      </c>
      <c r="O332" s="5">
        <v>16.062999999999999</v>
      </c>
      <c r="P332" s="6">
        <v>1</v>
      </c>
      <c r="Q332" s="7">
        <v>9.25</v>
      </c>
      <c r="R332" s="7">
        <v>7</v>
      </c>
      <c r="S332" s="4" t="s">
        <v>301</v>
      </c>
      <c r="T332" s="4" t="s">
        <v>302</v>
      </c>
      <c r="U332" s="5">
        <v>19.18</v>
      </c>
      <c r="V332" s="6">
        <v>0.45</v>
      </c>
      <c r="W332" s="7">
        <v>2</v>
      </c>
      <c r="X332" s="5">
        <v>7.4210000000000003</v>
      </c>
      <c r="Y332" s="4" t="s">
        <v>292</v>
      </c>
      <c r="Z332" s="6">
        <v>1</v>
      </c>
      <c r="AA332" s="6">
        <v>1</v>
      </c>
      <c r="AB332" s="5">
        <v>7.4210000000000003</v>
      </c>
      <c r="AC332" s="6">
        <v>1</v>
      </c>
      <c r="AD332" s="6">
        <v>1</v>
      </c>
      <c r="AE332" s="5">
        <v>7.4210000000000003</v>
      </c>
      <c r="AF332" s="7">
        <v>10</v>
      </c>
      <c r="AG332" s="7">
        <v>7</v>
      </c>
      <c r="AH332" s="7">
        <v>9.25</v>
      </c>
      <c r="AI332" s="7">
        <v>0</v>
      </c>
      <c r="AJ332" s="7">
        <v>0</v>
      </c>
      <c r="AK332" s="8">
        <v>44115.520138888889</v>
      </c>
      <c r="AL332" s="7">
        <v>0.86</v>
      </c>
      <c r="AM332" s="7">
        <v>100</v>
      </c>
      <c r="AN332" s="7">
        <v>0</v>
      </c>
      <c r="AO332" s="7">
        <v>0.6</v>
      </c>
      <c r="AP332" s="7">
        <v>0.8</v>
      </c>
      <c r="AQ332" s="7">
        <v>0</v>
      </c>
      <c r="AR332" s="7">
        <v>0.19</v>
      </c>
      <c r="AS332" s="4" t="s">
        <v>303</v>
      </c>
      <c r="AT332" s="7">
        <v>0</v>
      </c>
      <c r="AU332" s="4" t="s">
        <v>11219</v>
      </c>
      <c r="AV332" s="4" t="s">
        <v>305</v>
      </c>
      <c r="AW332" s="4" t="s">
        <v>292</v>
      </c>
    </row>
    <row r="333" spans="1:49" s="4" customFormat="1" x14ac:dyDescent="0.25">
      <c r="A333" s="4" t="s">
        <v>11200</v>
      </c>
      <c r="B333" s="4" t="s">
        <v>293</v>
      </c>
      <c r="C333" s="4" t="s">
        <v>11217</v>
      </c>
      <c r="D333" s="4" t="s">
        <v>11218</v>
      </c>
      <c r="F333" s="4" t="s">
        <v>11462</v>
      </c>
      <c r="G333" s="4" t="s">
        <v>11463</v>
      </c>
      <c r="I333" s="4" t="s">
        <v>296</v>
      </c>
      <c r="J333" s="4" t="s">
        <v>297</v>
      </c>
      <c r="K333" s="4" t="s">
        <v>311</v>
      </c>
      <c r="L333" s="4" t="s">
        <v>322</v>
      </c>
      <c r="M333" s="4" t="s">
        <v>300</v>
      </c>
      <c r="N333" s="4" t="s">
        <v>11198</v>
      </c>
      <c r="O333" s="5">
        <v>16.062999999999999</v>
      </c>
      <c r="P333" s="6">
        <v>1</v>
      </c>
      <c r="Q333" s="7">
        <v>9.25</v>
      </c>
      <c r="R333" s="7">
        <v>18</v>
      </c>
      <c r="S333" s="4" t="s">
        <v>301</v>
      </c>
      <c r="T333" s="4" t="s">
        <v>302</v>
      </c>
      <c r="U333" s="5">
        <v>22.08</v>
      </c>
      <c r="V333" s="6">
        <v>0.45</v>
      </c>
      <c r="W333" s="7">
        <v>1.5</v>
      </c>
      <c r="X333" s="5">
        <v>7.3860000000000001</v>
      </c>
      <c r="Y333" s="4" t="s">
        <v>292</v>
      </c>
      <c r="Z333" s="6">
        <v>1</v>
      </c>
      <c r="AA333" s="6">
        <v>1</v>
      </c>
      <c r="AB333" s="5">
        <v>7.3860000000000001</v>
      </c>
      <c r="AC333" s="6">
        <v>1</v>
      </c>
      <c r="AD333" s="6">
        <v>1</v>
      </c>
      <c r="AE333" s="5">
        <v>7.3860000000000001</v>
      </c>
      <c r="AF333" s="7">
        <v>10</v>
      </c>
      <c r="AG333" s="7">
        <v>18</v>
      </c>
      <c r="AH333" s="7">
        <v>9.25</v>
      </c>
      <c r="AI333" s="7">
        <v>0</v>
      </c>
      <c r="AJ333" s="7">
        <v>0</v>
      </c>
      <c r="AK333" s="8">
        <v>44115.50917824074</v>
      </c>
      <c r="AL333" s="7">
        <v>0.99</v>
      </c>
      <c r="AM333" s="7">
        <v>100</v>
      </c>
      <c r="AN333" s="7">
        <v>0</v>
      </c>
      <c r="AO333" s="7">
        <v>1.79</v>
      </c>
      <c r="AP333" s="7">
        <v>0.92</v>
      </c>
      <c r="AQ333" s="7">
        <v>0</v>
      </c>
      <c r="AR333" s="7">
        <v>0.16</v>
      </c>
      <c r="AS333" s="4" t="s">
        <v>303</v>
      </c>
      <c r="AT333" s="7">
        <v>0</v>
      </c>
      <c r="AU333" s="4" t="s">
        <v>11219</v>
      </c>
      <c r="AV333" s="4" t="s">
        <v>305</v>
      </c>
      <c r="AW333" s="4" t="s">
        <v>292</v>
      </c>
    </row>
    <row r="334" spans="1:49" s="4" customFormat="1" x14ac:dyDescent="0.25">
      <c r="A334" s="4" t="s">
        <v>11207</v>
      </c>
      <c r="B334" s="4" t="s">
        <v>293</v>
      </c>
      <c r="C334" s="4" t="s">
        <v>11217</v>
      </c>
      <c r="D334" s="4" t="s">
        <v>11218</v>
      </c>
      <c r="F334" s="4" t="s">
        <v>11236</v>
      </c>
      <c r="G334" s="4" t="s">
        <v>11237</v>
      </c>
      <c r="I334" s="4" t="s">
        <v>296</v>
      </c>
      <c r="J334" s="4" t="s">
        <v>297</v>
      </c>
      <c r="K334" s="4" t="s">
        <v>311</v>
      </c>
      <c r="L334" s="4" t="s">
        <v>322</v>
      </c>
      <c r="M334" s="4" t="s">
        <v>300</v>
      </c>
      <c r="N334" s="4" t="s">
        <v>11238</v>
      </c>
      <c r="O334" s="5">
        <v>7.39</v>
      </c>
      <c r="P334" s="6">
        <v>1</v>
      </c>
      <c r="Q334" s="7">
        <v>9.25</v>
      </c>
      <c r="R334" s="7">
        <v>7</v>
      </c>
      <c r="S334" s="4" t="s">
        <v>301</v>
      </c>
      <c r="T334" s="4" t="s">
        <v>302</v>
      </c>
      <c r="U334" s="5">
        <v>8.8239999999999998</v>
      </c>
      <c r="V334" s="6">
        <v>0.25</v>
      </c>
      <c r="W334" s="7">
        <v>3</v>
      </c>
      <c r="X334" s="5">
        <v>2.976</v>
      </c>
      <c r="Y334" s="4" t="s">
        <v>292</v>
      </c>
      <c r="Z334" s="6">
        <v>4</v>
      </c>
      <c r="AA334" s="6">
        <v>1</v>
      </c>
      <c r="AB334" s="5">
        <v>11.904</v>
      </c>
      <c r="AC334" s="6">
        <v>1</v>
      </c>
      <c r="AD334" s="6">
        <v>1</v>
      </c>
      <c r="AE334" s="5">
        <v>11.904</v>
      </c>
      <c r="AF334" s="5">
        <v>11.904</v>
      </c>
      <c r="AG334" s="7">
        <v>7</v>
      </c>
      <c r="AH334" s="7">
        <v>0</v>
      </c>
      <c r="AI334" s="7">
        <v>17</v>
      </c>
      <c r="AJ334" s="7">
        <v>0</v>
      </c>
      <c r="AK334" s="8">
        <v>44115.533587962964</v>
      </c>
      <c r="AL334" s="7">
        <v>0.22</v>
      </c>
      <c r="AM334" s="7">
        <v>100</v>
      </c>
      <c r="AN334" s="7">
        <v>0</v>
      </c>
      <c r="AO334" s="7">
        <v>0.16</v>
      </c>
      <c r="AP334" s="7">
        <v>0</v>
      </c>
      <c r="AQ334" s="7">
        <v>0.46</v>
      </c>
      <c r="AR334" s="7">
        <v>0.09</v>
      </c>
      <c r="AS334" s="4" t="s">
        <v>303</v>
      </c>
      <c r="AT334" s="7">
        <v>0</v>
      </c>
      <c r="AU334" s="4" t="s">
        <v>11219</v>
      </c>
      <c r="AV334" s="4" t="s">
        <v>305</v>
      </c>
    </row>
    <row r="335" spans="1:49" s="4" customFormat="1" x14ac:dyDescent="0.25">
      <c r="A335" s="4" t="s">
        <v>11201</v>
      </c>
      <c r="B335" s="4" t="s">
        <v>293</v>
      </c>
      <c r="C335" s="4" t="s">
        <v>502</v>
      </c>
      <c r="D335" s="4" t="s">
        <v>503</v>
      </c>
      <c r="F335" s="4" t="s">
        <v>11462</v>
      </c>
      <c r="G335" s="4" t="s">
        <v>11463</v>
      </c>
      <c r="I335" s="4" t="s">
        <v>296</v>
      </c>
      <c r="J335" s="4" t="s">
        <v>297</v>
      </c>
      <c r="K335" s="4" t="s">
        <v>298</v>
      </c>
      <c r="L335" s="4" t="s">
        <v>299</v>
      </c>
      <c r="M335" s="4" t="s">
        <v>300</v>
      </c>
      <c r="N335" s="4" t="s">
        <v>11198</v>
      </c>
      <c r="O335" s="5">
        <v>449.04399999999998</v>
      </c>
      <c r="P335" s="6">
        <v>1</v>
      </c>
      <c r="Q335" s="7">
        <v>9.25</v>
      </c>
      <c r="R335" s="7">
        <v>12</v>
      </c>
      <c r="S335" s="4" t="s">
        <v>301</v>
      </c>
      <c r="T335" s="4" t="s">
        <v>302</v>
      </c>
      <c r="U335" s="5">
        <v>570.21500000000003</v>
      </c>
      <c r="V335" s="6">
        <v>0.45</v>
      </c>
      <c r="W335" s="7">
        <v>1.5</v>
      </c>
      <c r="X335" s="5">
        <v>206.30699999999999</v>
      </c>
      <c r="Y335" s="4" t="s">
        <v>292</v>
      </c>
      <c r="Z335" s="6">
        <v>1</v>
      </c>
      <c r="AA335" s="6">
        <v>1</v>
      </c>
      <c r="AB335" s="5">
        <v>206.30699999999999</v>
      </c>
      <c r="AC335" s="6">
        <v>1</v>
      </c>
      <c r="AD335" s="6">
        <v>1</v>
      </c>
      <c r="AE335" s="5">
        <v>206.30699999999999</v>
      </c>
      <c r="AF335" s="7">
        <v>10</v>
      </c>
      <c r="AG335" s="7">
        <v>12</v>
      </c>
      <c r="AH335" s="7">
        <v>9.25</v>
      </c>
      <c r="AI335" s="7">
        <v>0</v>
      </c>
      <c r="AJ335" s="7">
        <v>0</v>
      </c>
      <c r="AK335" s="8">
        <v>44115.515451388892</v>
      </c>
      <c r="AL335" s="7">
        <v>25.66</v>
      </c>
      <c r="AM335" s="7">
        <v>100</v>
      </c>
      <c r="AN335" s="7">
        <v>0</v>
      </c>
      <c r="AO335" s="7">
        <v>30.79</v>
      </c>
      <c r="AP335" s="7">
        <v>23.73</v>
      </c>
      <c r="AQ335" s="7">
        <v>0</v>
      </c>
      <c r="AR335" s="7">
        <v>4.2300000000000004</v>
      </c>
      <c r="AS335" s="4" t="s">
        <v>303</v>
      </c>
      <c r="AT335" s="7">
        <v>0</v>
      </c>
      <c r="AU335" s="4" t="s">
        <v>504</v>
      </c>
      <c r="AV335" s="4" t="s">
        <v>305</v>
      </c>
      <c r="AW335" s="4" t="s">
        <v>292</v>
      </c>
    </row>
    <row r="336" spans="1:49" s="4" customFormat="1" x14ac:dyDescent="0.25">
      <c r="A336" s="4" t="s">
        <v>11199</v>
      </c>
      <c r="B336" s="4" t="s">
        <v>293</v>
      </c>
      <c r="C336" s="4" t="s">
        <v>502</v>
      </c>
      <c r="D336" s="4" t="s">
        <v>503</v>
      </c>
      <c r="F336" s="4" t="s">
        <v>11462</v>
      </c>
      <c r="G336" s="4" t="s">
        <v>11463</v>
      </c>
      <c r="I336" s="4" t="s">
        <v>296</v>
      </c>
      <c r="J336" s="4" t="s">
        <v>297</v>
      </c>
      <c r="K336" s="4" t="s">
        <v>298</v>
      </c>
      <c r="L336" s="4" t="s">
        <v>299</v>
      </c>
      <c r="M336" s="4" t="s">
        <v>300</v>
      </c>
      <c r="N336" s="4" t="s">
        <v>11198</v>
      </c>
      <c r="O336" s="5">
        <v>449.04199999999997</v>
      </c>
      <c r="P336" s="6">
        <v>1</v>
      </c>
      <c r="Q336" s="7">
        <v>9.25</v>
      </c>
      <c r="R336" s="7">
        <v>7</v>
      </c>
      <c r="S336" s="4" t="s">
        <v>301</v>
      </c>
      <c r="T336" s="4" t="s">
        <v>302</v>
      </c>
      <c r="U336" s="5">
        <v>536.16999999999996</v>
      </c>
      <c r="V336" s="6">
        <v>0.45</v>
      </c>
      <c r="W336" s="7">
        <v>2</v>
      </c>
      <c r="X336" s="5">
        <v>207.37700000000001</v>
      </c>
      <c r="Y336" s="4" t="s">
        <v>292</v>
      </c>
      <c r="Z336" s="6">
        <v>1</v>
      </c>
      <c r="AA336" s="6">
        <v>1</v>
      </c>
      <c r="AB336" s="5">
        <v>207.37700000000001</v>
      </c>
      <c r="AC336" s="6">
        <v>1</v>
      </c>
      <c r="AD336" s="6">
        <v>1</v>
      </c>
      <c r="AE336" s="5">
        <v>207.37700000000001</v>
      </c>
      <c r="AF336" s="7">
        <v>10</v>
      </c>
      <c r="AG336" s="7">
        <v>7</v>
      </c>
      <c r="AH336" s="7">
        <v>9.25</v>
      </c>
      <c r="AI336" s="7">
        <v>0</v>
      </c>
      <c r="AJ336" s="7">
        <v>0</v>
      </c>
      <c r="AK336" s="8">
        <v>44115.520185185182</v>
      </c>
      <c r="AL336" s="7">
        <v>24.13</v>
      </c>
      <c r="AM336" s="7">
        <v>100</v>
      </c>
      <c r="AN336" s="7">
        <v>0</v>
      </c>
      <c r="AO336" s="7">
        <v>16.89</v>
      </c>
      <c r="AP336" s="7">
        <v>22.32</v>
      </c>
      <c r="AQ336" s="7">
        <v>0</v>
      </c>
      <c r="AR336" s="7">
        <v>5.31</v>
      </c>
      <c r="AS336" s="4" t="s">
        <v>303</v>
      </c>
      <c r="AT336" s="7">
        <v>0</v>
      </c>
      <c r="AU336" s="4" t="s">
        <v>504</v>
      </c>
      <c r="AV336" s="4" t="s">
        <v>305</v>
      </c>
      <c r="AW336" s="4" t="s">
        <v>292</v>
      </c>
    </row>
    <row r="337" spans="1:49" s="4" customFormat="1" x14ac:dyDescent="0.25">
      <c r="A337" s="4" t="s">
        <v>395</v>
      </c>
      <c r="B337" s="4" t="s">
        <v>293</v>
      </c>
      <c r="C337" s="4" t="s">
        <v>502</v>
      </c>
      <c r="D337" s="4" t="s">
        <v>503</v>
      </c>
      <c r="F337" s="4" t="s">
        <v>11462</v>
      </c>
      <c r="G337" s="4" t="s">
        <v>11463</v>
      </c>
      <c r="I337" s="4" t="s">
        <v>296</v>
      </c>
      <c r="J337" s="4" t="s">
        <v>297</v>
      </c>
      <c r="K337" s="4" t="s">
        <v>298</v>
      </c>
      <c r="L337" s="4" t="s">
        <v>299</v>
      </c>
      <c r="M337" s="4" t="s">
        <v>300</v>
      </c>
      <c r="N337" s="4" t="s">
        <v>447</v>
      </c>
      <c r="O337" s="5">
        <v>449.04199999999997</v>
      </c>
      <c r="P337" s="6">
        <v>1</v>
      </c>
      <c r="Q337" s="7">
        <v>9.25</v>
      </c>
      <c r="R337" s="7">
        <v>7</v>
      </c>
      <c r="S337" s="4" t="s">
        <v>301</v>
      </c>
      <c r="T337" s="4" t="s">
        <v>302</v>
      </c>
      <c r="U337" s="5">
        <v>536.16999999999996</v>
      </c>
      <c r="V337" s="6">
        <v>0.45</v>
      </c>
      <c r="W337" s="7">
        <v>4</v>
      </c>
      <c r="X337" s="5">
        <v>282.58699999999999</v>
      </c>
      <c r="Y337" s="4" t="s">
        <v>292</v>
      </c>
      <c r="Z337" s="6">
        <v>1</v>
      </c>
      <c r="AA337" s="6">
        <v>0.75264299999999995</v>
      </c>
      <c r="AB337" s="5">
        <v>282.58699999999999</v>
      </c>
      <c r="AC337" s="6">
        <v>1</v>
      </c>
      <c r="AD337" s="6">
        <v>0.75264299999999995</v>
      </c>
      <c r="AE337" s="5">
        <v>282.58699999999999</v>
      </c>
      <c r="AF337" s="7">
        <v>10</v>
      </c>
      <c r="AG337" s="7">
        <v>7</v>
      </c>
      <c r="AH337" s="7">
        <v>9.25</v>
      </c>
      <c r="AI337" s="7">
        <v>17</v>
      </c>
      <c r="AJ337" s="7">
        <v>0</v>
      </c>
      <c r="AK337" s="8">
        <v>44115.520208333335</v>
      </c>
      <c r="AL337" s="7">
        <v>24.13</v>
      </c>
      <c r="AM337" s="7">
        <v>100</v>
      </c>
      <c r="AN337" s="7">
        <v>0</v>
      </c>
      <c r="AO337" s="7">
        <v>16.89</v>
      </c>
      <c r="AP337" s="7">
        <v>22.32</v>
      </c>
      <c r="AQ337" s="7">
        <v>50.97</v>
      </c>
      <c r="AR337" s="7">
        <v>12.66</v>
      </c>
      <c r="AS337" s="4" t="s">
        <v>303</v>
      </c>
      <c r="AT337" s="7">
        <v>0</v>
      </c>
      <c r="AU337" s="4" t="s">
        <v>504</v>
      </c>
      <c r="AV337" s="4" t="s">
        <v>305</v>
      </c>
      <c r="AW337" s="4" t="s">
        <v>292</v>
      </c>
    </row>
    <row r="338" spans="1:49" s="4" customFormat="1" x14ac:dyDescent="0.25">
      <c r="A338" s="4" t="s">
        <v>11200</v>
      </c>
      <c r="B338" s="4" t="s">
        <v>293</v>
      </c>
      <c r="C338" s="4" t="s">
        <v>502</v>
      </c>
      <c r="D338" s="4" t="s">
        <v>503</v>
      </c>
      <c r="F338" s="4" t="s">
        <v>11462</v>
      </c>
      <c r="G338" s="4" t="s">
        <v>11463</v>
      </c>
      <c r="I338" s="4" t="s">
        <v>296</v>
      </c>
      <c r="J338" s="4" t="s">
        <v>297</v>
      </c>
      <c r="K338" s="4" t="s">
        <v>298</v>
      </c>
      <c r="L338" s="4" t="s">
        <v>299</v>
      </c>
      <c r="M338" s="4" t="s">
        <v>300</v>
      </c>
      <c r="N338" s="4" t="s">
        <v>11198</v>
      </c>
      <c r="O338" s="5">
        <v>449.04199999999997</v>
      </c>
      <c r="P338" s="6">
        <v>1</v>
      </c>
      <c r="Q338" s="7">
        <v>9.25</v>
      </c>
      <c r="R338" s="7">
        <v>18</v>
      </c>
      <c r="S338" s="4" t="s">
        <v>301</v>
      </c>
      <c r="T338" s="4" t="s">
        <v>302</v>
      </c>
      <c r="U338" s="5">
        <v>617.24</v>
      </c>
      <c r="V338" s="6">
        <v>0.45</v>
      </c>
      <c r="W338" s="7">
        <v>1.5</v>
      </c>
      <c r="X338" s="5">
        <v>206.648</v>
      </c>
      <c r="Y338" s="4" t="s">
        <v>292</v>
      </c>
      <c r="Z338" s="6">
        <v>1</v>
      </c>
      <c r="AA338" s="6">
        <v>1</v>
      </c>
      <c r="AB338" s="5">
        <v>206.648</v>
      </c>
      <c r="AC338" s="6">
        <v>1</v>
      </c>
      <c r="AD338" s="6">
        <v>1</v>
      </c>
      <c r="AE338" s="5">
        <v>206.648</v>
      </c>
      <c r="AF338" s="7">
        <v>10</v>
      </c>
      <c r="AG338" s="7">
        <v>18</v>
      </c>
      <c r="AH338" s="7">
        <v>9.25</v>
      </c>
      <c r="AI338" s="7">
        <v>0</v>
      </c>
      <c r="AJ338" s="7">
        <v>0</v>
      </c>
      <c r="AK338" s="8">
        <v>44115.50922453704</v>
      </c>
      <c r="AL338" s="7">
        <v>27.78</v>
      </c>
      <c r="AM338" s="7">
        <v>100</v>
      </c>
      <c r="AN338" s="7">
        <v>0</v>
      </c>
      <c r="AO338" s="7">
        <v>50</v>
      </c>
      <c r="AP338" s="7">
        <v>25.69</v>
      </c>
      <c r="AQ338" s="7">
        <v>0</v>
      </c>
      <c r="AR338" s="7">
        <v>4.58</v>
      </c>
      <c r="AS338" s="4" t="s">
        <v>303</v>
      </c>
      <c r="AT338" s="7">
        <v>0</v>
      </c>
      <c r="AU338" s="4" t="s">
        <v>504</v>
      </c>
      <c r="AV338" s="4" t="s">
        <v>305</v>
      </c>
      <c r="AW338" s="4" t="s">
        <v>292</v>
      </c>
    </row>
    <row r="339" spans="1:49" s="4" customFormat="1" x14ac:dyDescent="0.25">
      <c r="A339" s="4" t="s">
        <v>11207</v>
      </c>
      <c r="B339" s="4" t="s">
        <v>293</v>
      </c>
      <c r="C339" s="4" t="s">
        <v>502</v>
      </c>
      <c r="D339" s="4" t="s">
        <v>503</v>
      </c>
      <c r="F339" s="4" t="s">
        <v>11236</v>
      </c>
      <c r="G339" s="4" t="s">
        <v>11237</v>
      </c>
      <c r="I339" s="4" t="s">
        <v>296</v>
      </c>
      <c r="J339" s="4" t="s">
        <v>297</v>
      </c>
      <c r="K339" s="4" t="s">
        <v>298</v>
      </c>
      <c r="L339" s="4" t="s">
        <v>299</v>
      </c>
      <c r="M339" s="4" t="s">
        <v>300</v>
      </c>
      <c r="N339" s="4" t="s">
        <v>11238</v>
      </c>
      <c r="O339" s="5">
        <v>206.65</v>
      </c>
      <c r="P339" s="6">
        <v>1</v>
      </c>
      <c r="Q339" s="7">
        <v>9.25</v>
      </c>
      <c r="R339" s="7">
        <v>7</v>
      </c>
      <c r="S339" s="4" t="s">
        <v>301</v>
      </c>
      <c r="T339" s="4" t="s">
        <v>302</v>
      </c>
      <c r="U339" s="5">
        <v>246.74600000000001</v>
      </c>
      <c r="V339" s="6">
        <v>0.25</v>
      </c>
      <c r="W339" s="7">
        <v>3</v>
      </c>
      <c r="X339" s="5">
        <v>83.037000000000006</v>
      </c>
      <c r="Y339" s="4" t="s">
        <v>292</v>
      </c>
      <c r="Z339" s="6">
        <v>4</v>
      </c>
      <c r="AA339" s="6">
        <v>1</v>
      </c>
      <c r="AB339" s="5">
        <v>332.14800000000002</v>
      </c>
      <c r="AC339" s="6">
        <v>1</v>
      </c>
      <c r="AD339" s="6">
        <v>1</v>
      </c>
      <c r="AE339" s="5">
        <v>332.14800000000002</v>
      </c>
      <c r="AF339" s="5">
        <v>332.14800000000002</v>
      </c>
      <c r="AG339" s="7">
        <v>7</v>
      </c>
      <c r="AH339" s="7">
        <v>0</v>
      </c>
      <c r="AI339" s="7">
        <v>17</v>
      </c>
      <c r="AJ339" s="7">
        <v>0</v>
      </c>
      <c r="AK339" s="8">
        <v>44115.533726851849</v>
      </c>
      <c r="AL339" s="7">
        <v>6.17</v>
      </c>
      <c r="AM339" s="7">
        <v>100</v>
      </c>
      <c r="AN339" s="7">
        <v>0</v>
      </c>
      <c r="AO339" s="7">
        <v>4.32</v>
      </c>
      <c r="AP339" s="7">
        <v>0</v>
      </c>
      <c r="AQ339" s="7">
        <v>12.76</v>
      </c>
      <c r="AR339" s="7">
        <v>2.42</v>
      </c>
      <c r="AS339" s="4" t="s">
        <v>303</v>
      </c>
      <c r="AT339" s="7">
        <v>0</v>
      </c>
      <c r="AU339" s="4" t="s">
        <v>504</v>
      </c>
      <c r="AV339" s="4" t="s">
        <v>305</v>
      </c>
    </row>
    <row r="340" spans="1:49" s="4" customFormat="1" x14ac:dyDescent="0.25">
      <c r="A340" s="4" t="s">
        <v>11201</v>
      </c>
      <c r="B340" s="4" t="s">
        <v>293</v>
      </c>
      <c r="C340" s="4" t="s">
        <v>505</v>
      </c>
      <c r="D340" s="4" t="s">
        <v>506</v>
      </c>
      <c r="F340" s="4" t="s">
        <v>11462</v>
      </c>
      <c r="G340" s="4" t="s">
        <v>11463</v>
      </c>
      <c r="I340" s="4" t="s">
        <v>296</v>
      </c>
      <c r="J340" s="4" t="s">
        <v>297</v>
      </c>
      <c r="K340" s="4" t="s">
        <v>319</v>
      </c>
      <c r="L340" s="4" t="s">
        <v>299</v>
      </c>
      <c r="M340" s="4" t="s">
        <v>300</v>
      </c>
      <c r="N340" s="4" t="s">
        <v>11198</v>
      </c>
      <c r="O340" s="5">
        <v>11.84</v>
      </c>
      <c r="P340" s="6">
        <v>1</v>
      </c>
      <c r="Q340" s="7">
        <v>9.25</v>
      </c>
      <c r="R340" s="7">
        <v>12</v>
      </c>
      <c r="S340" s="4" t="s">
        <v>301</v>
      </c>
      <c r="T340" s="4" t="s">
        <v>302</v>
      </c>
      <c r="U340" s="5">
        <v>15.035</v>
      </c>
      <c r="V340" s="6">
        <v>0.45</v>
      </c>
      <c r="W340" s="7">
        <v>1.5</v>
      </c>
      <c r="X340" s="5">
        <v>5.4459999999999997</v>
      </c>
      <c r="Y340" s="4" t="s">
        <v>292</v>
      </c>
      <c r="Z340" s="6">
        <v>1</v>
      </c>
      <c r="AA340" s="6">
        <v>1</v>
      </c>
      <c r="AB340" s="5">
        <v>5.4459999999999997</v>
      </c>
      <c r="AC340" s="6">
        <v>1</v>
      </c>
      <c r="AD340" s="6">
        <v>1</v>
      </c>
      <c r="AE340" s="5">
        <v>5.4459999999999997</v>
      </c>
      <c r="AF340" s="7">
        <v>10</v>
      </c>
      <c r="AG340" s="7">
        <v>12</v>
      </c>
      <c r="AH340" s="7">
        <v>9.25</v>
      </c>
      <c r="AI340" s="7">
        <v>0</v>
      </c>
      <c r="AJ340" s="7">
        <v>0</v>
      </c>
      <c r="AK340" s="8">
        <v>44115.518078703702</v>
      </c>
      <c r="AL340" s="7">
        <v>0.68</v>
      </c>
      <c r="AM340" s="7">
        <v>100</v>
      </c>
      <c r="AN340" s="7">
        <v>0</v>
      </c>
      <c r="AO340" s="7">
        <v>0.81</v>
      </c>
      <c r="AP340" s="7">
        <v>0.62</v>
      </c>
      <c r="AQ340" s="7">
        <v>0</v>
      </c>
      <c r="AR340" s="7">
        <v>0.11</v>
      </c>
      <c r="AS340" s="4" t="s">
        <v>303</v>
      </c>
      <c r="AT340" s="7">
        <v>0</v>
      </c>
      <c r="AU340" s="4" t="s">
        <v>507</v>
      </c>
      <c r="AV340" s="4" t="s">
        <v>305</v>
      </c>
      <c r="AW340" s="4" t="s">
        <v>292</v>
      </c>
    </row>
    <row r="341" spans="1:49" s="4" customFormat="1" x14ac:dyDescent="0.25">
      <c r="A341" s="4" t="s">
        <v>11199</v>
      </c>
      <c r="B341" s="4" t="s">
        <v>293</v>
      </c>
      <c r="C341" s="4" t="s">
        <v>505</v>
      </c>
      <c r="D341" s="4" t="s">
        <v>506</v>
      </c>
      <c r="F341" s="4" t="s">
        <v>11462</v>
      </c>
      <c r="G341" s="4" t="s">
        <v>11463</v>
      </c>
      <c r="I341" s="4" t="s">
        <v>296</v>
      </c>
      <c r="J341" s="4" t="s">
        <v>297</v>
      </c>
      <c r="K341" s="4" t="s">
        <v>319</v>
      </c>
      <c r="L341" s="4" t="s">
        <v>299</v>
      </c>
      <c r="M341" s="4" t="s">
        <v>300</v>
      </c>
      <c r="N341" s="4" t="s">
        <v>11198</v>
      </c>
      <c r="O341" s="5">
        <v>11.843999999999999</v>
      </c>
      <c r="P341" s="6">
        <v>1</v>
      </c>
      <c r="Q341" s="7">
        <v>9.25</v>
      </c>
      <c r="R341" s="7">
        <v>7</v>
      </c>
      <c r="S341" s="4" t="s">
        <v>301</v>
      </c>
      <c r="T341" s="4" t="s">
        <v>302</v>
      </c>
      <c r="U341" s="5">
        <v>14.141999999999999</v>
      </c>
      <c r="V341" s="6">
        <v>0.45</v>
      </c>
      <c r="W341" s="7">
        <v>2</v>
      </c>
      <c r="X341" s="5">
        <v>5.484</v>
      </c>
      <c r="Y341" s="4" t="s">
        <v>292</v>
      </c>
      <c r="Z341" s="6">
        <v>1</v>
      </c>
      <c r="AA341" s="6">
        <v>1</v>
      </c>
      <c r="AB341" s="5">
        <v>5.484</v>
      </c>
      <c r="AC341" s="6">
        <v>1</v>
      </c>
      <c r="AD341" s="6">
        <v>1</v>
      </c>
      <c r="AE341" s="5">
        <v>5.484</v>
      </c>
      <c r="AF341" s="7">
        <v>10</v>
      </c>
      <c r="AG341" s="7">
        <v>7</v>
      </c>
      <c r="AH341" s="7">
        <v>9.25</v>
      </c>
      <c r="AI341" s="7">
        <v>0</v>
      </c>
      <c r="AJ341" s="7">
        <v>0</v>
      </c>
      <c r="AK341" s="8">
        <v>44115.524826388886</v>
      </c>
      <c r="AL341" s="7">
        <v>0.64</v>
      </c>
      <c r="AM341" s="7">
        <v>100</v>
      </c>
      <c r="AN341" s="7">
        <v>0</v>
      </c>
      <c r="AO341" s="7">
        <v>0.44</v>
      </c>
      <c r="AP341" s="7">
        <v>0.57999999999999996</v>
      </c>
      <c r="AQ341" s="7">
        <v>0</v>
      </c>
      <c r="AR341" s="7">
        <v>0.14000000000000001</v>
      </c>
      <c r="AS341" s="4" t="s">
        <v>303</v>
      </c>
      <c r="AT341" s="7">
        <v>0</v>
      </c>
      <c r="AU341" s="4" t="s">
        <v>507</v>
      </c>
      <c r="AV341" s="4" t="s">
        <v>305</v>
      </c>
      <c r="AW341" s="4" t="s">
        <v>292</v>
      </c>
    </row>
    <row r="342" spans="1:49" s="4" customFormat="1" x14ac:dyDescent="0.25">
      <c r="A342" s="4" t="s">
        <v>395</v>
      </c>
      <c r="B342" s="4" t="s">
        <v>293</v>
      </c>
      <c r="C342" s="4" t="s">
        <v>505</v>
      </c>
      <c r="D342" s="4" t="s">
        <v>506</v>
      </c>
      <c r="F342" s="4" t="s">
        <v>11462</v>
      </c>
      <c r="G342" s="4" t="s">
        <v>11463</v>
      </c>
      <c r="I342" s="4" t="s">
        <v>296</v>
      </c>
      <c r="J342" s="4" t="s">
        <v>297</v>
      </c>
      <c r="K342" s="4" t="s">
        <v>319</v>
      </c>
      <c r="L342" s="4" t="s">
        <v>299</v>
      </c>
      <c r="M342" s="4" t="s">
        <v>300</v>
      </c>
      <c r="N342" s="4" t="s">
        <v>447</v>
      </c>
      <c r="O342" s="5">
        <v>11.843999999999999</v>
      </c>
      <c r="P342" s="6">
        <v>1</v>
      </c>
      <c r="Q342" s="7">
        <v>9.25</v>
      </c>
      <c r="R342" s="7">
        <v>7</v>
      </c>
      <c r="S342" s="4" t="s">
        <v>301</v>
      </c>
      <c r="T342" s="4" t="s">
        <v>302</v>
      </c>
      <c r="U342" s="5">
        <v>14.141999999999999</v>
      </c>
      <c r="V342" s="6">
        <v>0.45</v>
      </c>
      <c r="W342" s="7">
        <v>4</v>
      </c>
      <c r="X342" s="5">
        <v>7.4539999999999997</v>
      </c>
      <c r="Y342" s="4" t="s">
        <v>292</v>
      </c>
      <c r="Z342" s="6">
        <v>1</v>
      </c>
      <c r="AA342" s="6">
        <v>0.754494</v>
      </c>
      <c r="AB342" s="5">
        <v>7.4539999999999997</v>
      </c>
      <c r="AC342" s="6">
        <v>1</v>
      </c>
      <c r="AD342" s="6">
        <v>0.754494</v>
      </c>
      <c r="AE342" s="5">
        <v>7.4539999999999997</v>
      </c>
      <c r="AF342" s="7">
        <v>10</v>
      </c>
      <c r="AG342" s="7">
        <v>7</v>
      </c>
      <c r="AH342" s="7">
        <v>9.25</v>
      </c>
      <c r="AI342" s="7">
        <v>17</v>
      </c>
      <c r="AJ342" s="7">
        <v>0</v>
      </c>
      <c r="AK342" s="8">
        <v>44115.524826388886</v>
      </c>
      <c r="AL342" s="7">
        <v>0.64</v>
      </c>
      <c r="AM342" s="7">
        <v>100</v>
      </c>
      <c r="AN342" s="7">
        <v>0</v>
      </c>
      <c r="AO342" s="7">
        <v>0.44</v>
      </c>
      <c r="AP342" s="7">
        <v>0.57999999999999996</v>
      </c>
      <c r="AQ342" s="7">
        <v>1.34</v>
      </c>
      <c r="AR342" s="7">
        <v>0.33</v>
      </c>
      <c r="AS342" s="4" t="s">
        <v>303</v>
      </c>
      <c r="AT342" s="7">
        <v>0</v>
      </c>
      <c r="AU342" s="4" t="s">
        <v>507</v>
      </c>
      <c r="AV342" s="4" t="s">
        <v>305</v>
      </c>
      <c r="AW342" s="4" t="s">
        <v>292</v>
      </c>
    </row>
    <row r="343" spans="1:49" s="4" customFormat="1" x14ac:dyDescent="0.25">
      <c r="A343" s="4" t="s">
        <v>11200</v>
      </c>
      <c r="B343" s="4" t="s">
        <v>293</v>
      </c>
      <c r="C343" s="4" t="s">
        <v>505</v>
      </c>
      <c r="D343" s="4" t="s">
        <v>506</v>
      </c>
      <c r="F343" s="4" t="s">
        <v>11462</v>
      </c>
      <c r="G343" s="4" t="s">
        <v>11463</v>
      </c>
      <c r="I343" s="4" t="s">
        <v>296</v>
      </c>
      <c r="J343" s="4" t="s">
        <v>297</v>
      </c>
      <c r="K343" s="4" t="s">
        <v>319</v>
      </c>
      <c r="L343" s="4" t="s">
        <v>299</v>
      </c>
      <c r="M343" s="4" t="s">
        <v>300</v>
      </c>
      <c r="N343" s="4" t="s">
        <v>11198</v>
      </c>
      <c r="O343" s="5">
        <v>11.843999999999999</v>
      </c>
      <c r="P343" s="6">
        <v>1</v>
      </c>
      <c r="Q343" s="7">
        <v>9.25</v>
      </c>
      <c r="R343" s="7">
        <v>18</v>
      </c>
      <c r="S343" s="4" t="s">
        <v>301</v>
      </c>
      <c r="T343" s="4" t="s">
        <v>302</v>
      </c>
      <c r="U343" s="5">
        <v>16.28</v>
      </c>
      <c r="V343" s="6">
        <v>0.45</v>
      </c>
      <c r="W343" s="7">
        <v>1.5</v>
      </c>
      <c r="X343" s="5">
        <v>5.4459999999999997</v>
      </c>
      <c r="Y343" s="4" t="s">
        <v>292</v>
      </c>
      <c r="Z343" s="6">
        <v>1</v>
      </c>
      <c r="AA343" s="6">
        <v>1</v>
      </c>
      <c r="AB343" s="5">
        <v>5.4459999999999997</v>
      </c>
      <c r="AC343" s="6">
        <v>1</v>
      </c>
      <c r="AD343" s="6">
        <v>1</v>
      </c>
      <c r="AE343" s="5">
        <v>5.4459999999999997</v>
      </c>
      <c r="AF343" s="7">
        <v>10</v>
      </c>
      <c r="AG343" s="7">
        <v>18</v>
      </c>
      <c r="AH343" s="7">
        <v>9.25</v>
      </c>
      <c r="AI343" s="7">
        <v>0</v>
      </c>
      <c r="AJ343" s="7">
        <v>0</v>
      </c>
      <c r="AK343" s="8">
        <v>44115.511655092596</v>
      </c>
      <c r="AL343" s="7">
        <v>0.73</v>
      </c>
      <c r="AM343" s="7">
        <v>100</v>
      </c>
      <c r="AN343" s="7">
        <v>0</v>
      </c>
      <c r="AO343" s="7">
        <v>1.32</v>
      </c>
      <c r="AP343" s="7">
        <v>0.68</v>
      </c>
      <c r="AQ343" s="7">
        <v>0</v>
      </c>
      <c r="AR343" s="7">
        <v>0.12</v>
      </c>
      <c r="AS343" s="4" t="s">
        <v>303</v>
      </c>
      <c r="AT343" s="7">
        <v>0</v>
      </c>
      <c r="AU343" s="4" t="s">
        <v>507</v>
      </c>
      <c r="AV343" s="4" t="s">
        <v>305</v>
      </c>
      <c r="AW343" s="4" t="s">
        <v>292</v>
      </c>
    </row>
    <row r="344" spans="1:49" s="4" customFormat="1" x14ac:dyDescent="0.25">
      <c r="A344" s="4" t="s">
        <v>11207</v>
      </c>
      <c r="B344" s="4" t="s">
        <v>293</v>
      </c>
      <c r="C344" s="4" t="s">
        <v>505</v>
      </c>
      <c r="D344" s="4" t="s">
        <v>506</v>
      </c>
      <c r="F344" s="4" t="s">
        <v>11236</v>
      </c>
      <c r="G344" s="4" t="s">
        <v>11237</v>
      </c>
      <c r="I344" s="4" t="s">
        <v>296</v>
      </c>
      <c r="J344" s="4" t="s">
        <v>297</v>
      </c>
      <c r="K344" s="4" t="s">
        <v>319</v>
      </c>
      <c r="L344" s="4" t="s">
        <v>299</v>
      </c>
      <c r="M344" s="4" t="s">
        <v>300</v>
      </c>
      <c r="N344" s="4" t="s">
        <v>11238</v>
      </c>
      <c r="O344" s="5">
        <v>5.45</v>
      </c>
      <c r="P344" s="6">
        <v>1</v>
      </c>
      <c r="Q344" s="7">
        <v>9.25</v>
      </c>
      <c r="R344" s="7">
        <v>7</v>
      </c>
      <c r="S344" s="4" t="s">
        <v>301</v>
      </c>
      <c r="T344" s="4" t="s">
        <v>302</v>
      </c>
      <c r="U344" s="5">
        <v>6.5069999999999997</v>
      </c>
      <c r="V344" s="6">
        <v>0.25</v>
      </c>
      <c r="W344" s="7">
        <v>3</v>
      </c>
      <c r="X344" s="5">
        <v>2.1869999999999998</v>
      </c>
      <c r="Y344" s="4" t="s">
        <v>292</v>
      </c>
      <c r="Z344" s="6">
        <v>4</v>
      </c>
      <c r="AA344" s="6">
        <v>1</v>
      </c>
      <c r="AB344" s="5">
        <v>8.7479999999999993</v>
      </c>
      <c r="AC344" s="6">
        <v>1</v>
      </c>
      <c r="AD344" s="6">
        <v>1</v>
      </c>
      <c r="AE344" s="5">
        <v>8.7479999999999993</v>
      </c>
      <c r="AF344" s="5">
        <v>8.7479999999999993</v>
      </c>
      <c r="AG344" s="7">
        <v>7</v>
      </c>
      <c r="AH344" s="7">
        <v>0</v>
      </c>
      <c r="AI344" s="7">
        <v>17</v>
      </c>
      <c r="AJ344" s="7">
        <v>0</v>
      </c>
      <c r="AK344" s="8">
        <v>44115.536990740744</v>
      </c>
      <c r="AL344" s="7">
        <v>0.16</v>
      </c>
      <c r="AM344" s="7">
        <v>100</v>
      </c>
      <c r="AN344" s="7">
        <v>0</v>
      </c>
      <c r="AO344" s="7">
        <v>0.11</v>
      </c>
      <c r="AP344" s="7">
        <v>0</v>
      </c>
      <c r="AQ344" s="7">
        <v>0.34</v>
      </c>
      <c r="AR344" s="7">
        <v>0.06</v>
      </c>
      <c r="AS344" s="4" t="s">
        <v>303</v>
      </c>
      <c r="AT344" s="7">
        <v>0</v>
      </c>
      <c r="AU344" s="4" t="s">
        <v>507</v>
      </c>
      <c r="AV344" s="4" t="s">
        <v>305</v>
      </c>
    </row>
    <row r="345" spans="1:49" s="4" customFormat="1" x14ac:dyDescent="0.25">
      <c r="A345" s="4" t="s">
        <v>11201</v>
      </c>
      <c r="B345" s="4" t="s">
        <v>293</v>
      </c>
      <c r="C345" s="4" t="s">
        <v>508</v>
      </c>
      <c r="D345" s="4" t="s">
        <v>509</v>
      </c>
      <c r="F345" s="4" t="s">
        <v>11462</v>
      </c>
      <c r="G345" s="4" t="s">
        <v>11463</v>
      </c>
      <c r="I345" s="4" t="s">
        <v>296</v>
      </c>
      <c r="J345" s="4" t="s">
        <v>297</v>
      </c>
      <c r="K345" s="4" t="s">
        <v>298</v>
      </c>
      <c r="L345" s="4" t="s">
        <v>299</v>
      </c>
      <c r="M345" s="4" t="s">
        <v>300</v>
      </c>
      <c r="N345" s="4" t="s">
        <v>11198</v>
      </c>
      <c r="O345" s="5">
        <v>107.89700000000001</v>
      </c>
      <c r="P345" s="6">
        <v>1</v>
      </c>
      <c r="Q345" s="7">
        <v>9.25</v>
      </c>
      <c r="R345" s="7">
        <v>12</v>
      </c>
      <c r="S345" s="4" t="s">
        <v>301</v>
      </c>
      <c r="T345" s="4" t="s">
        <v>302</v>
      </c>
      <c r="U345" s="5">
        <v>137.012</v>
      </c>
      <c r="V345" s="6">
        <v>0.45</v>
      </c>
      <c r="W345" s="7">
        <v>1.5</v>
      </c>
      <c r="X345" s="5">
        <v>49.564999999999998</v>
      </c>
      <c r="Y345" s="4" t="s">
        <v>292</v>
      </c>
      <c r="Z345" s="6">
        <v>1</v>
      </c>
      <c r="AA345" s="6">
        <v>1</v>
      </c>
      <c r="AB345" s="5">
        <v>49.564999999999998</v>
      </c>
      <c r="AC345" s="6">
        <v>1</v>
      </c>
      <c r="AD345" s="6">
        <v>1</v>
      </c>
      <c r="AE345" s="5">
        <v>49.564999999999998</v>
      </c>
      <c r="AF345" s="7">
        <v>10</v>
      </c>
      <c r="AG345" s="7">
        <v>12</v>
      </c>
      <c r="AH345" s="7">
        <v>9.25</v>
      </c>
      <c r="AI345" s="7">
        <v>0</v>
      </c>
      <c r="AJ345" s="7">
        <v>0</v>
      </c>
      <c r="AK345" s="8">
        <v>44115.518078703702</v>
      </c>
      <c r="AL345" s="7">
        <v>6.17</v>
      </c>
      <c r="AM345" s="7">
        <v>100</v>
      </c>
      <c r="AN345" s="7">
        <v>0</v>
      </c>
      <c r="AO345" s="7">
        <v>7.4</v>
      </c>
      <c r="AP345" s="7">
        <v>5.71</v>
      </c>
      <c r="AQ345" s="7">
        <v>0</v>
      </c>
      <c r="AR345" s="7">
        <v>1.02</v>
      </c>
      <c r="AS345" s="4" t="s">
        <v>303</v>
      </c>
      <c r="AT345" s="7">
        <v>0</v>
      </c>
      <c r="AU345" s="4" t="s">
        <v>510</v>
      </c>
      <c r="AV345" s="4" t="s">
        <v>305</v>
      </c>
      <c r="AW345" s="4" t="s">
        <v>292</v>
      </c>
    </row>
    <row r="346" spans="1:49" s="4" customFormat="1" x14ac:dyDescent="0.25">
      <c r="A346" s="4" t="s">
        <v>11199</v>
      </c>
      <c r="B346" s="4" t="s">
        <v>293</v>
      </c>
      <c r="C346" s="4" t="s">
        <v>508</v>
      </c>
      <c r="D346" s="4" t="s">
        <v>509</v>
      </c>
      <c r="F346" s="4" t="s">
        <v>11462</v>
      </c>
      <c r="G346" s="4" t="s">
        <v>11463</v>
      </c>
      <c r="I346" s="4" t="s">
        <v>296</v>
      </c>
      <c r="J346" s="4" t="s">
        <v>297</v>
      </c>
      <c r="K346" s="4" t="s">
        <v>298</v>
      </c>
      <c r="L346" s="4" t="s">
        <v>299</v>
      </c>
      <c r="M346" s="4" t="s">
        <v>300</v>
      </c>
      <c r="N346" s="4" t="s">
        <v>11198</v>
      </c>
      <c r="O346" s="5">
        <v>107.896</v>
      </c>
      <c r="P346" s="6">
        <v>1</v>
      </c>
      <c r="Q346" s="7">
        <v>9.25</v>
      </c>
      <c r="R346" s="7">
        <v>7</v>
      </c>
      <c r="S346" s="4" t="s">
        <v>301</v>
      </c>
      <c r="T346" s="4" t="s">
        <v>302</v>
      </c>
      <c r="U346" s="5">
        <v>128.83099999999999</v>
      </c>
      <c r="V346" s="6">
        <v>0.45</v>
      </c>
      <c r="W346" s="7">
        <v>2</v>
      </c>
      <c r="X346" s="5">
        <v>49.823999999999998</v>
      </c>
      <c r="Y346" s="4" t="s">
        <v>292</v>
      </c>
      <c r="Z346" s="6">
        <v>1</v>
      </c>
      <c r="AA346" s="6">
        <v>1</v>
      </c>
      <c r="AB346" s="5">
        <v>49.823999999999998</v>
      </c>
      <c r="AC346" s="6">
        <v>1</v>
      </c>
      <c r="AD346" s="6">
        <v>1</v>
      </c>
      <c r="AE346" s="5">
        <v>49.823999999999998</v>
      </c>
      <c r="AF346" s="7">
        <v>10</v>
      </c>
      <c r="AG346" s="7">
        <v>7</v>
      </c>
      <c r="AH346" s="7">
        <v>9.25</v>
      </c>
      <c r="AI346" s="7">
        <v>0</v>
      </c>
      <c r="AJ346" s="7">
        <v>0</v>
      </c>
      <c r="AK346" s="8">
        <v>44115.52484953704</v>
      </c>
      <c r="AL346" s="7">
        <v>5.8</v>
      </c>
      <c r="AM346" s="7">
        <v>100</v>
      </c>
      <c r="AN346" s="7">
        <v>0</v>
      </c>
      <c r="AO346" s="7">
        <v>4.0599999999999996</v>
      </c>
      <c r="AP346" s="7">
        <v>5.37</v>
      </c>
      <c r="AQ346" s="7">
        <v>0</v>
      </c>
      <c r="AR346" s="7">
        <v>1.28</v>
      </c>
      <c r="AS346" s="4" t="s">
        <v>303</v>
      </c>
      <c r="AT346" s="7">
        <v>0</v>
      </c>
      <c r="AU346" s="4" t="s">
        <v>510</v>
      </c>
      <c r="AV346" s="4" t="s">
        <v>305</v>
      </c>
      <c r="AW346" s="4" t="s">
        <v>292</v>
      </c>
    </row>
    <row r="347" spans="1:49" s="4" customFormat="1" x14ac:dyDescent="0.25">
      <c r="A347" s="4" t="s">
        <v>395</v>
      </c>
      <c r="B347" s="4" t="s">
        <v>293</v>
      </c>
      <c r="C347" s="4" t="s">
        <v>508</v>
      </c>
      <c r="D347" s="4" t="s">
        <v>509</v>
      </c>
      <c r="F347" s="4" t="s">
        <v>11462</v>
      </c>
      <c r="G347" s="4" t="s">
        <v>11463</v>
      </c>
      <c r="I347" s="4" t="s">
        <v>296</v>
      </c>
      <c r="J347" s="4" t="s">
        <v>297</v>
      </c>
      <c r="K347" s="4" t="s">
        <v>298</v>
      </c>
      <c r="L347" s="4" t="s">
        <v>299</v>
      </c>
      <c r="M347" s="4" t="s">
        <v>300</v>
      </c>
      <c r="N347" s="4" t="s">
        <v>447</v>
      </c>
      <c r="O347" s="5">
        <v>107.896</v>
      </c>
      <c r="P347" s="6">
        <v>1</v>
      </c>
      <c r="Q347" s="7">
        <v>9.25</v>
      </c>
      <c r="R347" s="7">
        <v>7</v>
      </c>
      <c r="S347" s="4" t="s">
        <v>301</v>
      </c>
      <c r="T347" s="4" t="s">
        <v>302</v>
      </c>
      <c r="U347" s="5">
        <v>128.83099999999999</v>
      </c>
      <c r="V347" s="6">
        <v>0.45</v>
      </c>
      <c r="W347" s="7">
        <v>4</v>
      </c>
      <c r="X347" s="5">
        <v>67.884</v>
      </c>
      <c r="Y347" s="4" t="s">
        <v>292</v>
      </c>
      <c r="Z347" s="6">
        <v>1</v>
      </c>
      <c r="AA347" s="6">
        <v>0.75266599999999995</v>
      </c>
      <c r="AB347" s="5">
        <v>67.884</v>
      </c>
      <c r="AC347" s="6">
        <v>1</v>
      </c>
      <c r="AD347" s="6">
        <v>0.75266599999999995</v>
      </c>
      <c r="AE347" s="5">
        <v>67.884</v>
      </c>
      <c r="AF347" s="7">
        <v>10</v>
      </c>
      <c r="AG347" s="7">
        <v>7</v>
      </c>
      <c r="AH347" s="7">
        <v>9.25</v>
      </c>
      <c r="AI347" s="7">
        <v>17</v>
      </c>
      <c r="AJ347" s="7">
        <v>0</v>
      </c>
      <c r="AK347" s="8">
        <v>44115.52484953704</v>
      </c>
      <c r="AL347" s="7">
        <v>5.8</v>
      </c>
      <c r="AM347" s="7">
        <v>100</v>
      </c>
      <c r="AN347" s="7">
        <v>0</v>
      </c>
      <c r="AO347" s="7">
        <v>4.0599999999999996</v>
      </c>
      <c r="AP347" s="7">
        <v>5.37</v>
      </c>
      <c r="AQ347" s="7">
        <v>12.24</v>
      </c>
      <c r="AR347" s="7">
        <v>3.04</v>
      </c>
      <c r="AS347" s="4" t="s">
        <v>303</v>
      </c>
      <c r="AT347" s="7">
        <v>0</v>
      </c>
      <c r="AU347" s="4" t="s">
        <v>510</v>
      </c>
      <c r="AV347" s="4" t="s">
        <v>305</v>
      </c>
      <c r="AW347" s="4" t="s">
        <v>292</v>
      </c>
    </row>
    <row r="348" spans="1:49" s="4" customFormat="1" x14ac:dyDescent="0.25">
      <c r="A348" s="4" t="s">
        <v>11200</v>
      </c>
      <c r="B348" s="4" t="s">
        <v>293</v>
      </c>
      <c r="C348" s="4" t="s">
        <v>508</v>
      </c>
      <c r="D348" s="4" t="s">
        <v>509</v>
      </c>
      <c r="F348" s="4" t="s">
        <v>11462</v>
      </c>
      <c r="G348" s="4" t="s">
        <v>11463</v>
      </c>
      <c r="I348" s="4" t="s">
        <v>296</v>
      </c>
      <c r="J348" s="4" t="s">
        <v>297</v>
      </c>
      <c r="K348" s="4" t="s">
        <v>298</v>
      </c>
      <c r="L348" s="4" t="s">
        <v>299</v>
      </c>
      <c r="M348" s="4" t="s">
        <v>300</v>
      </c>
      <c r="N348" s="4" t="s">
        <v>11198</v>
      </c>
      <c r="O348" s="5">
        <v>107.896</v>
      </c>
      <c r="P348" s="6">
        <v>1</v>
      </c>
      <c r="Q348" s="7">
        <v>9.25</v>
      </c>
      <c r="R348" s="7">
        <v>18</v>
      </c>
      <c r="S348" s="4" t="s">
        <v>301</v>
      </c>
      <c r="T348" s="4" t="s">
        <v>302</v>
      </c>
      <c r="U348" s="5">
        <v>148.31100000000001</v>
      </c>
      <c r="V348" s="6">
        <v>0.45</v>
      </c>
      <c r="W348" s="7">
        <v>1.5</v>
      </c>
      <c r="X348" s="5">
        <v>49.66</v>
      </c>
      <c r="Y348" s="4" t="s">
        <v>292</v>
      </c>
      <c r="Z348" s="6">
        <v>1</v>
      </c>
      <c r="AA348" s="6">
        <v>1</v>
      </c>
      <c r="AB348" s="5">
        <v>49.66</v>
      </c>
      <c r="AC348" s="6">
        <v>1</v>
      </c>
      <c r="AD348" s="6">
        <v>1</v>
      </c>
      <c r="AE348" s="5">
        <v>49.66</v>
      </c>
      <c r="AF348" s="7">
        <v>10</v>
      </c>
      <c r="AG348" s="7">
        <v>18</v>
      </c>
      <c r="AH348" s="7">
        <v>9.25</v>
      </c>
      <c r="AI348" s="7">
        <v>0</v>
      </c>
      <c r="AJ348" s="7">
        <v>0</v>
      </c>
      <c r="AK348" s="8">
        <v>44115.511689814812</v>
      </c>
      <c r="AL348" s="7">
        <v>6.67</v>
      </c>
      <c r="AM348" s="7">
        <v>100</v>
      </c>
      <c r="AN348" s="7">
        <v>0</v>
      </c>
      <c r="AO348" s="7">
        <v>12.01</v>
      </c>
      <c r="AP348" s="7">
        <v>6.17</v>
      </c>
      <c r="AQ348" s="7">
        <v>0</v>
      </c>
      <c r="AR348" s="7">
        <v>1.1000000000000001</v>
      </c>
      <c r="AS348" s="4" t="s">
        <v>303</v>
      </c>
      <c r="AT348" s="7">
        <v>0</v>
      </c>
      <c r="AU348" s="4" t="s">
        <v>510</v>
      </c>
      <c r="AV348" s="4" t="s">
        <v>305</v>
      </c>
      <c r="AW348" s="4" t="s">
        <v>292</v>
      </c>
    </row>
    <row r="349" spans="1:49" s="4" customFormat="1" x14ac:dyDescent="0.25">
      <c r="A349" s="4" t="s">
        <v>11207</v>
      </c>
      <c r="B349" s="4" t="s">
        <v>293</v>
      </c>
      <c r="C349" s="4" t="s">
        <v>508</v>
      </c>
      <c r="D349" s="4" t="s">
        <v>509</v>
      </c>
      <c r="F349" s="4" t="s">
        <v>11236</v>
      </c>
      <c r="G349" s="4" t="s">
        <v>11237</v>
      </c>
      <c r="I349" s="4" t="s">
        <v>296</v>
      </c>
      <c r="J349" s="4" t="s">
        <v>297</v>
      </c>
      <c r="K349" s="4" t="s">
        <v>298</v>
      </c>
      <c r="L349" s="4" t="s">
        <v>299</v>
      </c>
      <c r="M349" s="4" t="s">
        <v>300</v>
      </c>
      <c r="N349" s="4" t="s">
        <v>11238</v>
      </c>
      <c r="O349" s="5">
        <v>49.66</v>
      </c>
      <c r="P349" s="6">
        <v>1</v>
      </c>
      <c r="Q349" s="7">
        <v>9.25</v>
      </c>
      <c r="R349" s="7">
        <v>7</v>
      </c>
      <c r="S349" s="4" t="s">
        <v>301</v>
      </c>
      <c r="T349" s="4" t="s">
        <v>302</v>
      </c>
      <c r="U349" s="5">
        <v>59.295999999999999</v>
      </c>
      <c r="V349" s="6">
        <v>0.25</v>
      </c>
      <c r="W349" s="7">
        <v>3</v>
      </c>
      <c r="X349" s="5">
        <v>19.943999999999999</v>
      </c>
      <c r="Y349" s="4" t="s">
        <v>292</v>
      </c>
      <c r="Z349" s="6">
        <v>4</v>
      </c>
      <c r="AA349" s="6">
        <v>1</v>
      </c>
      <c r="AB349" s="5">
        <v>79.775999999999996</v>
      </c>
      <c r="AC349" s="6">
        <v>1</v>
      </c>
      <c r="AD349" s="6">
        <v>1</v>
      </c>
      <c r="AE349" s="5">
        <v>79.775999999999996</v>
      </c>
      <c r="AF349" s="5">
        <v>79.775999999999996</v>
      </c>
      <c r="AG349" s="7">
        <v>7</v>
      </c>
      <c r="AH349" s="7">
        <v>0</v>
      </c>
      <c r="AI349" s="7">
        <v>17</v>
      </c>
      <c r="AJ349" s="7">
        <v>0</v>
      </c>
      <c r="AK349" s="8">
        <v>44115.536990740744</v>
      </c>
      <c r="AL349" s="7">
        <v>1.48</v>
      </c>
      <c r="AM349" s="7">
        <v>100</v>
      </c>
      <c r="AN349" s="7">
        <v>0</v>
      </c>
      <c r="AO349" s="7">
        <v>1.04</v>
      </c>
      <c r="AP349" s="7">
        <v>0</v>
      </c>
      <c r="AQ349" s="7">
        <v>3.06</v>
      </c>
      <c r="AR349" s="7">
        <v>0.57999999999999996</v>
      </c>
      <c r="AS349" s="4" t="s">
        <v>303</v>
      </c>
      <c r="AT349" s="7">
        <v>0</v>
      </c>
      <c r="AU349" s="4" t="s">
        <v>510</v>
      </c>
      <c r="AV349" s="4" t="s">
        <v>305</v>
      </c>
    </row>
    <row r="350" spans="1:49" s="4" customFormat="1" x14ac:dyDescent="0.25">
      <c r="A350" s="4" t="s">
        <v>11201</v>
      </c>
      <c r="B350" s="4" t="s">
        <v>293</v>
      </c>
      <c r="C350" s="4" t="s">
        <v>511</v>
      </c>
      <c r="D350" s="4" t="s">
        <v>512</v>
      </c>
      <c r="F350" s="4" t="s">
        <v>11462</v>
      </c>
      <c r="G350" s="4" t="s">
        <v>11463</v>
      </c>
      <c r="I350" s="4" t="s">
        <v>296</v>
      </c>
      <c r="J350" s="4" t="s">
        <v>297</v>
      </c>
      <c r="K350" s="4" t="s">
        <v>298</v>
      </c>
      <c r="L350" s="4" t="s">
        <v>299</v>
      </c>
      <c r="M350" s="4" t="s">
        <v>300</v>
      </c>
      <c r="N350" s="4" t="s">
        <v>11198</v>
      </c>
      <c r="O350" s="5">
        <v>234.952</v>
      </c>
      <c r="P350" s="6">
        <v>1</v>
      </c>
      <c r="Q350" s="7">
        <v>9.25</v>
      </c>
      <c r="R350" s="7">
        <v>12</v>
      </c>
      <c r="S350" s="4" t="s">
        <v>301</v>
      </c>
      <c r="T350" s="4" t="s">
        <v>302</v>
      </c>
      <c r="U350" s="5">
        <v>298.35199999999998</v>
      </c>
      <c r="V350" s="6">
        <v>0.45</v>
      </c>
      <c r="W350" s="7">
        <v>1.5</v>
      </c>
      <c r="X350" s="5">
        <v>107.94799999999999</v>
      </c>
      <c r="Y350" s="4" t="s">
        <v>292</v>
      </c>
      <c r="Z350" s="6">
        <v>1</v>
      </c>
      <c r="AA350" s="6">
        <v>1</v>
      </c>
      <c r="AB350" s="5">
        <v>107.94799999999999</v>
      </c>
      <c r="AC350" s="6">
        <v>1</v>
      </c>
      <c r="AD350" s="6">
        <v>1</v>
      </c>
      <c r="AE350" s="5">
        <v>107.94799999999999</v>
      </c>
      <c r="AF350" s="7">
        <v>10</v>
      </c>
      <c r="AG350" s="7">
        <v>12</v>
      </c>
      <c r="AH350" s="7">
        <v>9.25</v>
      </c>
      <c r="AI350" s="7">
        <v>0</v>
      </c>
      <c r="AJ350" s="7">
        <v>0</v>
      </c>
      <c r="AK350" s="8">
        <v>44115.518101851849</v>
      </c>
      <c r="AL350" s="7">
        <v>13.43</v>
      </c>
      <c r="AM350" s="7">
        <v>100</v>
      </c>
      <c r="AN350" s="7">
        <v>0</v>
      </c>
      <c r="AO350" s="7">
        <v>16.11</v>
      </c>
      <c r="AP350" s="7">
        <v>12.42</v>
      </c>
      <c r="AQ350" s="7">
        <v>0</v>
      </c>
      <c r="AR350" s="7">
        <v>2.2200000000000002</v>
      </c>
      <c r="AS350" s="4" t="s">
        <v>303</v>
      </c>
      <c r="AT350" s="7">
        <v>0</v>
      </c>
      <c r="AU350" s="4" t="s">
        <v>513</v>
      </c>
      <c r="AV350" s="4" t="s">
        <v>305</v>
      </c>
      <c r="AW350" s="4" t="s">
        <v>292</v>
      </c>
    </row>
    <row r="351" spans="1:49" s="4" customFormat="1" x14ac:dyDescent="0.25">
      <c r="A351" s="4" t="s">
        <v>11199</v>
      </c>
      <c r="B351" s="4" t="s">
        <v>293</v>
      </c>
      <c r="C351" s="4" t="s">
        <v>511</v>
      </c>
      <c r="D351" s="4" t="s">
        <v>512</v>
      </c>
      <c r="F351" s="4" t="s">
        <v>11462</v>
      </c>
      <c r="G351" s="4" t="s">
        <v>11463</v>
      </c>
      <c r="I351" s="4" t="s">
        <v>296</v>
      </c>
      <c r="J351" s="4" t="s">
        <v>297</v>
      </c>
      <c r="K351" s="4" t="s">
        <v>298</v>
      </c>
      <c r="L351" s="4" t="s">
        <v>299</v>
      </c>
      <c r="M351" s="4" t="s">
        <v>300</v>
      </c>
      <c r="N351" s="4" t="s">
        <v>11198</v>
      </c>
      <c r="O351" s="5">
        <v>234.953</v>
      </c>
      <c r="P351" s="6">
        <v>1</v>
      </c>
      <c r="Q351" s="7">
        <v>9.25</v>
      </c>
      <c r="R351" s="7">
        <v>7</v>
      </c>
      <c r="S351" s="4" t="s">
        <v>301</v>
      </c>
      <c r="T351" s="4" t="s">
        <v>302</v>
      </c>
      <c r="U351" s="5">
        <v>280.541</v>
      </c>
      <c r="V351" s="6">
        <v>0.45</v>
      </c>
      <c r="W351" s="7">
        <v>2</v>
      </c>
      <c r="X351" s="5">
        <v>108.51300000000001</v>
      </c>
      <c r="Y351" s="4" t="s">
        <v>292</v>
      </c>
      <c r="Z351" s="6">
        <v>1</v>
      </c>
      <c r="AA351" s="6">
        <v>1</v>
      </c>
      <c r="AB351" s="5">
        <v>108.51300000000001</v>
      </c>
      <c r="AC351" s="6">
        <v>1</v>
      </c>
      <c r="AD351" s="6">
        <v>1</v>
      </c>
      <c r="AE351" s="5">
        <v>108.51300000000001</v>
      </c>
      <c r="AF351" s="7">
        <v>10</v>
      </c>
      <c r="AG351" s="7">
        <v>7</v>
      </c>
      <c r="AH351" s="7">
        <v>9.25</v>
      </c>
      <c r="AI351" s="7">
        <v>0</v>
      </c>
      <c r="AJ351" s="7">
        <v>0</v>
      </c>
      <c r="AK351" s="8">
        <v>44115.524872685186</v>
      </c>
      <c r="AL351" s="7">
        <v>12.62</v>
      </c>
      <c r="AM351" s="7">
        <v>100</v>
      </c>
      <c r="AN351" s="7">
        <v>0</v>
      </c>
      <c r="AO351" s="7">
        <v>8.84</v>
      </c>
      <c r="AP351" s="7">
        <v>11.67</v>
      </c>
      <c r="AQ351" s="7">
        <v>0</v>
      </c>
      <c r="AR351" s="7">
        <v>2.78</v>
      </c>
      <c r="AS351" s="4" t="s">
        <v>303</v>
      </c>
      <c r="AT351" s="7">
        <v>0</v>
      </c>
      <c r="AU351" s="4" t="s">
        <v>513</v>
      </c>
      <c r="AV351" s="4" t="s">
        <v>305</v>
      </c>
      <c r="AW351" s="4" t="s">
        <v>292</v>
      </c>
    </row>
    <row r="352" spans="1:49" s="4" customFormat="1" x14ac:dyDescent="0.25">
      <c r="A352" s="4" t="s">
        <v>395</v>
      </c>
      <c r="B352" s="4" t="s">
        <v>293</v>
      </c>
      <c r="C352" s="4" t="s">
        <v>511</v>
      </c>
      <c r="D352" s="4" t="s">
        <v>512</v>
      </c>
      <c r="F352" s="4" t="s">
        <v>11462</v>
      </c>
      <c r="G352" s="4" t="s">
        <v>11463</v>
      </c>
      <c r="I352" s="4" t="s">
        <v>296</v>
      </c>
      <c r="J352" s="4" t="s">
        <v>297</v>
      </c>
      <c r="K352" s="4" t="s">
        <v>298</v>
      </c>
      <c r="L352" s="4" t="s">
        <v>299</v>
      </c>
      <c r="M352" s="4" t="s">
        <v>300</v>
      </c>
      <c r="N352" s="4" t="s">
        <v>447</v>
      </c>
      <c r="O352" s="5">
        <v>234.953</v>
      </c>
      <c r="P352" s="6">
        <v>1</v>
      </c>
      <c r="Q352" s="7">
        <v>9.25</v>
      </c>
      <c r="R352" s="7">
        <v>7</v>
      </c>
      <c r="S352" s="4" t="s">
        <v>301</v>
      </c>
      <c r="T352" s="4" t="s">
        <v>302</v>
      </c>
      <c r="U352" s="5">
        <v>280.541</v>
      </c>
      <c r="V352" s="6">
        <v>0.45</v>
      </c>
      <c r="W352" s="7">
        <v>4</v>
      </c>
      <c r="X352" s="5">
        <v>147.863</v>
      </c>
      <c r="Y352" s="4" t="s">
        <v>292</v>
      </c>
      <c r="Z352" s="6">
        <v>1</v>
      </c>
      <c r="AA352" s="6">
        <v>0.75260899999999997</v>
      </c>
      <c r="AB352" s="5">
        <v>147.863</v>
      </c>
      <c r="AC352" s="6">
        <v>1</v>
      </c>
      <c r="AD352" s="6">
        <v>0.75260899999999997</v>
      </c>
      <c r="AE352" s="5">
        <v>147.863</v>
      </c>
      <c r="AF352" s="7">
        <v>10</v>
      </c>
      <c r="AG352" s="7">
        <v>7</v>
      </c>
      <c r="AH352" s="7">
        <v>9.25</v>
      </c>
      <c r="AI352" s="7">
        <v>17</v>
      </c>
      <c r="AJ352" s="7">
        <v>0</v>
      </c>
      <c r="AK352" s="8">
        <v>44115.524872685186</v>
      </c>
      <c r="AL352" s="7">
        <v>12.62</v>
      </c>
      <c r="AM352" s="7">
        <v>100</v>
      </c>
      <c r="AN352" s="7">
        <v>0</v>
      </c>
      <c r="AO352" s="7">
        <v>8.84</v>
      </c>
      <c r="AP352" s="7">
        <v>11.67</v>
      </c>
      <c r="AQ352" s="7">
        <v>26.67</v>
      </c>
      <c r="AR352" s="7">
        <v>6.62</v>
      </c>
      <c r="AS352" s="4" t="s">
        <v>303</v>
      </c>
      <c r="AT352" s="7">
        <v>0</v>
      </c>
      <c r="AU352" s="4" t="s">
        <v>513</v>
      </c>
      <c r="AV352" s="4" t="s">
        <v>305</v>
      </c>
      <c r="AW352" s="4" t="s">
        <v>292</v>
      </c>
    </row>
    <row r="353" spans="1:49" s="4" customFormat="1" x14ac:dyDescent="0.25">
      <c r="A353" s="4" t="s">
        <v>11200</v>
      </c>
      <c r="B353" s="4" t="s">
        <v>293</v>
      </c>
      <c r="C353" s="4" t="s">
        <v>511</v>
      </c>
      <c r="D353" s="4" t="s">
        <v>512</v>
      </c>
      <c r="F353" s="4" t="s">
        <v>11462</v>
      </c>
      <c r="G353" s="4" t="s">
        <v>11463</v>
      </c>
      <c r="I353" s="4" t="s">
        <v>296</v>
      </c>
      <c r="J353" s="4" t="s">
        <v>297</v>
      </c>
      <c r="K353" s="4" t="s">
        <v>298</v>
      </c>
      <c r="L353" s="4" t="s">
        <v>299</v>
      </c>
      <c r="M353" s="4" t="s">
        <v>300</v>
      </c>
      <c r="N353" s="4" t="s">
        <v>11198</v>
      </c>
      <c r="O353" s="5">
        <v>234.953</v>
      </c>
      <c r="P353" s="6">
        <v>1</v>
      </c>
      <c r="Q353" s="7">
        <v>9.25</v>
      </c>
      <c r="R353" s="7">
        <v>18</v>
      </c>
      <c r="S353" s="4" t="s">
        <v>301</v>
      </c>
      <c r="T353" s="4" t="s">
        <v>302</v>
      </c>
      <c r="U353" s="5">
        <v>322.959</v>
      </c>
      <c r="V353" s="6">
        <v>0.45</v>
      </c>
      <c r="W353" s="7">
        <v>1.5</v>
      </c>
      <c r="X353" s="5">
        <v>108.122</v>
      </c>
      <c r="Y353" s="4" t="s">
        <v>292</v>
      </c>
      <c r="Z353" s="6">
        <v>1</v>
      </c>
      <c r="AA353" s="6">
        <v>1</v>
      </c>
      <c r="AB353" s="5">
        <v>108.122</v>
      </c>
      <c r="AC353" s="6">
        <v>1</v>
      </c>
      <c r="AD353" s="6">
        <v>1</v>
      </c>
      <c r="AE353" s="5">
        <v>108.122</v>
      </c>
      <c r="AF353" s="7">
        <v>10</v>
      </c>
      <c r="AG353" s="7">
        <v>18</v>
      </c>
      <c r="AH353" s="7">
        <v>9.25</v>
      </c>
      <c r="AI353" s="7">
        <v>0</v>
      </c>
      <c r="AJ353" s="7">
        <v>0</v>
      </c>
      <c r="AK353" s="8">
        <v>44115.511689814812</v>
      </c>
      <c r="AL353" s="7">
        <v>14.53</v>
      </c>
      <c r="AM353" s="7">
        <v>100</v>
      </c>
      <c r="AN353" s="7">
        <v>0</v>
      </c>
      <c r="AO353" s="7">
        <v>26.16</v>
      </c>
      <c r="AP353" s="7">
        <v>13.45</v>
      </c>
      <c r="AQ353" s="7">
        <v>0</v>
      </c>
      <c r="AR353" s="7">
        <v>2.4</v>
      </c>
      <c r="AS353" s="4" t="s">
        <v>303</v>
      </c>
      <c r="AT353" s="7">
        <v>0</v>
      </c>
      <c r="AU353" s="4" t="s">
        <v>513</v>
      </c>
      <c r="AV353" s="4" t="s">
        <v>305</v>
      </c>
      <c r="AW353" s="4" t="s">
        <v>292</v>
      </c>
    </row>
    <row r="354" spans="1:49" s="4" customFormat="1" x14ac:dyDescent="0.25">
      <c r="A354" s="4" t="s">
        <v>11207</v>
      </c>
      <c r="B354" s="4" t="s">
        <v>293</v>
      </c>
      <c r="C354" s="4" t="s">
        <v>511</v>
      </c>
      <c r="D354" s="4" t="s">
        <v>512</v>
      </c>
      <c r="F354" s="4" t="s">
        <v>11236</v>
      </c>
      <c r="G354" s="4" t="s">
        <v>11237</v>
      </c>
      <c r="I354" s="4" t="s">
        <v>296</v>
      </c>
      <c r="J354" s="4" t="s">
        <v>297</v>
      </c>
      <c r="K354" s="4" t="s">
        <v>298</v>
      </c>
      <c r="L354" s="4" t="s">
        <v>299</v>
      </c>
      <c r="M354" s="4" t="s">
        <v>300</v>
      </c>
      <c r="N354" s="4" t="s">
        <v>11238</v>
      </c>
      <c r="O354" s="5">
        <v>108.12</v>
      </c>
      <c r="P354" s="6">
        <v>1</v>
      </c>
      <c r="Q354" s="7">
        <v>9.25</v>
      </c>
      <c r="R354" s="7">
        <v>7</v>
      </c>
      <c r="S354" s="4" t="s">
        <v>301</v>
      </c>
      <c r="T354" s="4" t="s">
        <v>302</v>
      </c>
      <c r="U354" s="5">
        <v>129.09899999999999</v>
      </c>
      <c r="V354" s="6">
        <v>0.25</v>
      </c>
      <c r="W354" s="7">
        <v>3</v>
      </c>
      <c r="X354" s="5">
        <v>43.445</v>
      </c>
      <c r="Y354" s="4" t="s">
        <v>292</v>
      </c>
      <c r="Z354" s="6">
        <v>4</v>
      </c>
      <c r="AA354" s="6">
        <v>1</v>
      </c>
      <c r="AB354" s="5">
        <v>173.78</v>
      </c>
      <c r="AC354" s="6">
        <v>1</v>
      </c>
      <c r="AD354" s="6">
        <v>1</v>
      </c>
      <c r="AE354" s="5">
        <v>173.78</v>
      </c>
      <c r="AF354" s="5">
        <v>173.78</v>
      </c>
      <c r="AG354" s="7">
        <v>7</v>
      </c>
      <c r="AH354" s="7">
        <v>0</v>
      </c>
      <c r="AI354" s="7">
        <v>17</v>
      </c>
      <c r="AJ354" s="7">
        <v>0</v>
      </c>
      <c r="AK354" s="8">
        <v>44115.537037037036</v>
      </c>
      <c r="AL354" s="7">
        <v>3.23</v>
      </c>
      <c r="AM354" s="7">
        <v>100</v>
      </c>
      <c r="AN354" s="7">
        <v>0</v>
      </c>
      <c r="AO354" s="7">
        <v>2.2599999999999998</v>
      </c>
      <c r="AP354" s="7">
        <v>0</v>
      </c>
      <c r="AQ354" s="7">
        <v>6.67</v>
      </c>
      <c r="AR354" s="7">
        <v>1.27</v>
      </c>
      <c r="AS354" s="4" t="s">
        <v>303</v>
      </c>
      <c r="AT354" s="7">
        <v>0</v>
      </c>
      <c r="AU354" s="4" t="s">
        <v>513</v>
      </c>
      <c r="AV354" s="4" t="s">
        <v>305</v>
      </c>
    </row>
    <row r="355" spans="1:49" s="4" customFormat="1" x14ac:dyDescent="0.25">
      <c r="A355" s="4" t="s">
        <v>11201</v>
      </c>
      <c r="B355" s="4" t="s">
        <v>293</v>
      </c>
      <c r="C355" s="4" t="s">
        <v>514</v>
      </c>
      <c r="D355" s="4" t="s">
        <v>515</v>
      </c>
      <c r="F355" s="4" t="s">
        <v>11242</v>
      </c>
      <c r="G355" s="4" t="s">
        <v>11240</v>
      </c>
      <c r="I355" s="4" t="s">
        <v>292</v>
      </c>
      <c r="J355" s="4" t="s">
        <v>297</v>
      </c>
      <c r="K355" s="4" t="s">
        <v>298</v>
      </c>
      <c r="L355" s="4" t="s">
        <v>299</v>
      </c>
      <c r="M355" s="4" t="s">
        <v>300</v>
      </c>
      <c r="N355" s="4" t="s">
        <v>11198</v>
      </c>
      <c r="O355" s="5">
        <v>178.626</v>
      </c>
      <c r="P355" s="6">
        <v>0.75261199999999995</v>
      </c>
      <c r="Q355" s="7">
        <v>9.25</v>
      </c>
      <c r="R355" s="7">
        <v>12</v>
      </c>
      <c r="S355" s="4" t="s">
        <v>301</v>
      </c>
      <c r="T355" s="4" t="s">
        <v>302</v>
      </c>
      <c r="U355" s="5">
        <v>170.71199999999999</v>
      </c>
      <c r="V355" s="6">
        <v>1</v>
      </c>
      <c r="W355" s="7">
        <v>5</v>
      </c>
      <c r="X355" s="5">
        <v>143.83199999999999</v>
      </c>
      <c r="Y355" s="4" t="s">
        <v>292</v>
      </c>
      <c r="Z355" s="6">
        <v>1</v>
      </c>
      <c r="AA355" s="6">
        <v>1</v>
      </c>
      <c r="AB355" s="5">
        <v>143.83199999999999</v>
      </c>
      <c r="AC355" s="6">
        <v>1</v>
      </c>
      <c r="AD355" s="6">
        <v>1</v>
      </c>
      <c r="AE355" s="5">
        <v>143.83199999999999</v>
      </c>
      <c r="AF355" s="5">
        <v>143.83199999999999</v>
      </c>
      <c r="AG355" s="7">
        <v>12</v>
      </c>
      <c r="AH355" s="7">
        <v>9.25</v>
      </c>
      <c r="AI355" s="7">
        <v>0</v>
      </c>
      <c r="AJ355" s="7">
        <v>0</v>
      </c>
      <c r="AK355" s="8">
        <v>44115.012465277781</v>
      </c>
      <c r="AL355" s="7">
        <v>17.07</v>
      </c>
      <c r="AM355" s="7">
        <v>100</v>
      </c>
      <c r="AN355" s="7">
        <v>0</v>
      </c>
      <c r="AO355" s="7">
        <v>20.48</v>
      </c>
      <c r="AP355" s="7">
        <v>15.79</v>
      </c>
      <c r="AQ355" s="7">
        <v>0</v>
      </c>
      <c r="AR355" s="7">
        <v>9.39</v>
      </c>
      <c r="AS355" s="4" t="s">
        <v>303</v>
      </c>
      <c r="AT355" s="7">
        <v>0</v>
      </c>
      <c r="AU355" s="4" t="s">
        <v>516</v>
      </c>
      <c r="AV355" s="4" t="s">
        <v>305</v>
      </c>
    </row>
    <row r="356" spans="1:49" s="4" customFormat="1" x14ac:dyDescent="0.25">
      <c r="A356" s="4" t="s">
        <v>11201</v>
      </c>
      <c r="B356" s="4" t="s">
        <v>293</v>
      </c>
      <c r="C356" s="4" t="s">
        <v>514</v>
      </c>
      <c r="D356" s="4" t="s">
        <v>515</v>
      </c>
      <c r="F356" s="4" t="s">
        <v>11462</v>
      </c>
      <c r="G356" s="4" t="s">
        <v>11463</v>
      </c>
      <c r="I356" s="4" t="s">
        <v>296</v>
      </c>
      <c r="J356" s="4" t="s">
        <v>297</v>
      </c>
      <c r="K356" s="4" t="s">
        <v>298</v>
      </c>
      <c r="L356" s="4" t="s">
        <v>299</v>
      </c>
      <c r="M356" s="4" t="s">
        <v>300</v>
      </c>
      <c r="N356" s="4" t="s">
        <v>11198</v>
      </c>
      <c r="O356" s="5">
        <v>283.84899999999999</v>
      </c>
      <c r="P356" s="6">
        <v>1</v>
      </c>
      <c r="Q356" s="7">
        <v>9.25</v>
      </c>
      <c r="R356" s="7">
        <v>12</v>
      </c>
      <c r="S356" s="4" t="s">
        <v>301</v>
      </c>
      <c r="T356" s="4" t="s">
        <v>302</v>
      </c>
      <c r="U356" s="5">
        <v>360.44299999999998</v>
      </c>
      <c r="V356" s="6">
        <v>0.45</v>
      </c>
      <c r="W356" s="7">
        <v>1.5</v>
      </c>
      <c r="X356" s="5">
        <v>130.40899999999999</v>
      </c>
      <c r="Y356" s="4" t="s">
        <v>292</v>
      </c>
      <c r="Z356" s="6">
        <v>1</v>
      </c>
      <c r="AA356" s="6">
        <v>1</v>
      </c>
      <c r="AB356" s="5">
        <v>130.40899999999999</v>
      </c>
      <c r="AC356" s="6">
        <v>1</v>
      </c>
      <c r="AD356" s="6">
        <v>1</v>
      </c>
      <c r="AE356" s="5">
        <v>130.40899999999999</v>
      </c>
      <c r="AF356" s="7">
        <v>10</v>
      </c>
      <c r="AG356" s="7">
        <v>12</v>
      </c>
      <c r="AH356" s="7">
        <v>9.25</v>
      </c>
      <c r="AI356" s="7">
        <v>0</v>
      </c>
      <c r="AJ356" s="7">
        <v>0</v>
      </c>
      <c r="AK356" s="8">
        <v>44115.519918981481</v>
      </c>
      <c r="AL356" s="7">
        <v>16.22</v>
      </c>
      <c r="AM356" s="7">
        <v>100</v>
      </c>
      <c r="AN356" s="7">
        <v>0</v>
      </c>
      <c r="AO356" s="7">
        <v>19.46</v>
      </c>
      <c r="AP356" s="7">
        <v>15.01</v>
      </c>
      <c r="AQ356" s="7">
        <v>0</v>
      </c>
      <c r="AR356" s="7">
        <v>2.68</v>
      </c>
      <c r="AS356" s="4" t="s">
        <v>303</v>
      </c>
      <c r="AT356" s="7">
        <v>0</v>
      </c>
      <c r="AU356" s="4" t="s">
        <v>516</v>
      </c>
      <c r="AV356" s="4" t="s">
        <v>305</v>
      </c>
      <c r="AW356" s="4" t="s">
        <v>292</v>
      </c>
    </row>
    <row r="357" spans="1:49" s="4" customFormat="1" x14ac:dyDescent="0.25">
      <c r="A357" s="4" t="s">
        <v>11199</v>
      </c>
      <c r="B357" s="4" t="s">
        <v>293</v>
      </c>
      <c r="C357" s="4" t="s">
        <v>514</v>
      </c>
      <c r="D357" s="4" t="s">
        <v>515</v>
      </c>
      <c r="F357" s="4" t="s">
        <v>11462</v>
      </c>
      <c r="G357" s="4" t="s">
        <v>11463</v>
      </c>
      <c r="I357" s="4" t="s">
        <v>296</v>
      </c>
      <c r="J357" s="4" t="s">
        <v>297</v>
      </c>
      <c r="K357" s="4" t="s">
        <v>298</v>
      </c>
      <c r="L357" s="4" t="s">
        <v>299</v>
      </c>
      <c r="M357" s="4" t="s">
        <v>300</v>
      </c>
      <c r="N357" s="4" t="s">
        <v>11198</v>
      </c>
      <c r="O357" s="5">
        <v>0</v>
      </c>
      <c r="P357" s="6">
        <v>1</v>
      </c>
      <c r="Q357" s="7">
        <v>9.25</v>
      </c>
      <c r="R357" s="7">
        <v>7</v>
      </c>
      <c r="S357" s="4" t="s">
        <v>301</v>
      </c>
      <c r="T357" s="4" t="s">
        <v>302</v>
      </c>
      <c r="U357" s="5">
        <v>343.59</v>
      </c>
      <c r="V357" s="6">
        <v>0.39089600000000002</v>
      </c>
      <c r="W357" s="7">
        <v>2</v>
      </c>
      <c r="X357" s="5">
        <v>115.428</v>
      </c>
      <c r="Y357" s="4" t="s">
        <v>292</v>
      </c>
      <c r="Z357" s="6">
        <v>1</v>
      </c>
      <c r="AA357" s="6">
        <v>1</v>
      </c>
      <c r="AB357" s="5">
        <v>115.428</v>
      </c>
      <c r="AC357" s="6">
        <v>1</v>
      </c>
      <c r="AD357" s="6">
        <v>1</v>
      </c>
      <c r="AE357" s="5">
        <v>115.428</v>
      </c>
      <c r="AF357" s="7">
        <v>10</v>
      </c>
      <c r="AG357" s="7">
        <v>7</v>
      </c>
      <c r="AH357" s="7">
        <v>9.25</v>
      </c>
      <c r="AI357" s="7">
        <v>0</v>
      </c>
      <c r="AJ357" s="7">
        <v>0</v>
      </c>
      <c r="AK357" s="8">
        <v>44115.015694444446</v>
      </c>
      <c r="AL357" s="7">
        <v>13.43</v>
      </c>
      <c r="AM357" s="7">
        <v>100</v>
      </c>
      <c r="AN357" s="7">
        <v>0</v>
      </c>
      <c r="AO357" s="7">
        <v>9.4</v>
      </c>
      <c r="AP357" s="7">
        <v>12.43</v>
      </c>
      <c r="AQ357" s="7">
        <v>0</v>
      </c>
      <c r="AR357" s="7">
        <v>2.95</v>
      </c>
      <c r="AS357" s="4" t="s">
        <v>303</v>
      </c>
      <c r="AT357" s="7">
        <v>0</v>
      </c>
      <c r="AU357" s="4" t="s">
        <v>516</v>
      </c>
      <c r="AV357" s="4" t="s">
        <v>305</v>
      </c>
      <c r="AW357" s="4" t="s">
        <v>296</v>
      </c>
    </row>
    <row r="358" spans="1:49" s="4" customFormat="1" x14ac:dyDescent="0.25">
      <c r="A358" s="4" t="s">
        <v>395</v>
      </c>
      <c r="B358" s="4" t="s">
        <v>293</v>
      </c>
      <c r="C358" s="4" t="s">
        <v>514</v>
      </c>
      <c r="D358" s="4" t="s">
        <v>515</v>
      </c>
      <c r="F358" s="4" t="s">
        <v>11462</v>
      </c>
      <c r="G358" s="4" t="s">
        <v>11463</v>
      </c>
      <c r="I358" s="4" t="s">
        <v>296</v>
      </c>
      <c r="J358" s="4" t="s">
        <v>297</v>
      </c>
      <c r="K358" s="4" t="s">
        <v>298</v>
      </c>
      <c r="L358" s="4" t="s">
        <v>299</v>
      </c>
      <c r="M358" s="4" t="s">
        <v>300</v>
      </c>
      <c r="N358" s="4" t="s">
        <v>447</v>
      </c>
      <c r="O358" s="5">
        <v>283.84899999999999</v>
      </c>
      <c r="P358" s="6">
        <v>1</v>
      </c>
      <c r="Q358" s="7">
        <v>9.25</v>
      </c>
      <c r="R358" s="7">
        <v>7</v>
      </c>
      <c r="S358" s="4" t="s">
        <v>301</v>
      </c>
      <c r="T358" s="4" t="s">
        <v>302</v>
      </c>
      <c r="U358" s="5">
        <v>338.92399999999998</v>
      </c>
      <c r="V358" s="6">
        <v>0.45</v>
      </c>
      <c r="W358" s="7">
        <v>4</v>
      </c>
      <c r="X358" s="5">
        <v>178.626</v>
      </c>
      <c r="Y358" s="4" t="s">
        <v>292</v>
      </c>
      <c r="Z358" s="6">
        <v>1</v>
      </c>
      <c r="AA358" s="6">
        <v>0.75261199999999995</v>
      </c>
      <c r="AB358" s="5">
        <v>178.626</v>
      </c>
      <c r="AC358" s="6">
        <v>1</v>
      </c>
      <c r="AD358" s="6">
        <v>0.75261199999999995</v>
      </c>
      <c r="AE358" s="5">
        <v>178.626</v>
      </c>
      <c r="AF358" s="7">
        <v>10</v>
      </c>
      <c r="AG358" s="7">
        <v>7</v>
      </c>
      <c r="AH358" s="7">
        <v>9.25</v>
      </c>
      <c r="AI358" s="7">
        <v>17</v>
      </c>
      <c r="AJ358" s="7">
        <v>0</v>
      </c>
      <c r="AK358" s="8">
        <v>44115.527650462966</v>
      </c>
      <c r="AL358" s="7">
        <v>15.25</v>
      </c>
      <c r="AM358" s="7">
        <v>100</v>
      </c>
      <c r="AN358" s="7">
        <v>0</v>
      </c>
      <c r="AO358" s="7">
        <v>10.68</v>
      </c>
      <c r="AP358" s="7">
        <v>14.11</v>
      </c>
      <c r="AQ358" s="7">
        <v>32.22</v>
      </c>
      <c r="AR358" s="7">
        <v>8</v>
      </c>
      <c r="AS358" s="4" t="s">
        <v>303</v>
      </c>
      <c r="AT358" s="7">
        <v>0</v>
      </c>
      <c r="AU358" s="4" t="s">
        <v>516</v>
      </c>
      <c r="AV358" s="4" t="s">
        <v>305</v>
      </c>
      <c r="AW358" s="4" t="s">
        <v>292</v>
      </c>
    </row>
    <row r="359" spans="1:49" s="4" customFormat="1" x14ac:dyDescent="0.25">
      <c r="A359" s="4" t="s">
        <v>11200</v>
      </c>
      <c r="B359" s="4" t="s">
        <v>293</v>
      </c>
      <c r="C359" s="4" t="s">
        <v>514</v>
      </c>
      <c r="D359" s="4" t="s">
        <v>515</v>
      </c>
      <c r="F359" s="4" t="s">
        <v>11462</v>
      </c>
      <c r="G359" s="4" t="s">
        <v>11463</v>
      </c>
      <c r="I359" s="4" t="s">
        <v>296</v>
      </c>
      <c r="J359" s="4" t="s">
        <v>297</v>
      </c>
      <c r="K359" s="4" t="s">
        <v>298</v>
      </c>
      <c r="L359" s="4" t="s">
        <v>299</v>
      </c>
      <c r="M359" s="4" t="s">
        <v>300</v>
      </c>
      <c r="N359" s="4" t="s">
        <v>11198</v>
      </c>
      <c r="O359" s="5">
        <v>0</v>
      </c>
      <c r="P359" s="6">
        <v>1</v>
      </c>
      <c r="Q359" s="7">
        <v>9.25</v>
      </c>
      <c r="R359" s="7">
        <v>18</v>
      </c>
      <c r="S359" s="4" t="s">
        <v>301</v>
      </c>
      <c r="T359" s="4" t="s">
        <v>302</v>
      </c>
      <c r="U359" s="5">
        <v>343.59</v>
      </c>
      <c r="V359" s="6">
        <v>0.45</v>
      </c>
      <c r="W359" s="7">
        <v>1.5</v>
      </c>
      <c r="X359" s="5">
        <v>115.036</v>
      </c>
      <c r="Y359" s="4" t="s">
        <v>292</v>
      </c>
      <c r="Z359" s="6">
        <v>1</v>
      </c>
      <c r="AA359" s="6">
        <v>1</v>
      </c>
      <c r="AB359" s="5">
        <v>115.036</v>
      </c>
      <c r="AC359" s="6">
        <v>1</v>
      </c>
      <c r="AD359" s="6">
        <v>1</v>
      </c>
      <c r="AE359" s="5">
        <v>115.036</v>
      </c>
      <c r="AF359" s="7">
        <v>10</v>
      </c>
      <c r="AG359" s="7">
        <v>18</v>
      </c>
      <c r="AH359" s="7">
        <v>9.25</v>
      </c>
      <c r="AI359" s="7">
        <v>0</v>
      </c>
      <c r="AJ359" s="7">
        <v>0</v>
      </c>
      <c r="AK359" s="8">
        <v>44115.004803240743</v>
      </c>
      <c r="AL359" s="7">
        <v>15.46</v>
      </c>
      <c r="AM359" s="7">
        <v>100</v>
      </c>
      <c r="AN359" s="7">
        <v>0</v>
      </c>
      <c r="AO359" s="7">
        <v>27.83</v>
      </c>
      <c r="AP359" s="7">
        <v>14.3</v>
      </c>
      <c r="AQ359" s="7">
        <v>0</v>
      </c>
      <c r="AR359" s="7">
        <v>2.5499999999999998</v>
      </c>
      <c r="AS359" s="4" t="s">
        <v>303</v>
      </c>
      <c r="AT359" s="7">
        <v>0</v>
      </c>
      <c r="AU359" s="4" t="s">
        <v>516</v>
      </c>
      <c r="AV359" s="4" t="s">
        <v>305</v>
      </c>
      <c r="AW359" s="4" t="s">
        <v>296</v>
      </c>
    </row>
    <row r="360" spans="1:49" s="4" customFormat="1" x14ac:dyDescent="0.25">
      <c r="A360" s="4" t="s">
        <v>11201</v>
      </c>
      <c r="B360" s="4" t="s">
        <v>293</v>
      </c>
      <c r="C360" s="4" t="s">
        <v>517</v>
      </c>
      <c r="D360" s="4" t="s">
        <v>518</v>
      </c>
      <c r="F360" s="4" t="s">
        <v>11462</v>
      </c>
      <c r="G360" s="4" t="s">
        <v>11463</v>
      </c>
      <c r="I360" s="4" t="s">
        <v>296</v>
      </c>
      <c r="J360" s="4" t="s">
        <v>297</v>
      </c>
      <c r="K360" s="4" t="s">
        <v>298</v>
      </c>
      <c r="L360" s="4" t="s">
        <v>322</v>
      </c>
      <c r="M360" s="4" t="s">
        <v>300</v>
      </c>
      <c r="N360" s="4" t="s">
        <v>11198</v>
      </c>
      <c r="O360" s="5">
        <v>62.691000000000003</v>
      </c>
      <c r="P360" s="6">
        <v>1</v>
      </c>
      <c r="Q360" s="7">
        <v>9.25</v>
      </c>
      <c r="R360" s="7">
        <v>12</v>
      </c>
      <c r="S360" s="4" t="s">
        <v>301</v>
      </c>
      <c r="T360" s="4" t="s">
        <v>302</v>
      </c>
      <c r="U360" s="5">
        <v>79.608000000000004</v>
      </c>
      <c r="V360" s="6">
        <v>0.45</v>
      </c>
      <c r="W360" s="7">
        <v>1.5</v>
      </c>
      <c r="X360" s="5">
        <v>28.803999999999998</v>
      </c>
      <c r="Y360" s="4" t="s">
        <v>292</v>
      </c>
      <c r="Z360" s="6">
        <v>1</v>
      </c>
      <c r="AA360" s="6">
        <v>1</v>
      </c>
      <c r="AB360" s="5">
        <v>28.803999999999998</v>
      </c>
      <c r="AC360" s="6">
        <v>1</v>
      </c>
      <c r="AD360" s="6">
        <v>1</v>
      </c>
      <c r="AE360" s="5">
        <v>28.803999999999998</v>
      </c>
      <c r="AF360" s="7">
        <v>10</v>
      </c>
      <c r="AG360" s="7">
        <v>12</v>
      </c>
      <c r="AH360" s="7">
        <v>9.25</v>
      </c>
      <c r="AI360" s="7">
        <v>0</v>
      </c>
      <c r="AJ360" s="7">
        <v>0</v>
      </c>
      <c r="AK360" s="8">
        <v>44115.52008101852</v>
      </c>
      <c r="AL360" s="7">
        <v>3.58</v>
      </c>
      <c r="AM360" s="7">
        <v>100</v>
      </c>
      <c r="AN360" s="7">
        <v>0</v>
      </c>
      <c r="AO360" s="7">
        <v>4.3</v>
      </c>
      <c r="AP360" s="7">
        <v>3.31</v>
      </c>
      <c r="AQ360" s="7">
        <v>0</v>
      </c>
      <c r="AR360" s="7">
        <v>0.59</v>
      </c>
      <c r="AS360" s="4" t="s">
        <v>303</v>
      </c>
      <c r="AT360" s="7">
        <v>0</v>
      </c>
      <c r="AU360" s="4" t="s">
        <v>519</v>
      </c>
      <c r="AV360" s="4" t="s">
        <v>305</v>
      </c>
      <c r="AW360" s="4" t="s">
        <v>292</v>
      </c>
    </row>
    <row r="361" spans="1:49" s="4" customFormat="1" x14ac:dyDescent="0.25">
      <c r="A361" s="4" t="s">
        <v>11199</v>
      </c>
      <c r="B361" s="4" t="s">
        <v>293</v>
      </c>
      <c r="C361" s="4" t="s">
        <v>517</v>
      </c>
      <c r="D361" s="4" t="s">
        <v>518</v>
      </c>
      <c r="F361" s="4" t="s">
        <v>11462</v>
      </c>
      <c r="G361" s="4" t="s">
        <v>11463</v>
      </c>
      <c r="I361" s="4" t="s">
        <v>296</v>
      </c>
      <c r="J361" s="4" t="s">
        <v>297</v>
      </c>
      <c r="K361" s="4" t="s">
        <v>298</v>
      </c>
      <c r="L361" s="4" t="s">
        <v>322</v>
      </c>
      <c r="M361" s="4" t="s">
        <v>300</v>
      </c>
      <c r="N361" s="4" t="s">
        <v>11198</v>
      </c>
      <c r="O361" s="5">
        <v>62.689</v>
      </c>
      <c r="P361" s="6">
        <v>1</v>
      </c>
      <c r="Q361" s="7">
        <v>9.25</v>
      </c>
      <c r="R361" s="7">
        <v>7</v>
      </c>
      <c r="S361" s="4" t="s">
        <v>301</v>
      </c>
      <c r="T361" s="4" t="s">
        <v>302</v>
      </c>
      <c r="U361" s="5">
        <v>74.852999999999994</v>
      </c>
      <c r="V361" s="6">
        <v>0.45</v>
      </c>
      <c r="W361" s="7">
        <v>2</v>
      </c>
      <c r="X361" s="5">
        <v>28.943999999999999</v>
      </c>
      <c r="Y361" s="4" t="s">
        <v>292</v>
      </c>
      <c r="Z361" s="6">
        <v>1</v>
      </c>
      <c r="AA361" s="6">
        <v>1</v>
      </c>
      <c r="AB361" s="5">
        <v>28.943999999999999</v>
      </c>
      <c r="AC361" s="6">
        <v>1</v>
      </c>
      <c r="AD361" s="6">
        <v>1</v>
      </c>
      <c r="AE361" s="5">
        <v>28.943999999999999</v>
      </c>
      <c r="AF361" s="7">
        <v>10</v>
      </c>
      <c r="AG361" s="7">
        <v>7</v>
      </c>
      <c r="AH361" s="7">
        <v>9.25</v>
      </c>
      <c r="AI361" s="7">
        <v>0</v>
      </c>
      <c r="AJ361" s="7">
        <v>0</v>
      </c>
      <c r="AK361" s="8">
        <v>44115.527673611112</v>
      </c>
      <c r="AL361" s="7">
        <v>3.37</v>
      </c>
      <c r="AM361" s="7">
        <v>100</v>
      </c>
      <c r="AN361" s="7">
        <v>0</v>
      </c>
      <c r="AO361" s="7">
        <v>2.36</v>
      </c>
      <c r="AP361" s="7">
        <v>3.12</v>
      </c>
      <c r="AQ361" s="7">
        <v>0</v>
      </c>
      <c r="AR361" s="7">
        <v>0.74</v>
      </c>
      <c r="AS361" s="4" t="s">
        <v>303</v>
      </c>
      <c r="AT361" s="7">
        <v>0</v>
      </c>
      <c r="AU361" s="4" t="s">
        <v>519</v>
      </c>
      <c r="AV361" s="4" t="s">
        <v>305</v>
      </c>
      <c r="AW361" s="4" t="s">
        <v>292</v>
      </c>
    </row>
    <row r="362" spans="1:49" s="4" customFormat="1" x14ac:dyDescent="0.25">
      <c r="A362" s="4" t="s">
        <v>395</v>
      </c>
      <c r="B362" s="4" t="s">
        <v>293</v>
      </c>
      <c r="C362" s="4" t="s">
        <v>517</v>
      </c>
      <c r="D362" s="4" t="s">
        <v>518</v>
      </c>
      <c r="F362" s="4" t="s">
        <v>11462</v>
      </c>
      <c r="G362" s="4" t="s">
        <v>11463</v>
      </c>
      <c r="I362" s="4" t="s">
        <v>296</v>
      </c>
      <c r="J362" s="4" t="s">
        <v>297</v>
      </c>
      <c r="K362" s="4" t="s">
        <v>298</v>
      </c>
      <c r="L362" s="4" t="s">
        <v>322</v>
      </c>
      <c r="M362" s="4" t="s">
        <v>300</v>
      </c>
      <c r="N362" s="4" t="s">
        <v>447</v>
      </c>
      <c r="O362" s="5">
        <v>62.689</v>
      </c>
      <c r="P362" s="6">
        <v>1</v>
      </c>
      <c r="Q362" s="7">
        <v>9.25</v>
      </c>
      <c r="R362" s="7">
        <v>7</v>
      </c>
      <c r="S362" s="4" t="s">
        <v>301</v>
      </c>
      <c r="T362" s="4" t="s">
        <v>302</v>
      </c>
      <c r="U362" s="5">
        <v>74.852999999999994</v>
      </c>
      <c r="V362" s="6">
        <v>0.45</v>
      </c>
      <c r="W362" s="7">
        <v>4</v>
      </c>
      <c r="X362" s="5">
        <v>39.444000000000003</v>
      </c>
      <c r="Y362" s="4" t="s">
        <v>292</v>
      </c>
      <c r="Z362" s="6">
        <v>1</v>
      </c>
      <c r="AA362" s="6">
        <v>0.75256100000000004</v>
      </c>
      <c r="AB362" s="5">
        <v>39.444000000000003</v>
      </c>
      <c r="AC362" s="6">
        <v>1</v>
      </c>
      <c r="AD362" s="6">
        <v>0.75256100000000004</v>
      </c>
      <c r="AE362" s="5">
        <v>39.444000000000003</v>
      </c>
      <c r="AF362" s="7">
        <v>10</v>
      </c>
      <c r="AG362" s="7">
        <v>7</v>
      </c>
      <c r="AH362" s="7">
        <v>9.25</v>
      </c>
      <c r="AI362" s="7">
        <v>17</v>
      </c>
      <c r="AJ362" s="7">
        <v>0</v>
      </c>
      <c r="AK362" s="8">
        <v>44115.527673611112</v>
      </c>
      <c r="AL362" s="7">
        <v>3.37</v>
      </c>
      <c r="AM362" s="7">
        <v>100</v>
      </c>
      <c r="AN362" s="7">
        <v>0</v>
      </c>
      <c r="AO362" s="7">
        <v>2.36</v>
      </c>
      <c r="AP362" s="7">
        <v>3.12</v>
      </c>
      <c r="AQ362" s="7">
        <v>7.11</v>
      </c>
      <c r="AR362" s="7">
        <v>1.77</v>
      </c>
      <c r="AS362" s="4" t="s">
        <v>303</v>
      </c>
      <c r="AT362" s="7">
        <v>0</v>
      </c>
      <c r="AU362" s="4" t="s">
        <v>519</v>
      </c>
      <c r="AV362" s="4" t="s">
        <v>305</v>
      </c>
      <c r="AW362" s="4" t="s">
        <v>292</v>
      </c>
    </row>
    <row r="363" spans="1:49" s="4" customFormat="1" x14ac:dyDescent="0.25">
      <c r="A363" s="4" t="s">
        <v>11200</v>
      </c>
      <c r="B363" s="4" t="s">
        <v>293</v>
      </c>
      <c r="C363" s="4" t="s">
        <v>517</v>
      </c>
      <c r="D363" s="4" t="s">
        <v>518</v>
      </c>
      <c r="F363" s="4" t="s">
        <v>11462</v>
      </c>
      <c r="G363" s="4" t="s">
        <v>11463</v>
      </c>
      <c r="I363" s="4" t="s">
        <v>296</v>
      </c>
      <c r="J363" s="4" t="s">
        <v>297</v>
      </c>
      <c r="K363" s="4" t="s">
        <v>298</v>
      </c>
      <c r="L363" s="4" t="s">
        <v>322</v>
      </c>
      <c r="M363" s="4" t="s">
        <v>300</v>
      </c>
      <c r="N363" s="4" t="s">
        <v>11198</v>
      </c>
      <c r="O363" s="5">
        <v>62.689</v>
      </c>
      <c r="P363" s="6">
        <v>1</v>
      </c>
      <c r="Q363" s="7">
        <v>9.25</v>
      </c>
      <c r="R363" s="7">
        <v>18</v>
      </c>
      <c r="S363" s="4" t="s">
        <v>301</v>
      </c>
      <c r="T363" s="4" t="s">
        <v>302</v>
      </c>
      <c r="U363" s="5">
        <v>86.17</v>
      </c>
      <c r="V363" s="6">
        <v>0.45</v>
      </c>
      <c r="W363" s="7">
        <v>1.5</v>
      </c>
      <c r="X363" s="5">
        <v>28.847000000000001</v>
      </c>
      <c r="Y363" s="4" t="s">
        <v>292</v>
      </c>
      <c r="Z363" s="6">
        <v>1</v>
      </c>
      <c r="AA363" s="6">
        <v>1</v>
      </c>
      <c r="AB363" s="5">
        <v>28.847000000000001</v>
      </c>
      <c r="AC363" s="6">
        <v>1</v>
      </c>
      <c r="AD363" s="6">
        <v>1</v>
      </c>
      <c r="AE363" s="5">
        <v>28.847000000000001</v>
      </c>
      <c r="AF363" s="7">
        <v>10</v>
      </c>
      <c r="AG363" s="7">
        <v>18</v>
      </c>
      <c r="AH363" s="7">
        <v>9.25</v>
      </c>
      <c r="AI363" s="7">
        <v>0</v>
      </c>
      <c r="AJ363" s="7">
        <v>0</v>
      </c>
      <c r="AK363" s="8">
        <v>44115.512650462966</v>
      </c>
      <c r="AL363" s="7">
        <v>3.88</v>
      </c>
      <c r="AM363" s="7">
        <v>100</v>
      </c>
      <c r="AN363" s="7">
        <v>0</v>
      </c>
      <c r="AO363" s="7">
        <v>6.98</v>
      </c>
      <c r="AP363" s="7">
        <v>3.59</v>
      </c>
      <c r="AQ363" s="7">
        <v>0</v>
      </c>
      <c r="AR363" s="7">
        <v>0.64</v>
      </c>
      <c r="AS363" s="4" t="s">
        <v>303</v>
      </c>
      <c r="AT363" s="7">
        <v>0</v>
      </c>
      <c r="AU363" s="4" t="s">
        <v>519</v>
      </c>
      <c r="AV363" s="4" t="s">
        <v>305</v>
      </c>
      <c r="AW363" s="4" t="s">
        <v>292</v>
      </c>
    </row>
    <row r="364" spans="1:49" s="4" customFormat="1" x14ac:dyDescent="0.25">
      <c r="A364" s="4" t="s">
        <v>11207</v>
      </c>
      <c r="B364" s="4" t="s">
        <v>293</v>
      </c>
      <c r="C364" s="4" t="s">
        <v>517</v>
      </c>
      <c r="D364" s="4" t="s">
        <v>518</v>
      </c>
      <c r="F364" s="4" t="s">
        <v>11236</v>
      </c>
      <c r="G364" s="4" t="s">
        <v>11237</v>
      </c>
      <c r="I364" s="4" t="s">
        <v>296</v>
      </c>
      <c r="J364" s="4" t="s">
        <v>297</v>
      </c>
      <c r="K364" s="4" t="s">
        <v>298</v>
      </c>
      <c r="L364" s="4" t="s">
        <v>322</v>
      </c>
      <c r="M364" s="4" t="s">
        <v>300</v>
      </c>
      <c r="N364" s="4" t="s">
        <v>11238</v>
      </c>
      <c r="O364" s="5">
        <v>28.85</v>
      </c>
      <c r="P364" s="6">
        <v>1</v>
      </c>
      <c r="Q364" s="7">
        <v>9.25</v>
      </c>
      <c r="R364" s="7">
        <v>7</v>
      </c>
      <c r="S364" s="4" t="s">
        <v>301</v>
      </c>
      <c r="T364" s="4" t="s">
        <v>302</v>
      </c>
      <c r="U364" s="5">
        <v>34.448</v>
      </c>
      <c r="V364" s="6">
        <v>0.25</v>
      </c>
      <c r="W364" s="7">
        <v>3</v>
      </c>
      <c r="X364" s="5">
        <v>11.592000000000001</v>
      </c>
      <c r="Y364" s="4" t="s">
        <v>292</v>
      </c>
      <c r="Z364" s="6">
        <v>4</v>
      </c>
      <c r="AA364" s="6">
        <v>1</v>
      </c>
      <c r="AB364" s="5">
        <v>46.368000000000002</v>
      </c>
      <c r="AC364" s="6">
        <v>1</v>
      </c>
      <c r="AD364" s="6">
        <v>1</v>
      </c>
      <c r="AE364" s="5">
        <v>46.368000000000002</v>
      </c>
      <c r="AF364" s="5">
        <v>46.368000000000002</v>
      </c>
      <c r="AG364" s="7">
        <v>7</v>
      </c>
      <c r="AH364" s="7">
        <v>0</v>
      </c>
      <c r="AI364" s="7">
        <v>17</v>
      </c>
      <c r="AJ364" s="7">
        <v>0</v>
      </c>
      <c r="AK364" s="8">
        <v>44115.539363425924</v>
      </c>
      <c r="AL364" s="7">
        <v>0.86</v>
      </c>
      <c r="AM364" s="7">
        <v>100</v>
      </c>
      <c r="AN364" s="7">
        <v>0</v>
      </c>
      <c r="AO364" s="7">
        <v>0.6</v>
      </c>
      <c r="AP364" s="7">
        <v>0</v>
      </c>
      <c r="AQ364" s="7">
        <v>1.78</v>
      </c>
      <c r="AR364" s="7">
        <v>0.34</v>
      </c>
      <c r="AS364" s="4" t="s">
        <v>303</v>
      </c>
      <c r="AT364" s="7">
        <v>0</v>
      </c>
      <c r="AU364" s="4" t="s">
        <v>519</v>
      </c>
      <c r="AV364" s="4" t="s">
        <v>305</v>
      </c>
    </row>
    <row r="365" spans="1:49" s="4" customFormat="1" x14ac:dyDescent="0.25">
      <c r="A365" s="4" t="s">
        <v>11201</v>
      </c>
      <c r="B365" s="4" t="s">
        <v>293</v>
      </c>
      <c r="C365" s="4" t="s">
        <v>520</v>
      </c>
      <c r="D365" s="4" t="s">
        <v>521</v>
      </c>
      <c r="F365" s="4" t="s">
        <v>11462</v>
      </c>
      <c r="G365" s="4" t="s">
        <v>11463</v>
      </c>
      <c r="I365" s="4" t="s">
        <v>296</v>
      </c>
      <c r="J365" s="4" t="s">
        <v>297</v>
      </c>
      <c r="K365" s="4" t="s">
        <v>298</v>
      </c>
      <c r="L365" s="4" t="s">
        <v>299</v>
      </c>
      <c r="M365" s="4" t="s">
        <v>300</v>
      </c>
      <c r="N365" s="4" t="s">
        <v>11198</v>
      </c>
      <c r="O365" s="5">
        <v>76.944999999999993</v>
      </c>
      <c r="P365" s="6">
        <v>1</v>
      </c>
      <c r="Q365" s="7">
        <v>9.25</v>
      </c>
      <c r="R365" s="7">
        <v>12</v>
      </c>
      <c r="S365" s="4" t="s">
        <v>301</v>
      </c>
      <c r="T365" s="4" t="s">
        <v>302</v>
      </c>
      <c r="U365" s="5">
        <v>97.707999999999998</v>
      </c>
      <c r="V365" s="6">
        <v>0.45</v>
      </c>
      <c r="W365" s="7">
        <v>1.5</v>
      </c>
      <c r="X365" s="5">
        <v>35.348999999999997</v>
      </c>
      <c r="Y365" s="4" t="s">
        <v>292</v>
      </c>
      <c r="Z365" s="6">
        <v>1</v>
      </c>
      <c r="AA365" s="6">
        <v>1</v>
      </c>
      <c r="AB365" s="5">
        <v>35.348999999999997</v>
      </c>
      <c r="AC365" s="6">
        <v>1</v>
      </c>
      <c r="AD365" s="6">
        <v>1</v>
      </c>
      <c r="AE365" s="5">
        <v>35.348999999999997</v>
      </c>
      <c r="AF365" s="7">
        <v>10</v>
      </c>
      <c r="AG365" s="7">
        <v>12</v>
      </c>
      <c r="AH365" s="7">
        <v>9.25</v>
      </c>
      <c r="AI365" s="7">
        <v>0</v>
      </c>
      <c r="AJ365" s="7">
        <v>0</v>
      </c>
      <c r="AK365" s="8">
        <v>44115.52008101852</v>
      </c>
      <c r="AL365" s="7">
        <v>4.4000000000000004</v>
      </c>
      <c r="AM365" s="7">
        <v>100</v>
      </c>
      <c r="AN365" s="7">
        <v>0</v>
      </c>
      <c r="AO365" s="7">
        <v>5.28</v>
      </c>
      <c r="AP365" s="7">
        <v>4.07</v>
      </c>
      <c r="AQ365" s="7">
        <v>0</v>
      </c>
      <c r="AR365" s="7">
        <v>0.73</v>
      </c>
      <c r="AS365" s="4" t="s">
        <v>303</v>
      </c>
      <c r="AT365" s="7">
        <v>0</v>
      </c>
      <c r="AU365" s="4" t="s">
        <v>522</v>
      </c>
      <c r="AV365" s="4" t="s">
        <v>305</v>
      </c>
      <c r="AW365" s="4" t="s">
        <v>292</v>
      </c>
    </row>
    <row r="366" spans="1:49" s="4" customFormat="1" x14ac:dyDescent="0.25">
      <c r="A366" s="4" t="s">
        <v>11199</v>
      </c>
      <c r="B366" s="4" t="s">
        <v>293</v>
      </c>
      <c r="C366" s="4" t="s">
        <v>520</v>
      </c>
      <c r="D366" s="4" t="s">
        <v>521</v>
      </c>
      <c r="F366" s="4" t="s">
        <v>11462</v>
      </c>
      <c r="G366" s="4" t="s">
        <v>11463</v>
      </c>
      <c r="I366" s="4" t="s">
        <v>296</v>
      </c>
      <c r="J366" s="4" t="s">
        <v>297</v>
      </c>
      <c r="K366" s="4" t="s">
        <v>298</v>
      </c>
      <c r="L366" s="4" t="s">
        <v>299</v>
      </c>
      <c r="M366" s="4" t="s">
        <v>300</v>
      </c>
      <c r="N366" s="4" t="s">
        <v>11198</v>
      </c>
      <c r="O366" s="5">
        <v>76.947999999999993</v>
      </c>
      <c r="P366" s="6">
        <v>1</v>
      </c>
      <c r="Q366" s="7">
        <v>9.25</v>
      </c>
      <c r="R366" s="7">
        <v>7</v>
      </c>
      <c r="S366" s="4" t="s">
        <v>301</v>
      </c>
      <c r="T366" s="4" t="s">
        <v>302</v>
      </c>
      <c r="U366" s="5">
        <v>91.878</v>
      </c>
      <c r="V366" s="6">
        <v>0.45</v>
      </c>
      <c r="W366" s="7">
        <v>2</v>
      </c>
      <c r="X366" s="5">
        <v>35.545000000000002</v>
      </c>
      <c r="Y366" s="4" t="s">
        <v>292</v>
      </c>
      <c r="Z366" s="6">
        <v>1</v>
      </c>
      <c r="AA366" s="6">
        <v>1</v>
      </c>
      <c r="AB366" s="5">
        <v>35.545000000000002</v>
      </c>
      <c r="AC366" s="6">
        <v>1</v>
      </c>
      <c r="AD366" s="6">
        <v>1</v>
      </c>
      <c r="AE366" s="5">
        <v>35.545000000000002</v>
      </c>
      <c r="AF366" s="7">
        <v>10</v>
      </c>
      <c r="AG366" s="7">
        <v>7</v>
      </c>
      <c r="AH366" s="7">
        <v>9.25</v>
      </c>
      <c r="AI366" s="7">
        <v>0</v>
      </c>
      <c r="AJ366" s="7">
        <v>0</v>
      </c>
      <c r="AK366" s="8">
        <v>44115.527685185189</v>
      </c>
      <c r="AL366" s="7">
        <v>4.1399999999999997</v>
      </c>
      <c r="AM366" s="7">
        <v>100</v>
      </c>
      <c r="AN366" s="7">
        <v>0</v>
      </c>
      <c r="AO366" s="7">
        <v>2.89</v>
      </c>
      <c r="AP366" s="7">
        <v>3.82</v>
      </c>
      <c r="AQ366" s="7">
        <v>0</v>
      </c>
      <c r="AR366" s="7">
        <v>0.91</v>
      </c>
      <c r="AS366" s="4" t="s">
        <v>303</v>
      </c>
      <c r="AT366" s="7">
        <v>0</v>
      </c>
      <c r="AU366" s="4" t="s">
        <v>522</v>
      </c>
      <c r="AV366" s="4" t="s">
        <v>305</v>
      </c>
      <c r="AW366" s="4" t="s">
        <v>292</v>
      </c>
    </row>
    <row r="367" spans="1:49" s="4" customFormat="1" x14ac:dyDescent="0.25">
      <c r="A367" s="4" t="s">
        <v>395</v>
      </c>
      <c r="B367" s="4" t="s">
        <v>293</v>
      </c>
      <c r="C367" s="4" t="s">
        <v>520</v>
      </c>
      <c r="D367" s="4" t="s">
        <v>521</v>
      </c>
      <c r="F367" s="4" t="s">
        <v>11462</v>
      </c>
      <c r="G367" s="4" t="s">
        <v>11463</v>
      </c>
      <c r="I367" s="4" t="s">
        <v>296</v>
      </c>
      <c r="J367" s="4" t="s">
        <v>297</v>
      </c>
      <c r="K367" s="4" t="s">
        <v>298</v>
      </c>
      <c r="L367" s="4" t="s">
        <v>299</v>
      </c>
      <c r="M367" s="4" t="s">
        <v>300</v>
      </c>
      <c r="N367" s="4" t="s">
        <v>447</v>
      </c>
      <c r="O367" s="5">
        <v>76.947999999999993</v>
      </c>
      <c r="P367" s="6">
        <v>1</v>
      </c>
      <c r="Q367" s="7">
        <v>9.25</v>
      </c>
      <c r="R367" s="7">
        <v>7</v>
      </c>
      <c r="S367" s="4" t="s">
        <v>301</v>
      </c>
      <c r="T367" s="4" t="s">
        <v>302</v>
      </c>
      <c r="U367" s="5">
        <v>91.878</v>
      </c>
      <c r="V367" s="6">
        <v>0.45</v>
      </c>
      <c r="W367" s="7">
        <v>4</v>
      </c>
      <c r="X367" s="5">
        <v>48.424999999999997</v>
      </c>
      <c r="Y367" s="4" t="s">
        <v>292</v>
      </c>
      <c r="Z367" s="6">
        <v>1</v>
      </c>
      <c r="AA367" s="6">
        <v>0.75281399999999998</v>
      </c>
      <c r="AB367" s="5">
        <v>48.424999999999997</v>
      </c>
      <c r="AC367" s="6">
        <v>1</v>
      </c>
      <c r="AD367" s="6">
        <v>0.75281399999999998</v>
      </c>
      <c r="AE367" s="5">
        <v>48.424999999999997</v>
      </c>
      <c r="AF367" s="7">
        <v>10</v>
      </c>
      <c r="AG367" s="7">
        <v>7</v>
      </c>
      <c r="AH367" s="7">
        <v>9.25</v>
      </c>
      <c r="AI367" s="7">
        <v>17</v>
      </c>
      <c r="AJ367" s="7">
        <v>0</v>
      </c>
      <c r="AK367" s="8">
        <v>44115.527696759258</v>
      </c>
      <c r="AL367" s="7">
        <v>4.1399999999999997</v>
      </c>
      <c r="AM367" s="7">
        <v>100</v>
      </c>
      <c r="AN367" s="7">
        <v>0</v>
      </c>
      <c r="AO367" s="7">
        <v>2.89</v>
      </c>
      <c r="AP367" s="7">
        <v>3.82</v>
      </c>
      <c r="AQ367" s="7">
        <v>8.73</v>
      </c>
      <c r="AR367" s="7">
        <v>2.17</v>
      </c>
      <c r="AS367" s="4" t="s">
        <v>303</v>
      </c>
      <c r="AT367" s="7">
        <v>0</v>
      </c>
      <c r="AU367" s="4" t="s">
        <v>522</v>
      </c>
      <c r="AV367" s="4" t="s">
        <v>305</v>
      </c>
      <c r="AW367" s="4" t="s">
        <v>292</v>
      </c>
    </row>
    <row r="368" spans="1:49" s="4" customFormat="1" x14ac:dyDescent="0.25">
      <c r="A368" s="4" t="s">
        <v>11200</v>
      </c>
      <c r="B368" s="4" t="s">
        <v>293</v>
      </c>
      <c r="C368" s="4" t="s">
        <v>520</v>
      </c>
      <c r="D368" s="4" t="s">
        <v>521</v>
      </c>
      <c r="F368" s="4" t="s">
        <v>11462</v>
      </c>
      <c r="G368" s="4" t="s">
        <v>11463</v>
      </c>
      <c r="I368" s="4" t="s">
        <v>296</v>
      </c>
      <c r="J368" s="4" t="s">
        <v>297</v>
      </c>
      <c r="K368" s="4" t="s">
        <v>298</v>
      </c>
      <c r="L368" s="4" t="s">
        <v>299</v>
      </c>
      <c r="M368" s="4" t="s">
        <v>300</v>
      </c>
      <c r="N368" s="4" t="s">
        <v>11198</v>
      </c>
      <c r="O368" s="5">
        <v>76.947999999999993</v>
      </c>
      <c r="P368" s="6">
        <v>1</v>
      </c>
      <c r="Q368" s="7">
        <v>9.25</v>
      </c>
      <c r="R368" s="7">
        <v>18</v>
      </c>
      <c r="S368" s="4" t="s">
        <v>301</v>
      </c>
      <c r="T368" s="4" t="s">
        <v>302</v>
      </c>
      <c r="U368" s="5">
        <v>105.77</v>
      </c>
      <c r="V368" s="6">
        <v>0.45</v>
      </c>
      <c r="W368" s="7">
        <v>1.5</v>
      </c>
      <c r="X368" s="5">
        <v>35.406999999999996</v>
      </c>
      <c r="Y368" s="4" t="s">
        <v>292</v>
      </c>
      <c r="Z368" s="6">
        <v>1</v>
      </c>
      <c r="AA368" s="6">
        <v>1</v>
      </c>
      <c r="AB368" s="5">
        <v>35.406999999999996</v>
      </c>
      <c r="AC368" s="6">
        <v>1</v>
      </c>
      <c r="AD368" s="6">
        <v>1</v>
      </c>
      <c r="AE368" s="5">
        <v>35.406999999999996</v>
      </c>
      <c r="AF368" s="7">
        <v>10</v>
      </c>
      <c r="AG368" s="7">
        <v>18</v>
      </c>
      <c r="AH368" s="7">
        <v>9.25</v>
      </c>
      <c r="AI368" s="7">
        <v>0</v>
      </c>
      <c r="AJ368" s="7">
        <v>0</v>
      </c>
      <c r="AK368" s="8">
        <v>44115.512650462966</v>
      </c>
      <c r="AL368" s="7">
        <v>4.76</v>
      </c>
      <c r="AM368" s="7">
        <v>100</v>
      </c>
      <c r="AN368" s="7">
        <v>0</v>
      </c>
      <c r="AO368" s="7">
        <v>8.57</v>
      </c>
      <c r="AP368" s="7">
        <v>4.41</v>
      </c>
      <c r="AQ368" s="7">
        <v>0</v>
      </c>
      <c r="AR368" s="7">
        <v>0.79</v>
      </c>
      <c r="AS368" s="4" t="s">
        <v>303</v>
      </c>
      <c r="AT368" s="7">
        <v>0</v>
      </c>
      <c r="AU368" s="4" t="s">
        <v>522</v>
      </c>
      <c r="AV368" s="4" t="s">
        <v>305</v>
      </c>
      <c r="AW368" s="4" t="s">
        <v>292</v>
      </c>
    </row>
    <row r="369" spans="1:49" s="4" customFormat="1" x14ac:dyDescent="0.25">
      <c r="A369" s="4" t="s">
        <v>11207</v>
      </c>
      <c r="B369" s="4" t="s">
        <v>293</v>
      </c>
      <c r="C369" s="4" t="s">
        <v>520</v>
      </c>
      <c r="D369" s="4" t="s">
        <v>521</v>
      </c>
      <c r="F369" s="4" t="s">
        <v>11236</v>
      </c>
      <c r="G369" s="4" t="s">
        <v>11237</v>
      </c>
      <c r="I369" s="4" t="s">
        <v>296</v>
      </c>
      <c r="J369" s="4" t="s">
        <v>297</v>
      </c>
      <c r="K369" s="4" t="s">
        <v>298</v>
      </c>
      <c r="L369" s="4" t="s">
        <v>299</v>
      </c>
      <c r="M369" s="4" t="s">
        <v>300</v>
      </c>
      <c r="N369" s="4" t="s">
        <v>11238</v>
      </c>
      <c r="O369" s="5">
        <v>35.409999999999997</v>
      </c>
      <c r="P369" s="6">
        <v>1</v>
      </c>
      <c r="Q369" s="7">
        <v>9.25</v>
      </c>
      <c r="R369" s="7">
        <v>7</v>
      </c>
      <c r="S369" s="4" t="s">
        <v>301</v>
      </c>
      <c r="T369" s="4" t="s">
        <v>302</v>
      </c>
      <c r="U369" s="5">
        <v>42.280999999999999</v>
      </c>
      <c r="V369" s="6">
        <v>0.25</v>
      </c>
      <c r="W369" s="7">
        <v>3</v>
      </c>
      <c r="X369" s="5">
        <v>14.23</v>
      </c>
      <c r="Y369" s="4" t="s">
        <v>292</v>
      </c>
      <c r="Z369" s="6">
        <v>4</v>
      </c>
      <c r="AA369" s="6">
        <v>1</v>
      </c>
      <c r="AB369" s="5">
        <v>56.92</v>
      </c>
      <c r="AC369" s="6">
        <v>1</v>
      </c>
      <c r="AD369" s="6">
        <v>1</v>
      </c>
      <c r="AE369" s="5">
        <v>56.92</v>
      </c>
      <c r="AF369" s="5">
        <v>56.92</v>
      </c>
      <c r="AG369" s="7">
        <v>7</v>
      </c>
      <c r="AH369" s="7">
        <v>0</v>
      </c>
      <c r="AI369" s="7">
        <v>17</v>
      </c>
      <c r="AJ369" s="7">
        <v>0</v>
      </c>
      <c r="AK369" s="8">
        <v>44115.539375</v>
      </c>
      <c r="AL369" s="7">
        <v>1.06</v>
      </c>
      <c r="AM369" s="7">
        <v>100</v>
      </c>
      <c r="AN369" s="7">
        <v>0</v>
      </c>
      <c r="AO369" s="7">
        <v>0.74</v>
      </c>
      <c r="AP369" s="7">
        <v>0</v>
      </c>
      <c r="AQ369" s="7">
        <v>2.19</v>
      </c>
      <c r="AR369" s="7">
        <v>0.41</v>
      </c>
      <c r="AS369" s="4" t="s">
        <v>303</v>
      </c>
      <c r="AT369" s="7">
        <v>0</v>
      </c>
      <c r="AU369" s="4" t="s">
        <v>522</v>
      </c>
      <c r="AV369" s="4" t="s">
        <v>305</v>
      </c>
    </row>
    <row r="370" spans="1:49" s="4" customFormat="1" x14ac:dyDescent="0.25">
      <c r="A370" s="4" t="s">
        <v>11201</v>
      </c>
      <c r="B370" s="4" t="s">
        <v>293</v>
      </c>
      <c r="C370" s="4" t="s">
        <v>523</v>
      </c>
      <c r="D370" s="4" t="s">
        <v>524</v>
      </c>
      <c r="F370" s="4" t="s">
        <v>11462</v>
      </c>
      <c r="G370" s="4" t="s">
        <v>11463</v>
      </c>
      <c r="I370" s="4" t="s">
        <v>296</v>
      </c>
      <c r="J370" s="4" t="s">
        <v>297</v>
      </c>
      <c r="K370" s="4" t="s">
        <v>298</v>
      </c>
      <c r="L370" s="4" t="s">
        <v>299</v>
      </c>
      <c r="M370" s="4" t="s">
        <v>300</v>
      </c>
      <c r="N370" s="4" t="s">
        <v>11198</v>
      </c>
      <c r="O370" s="5">
        <v>85.284999999999997</v>
      </c>
      <c r="P370" s="6">
        <v>1</v>
      </c>
      <c r="Q370" s="7">
        <v>9.25</v>
      </c>
      <c r="R370" s="7">
        <v>12</v>
      </c>
      <c r="S370" s="4" t="s">
        <v>301</v>
      </c>
      <c r="T370" s="4" t="s">
        <v>302</v>
      </c>
      <c r="U370" s="5">
        <v>108.298</v>
      </c>
      <c r="V370" s="6">
        <v>0.45</v>
      </c>
      <c r="W370" s="7">
        <v>1.5</v>
      </c>
      <c r="X370" s="5">
        <v>39.183999999999997</v>
      </c>
      <c r="Y370" s="4" t="s">
        <v>292</v>
      </c>
      <c r="Z370" s="6">
        <v>1</v>
      </c>
      <c r="AA370" s="6">
        <v>1</v>
      </c>
      <c r="AB370" s="5">
        <v>39.183999999999997</v>
      </c>
      <c r="AC370" s="6">
        <v>1</v>
      </c>
      <c r="AD370" s="6">
        <v>1</v>
      </c>
      <c r="AE370" s="5">
        <v>39.183999999999997</v>
      </c>
      <c r="AF370" s="7">
        <v>10</v>
      </c>
      <c r="AG370" s="7">
        <v>12</v>
      </c>
      <c r="AH370" s="7">
        <v>9.25</v>
      </c>
      <c r="AI370" s="7">
        <v>0</v>
      </c>
      <c r="AJ370" s="7">
        <v>0</v>
      </c>
      <c r="AK370" s="8">
        <v>44115.52008101852</v>
      </c>
      <c r="AL370" s="7">
        <v>4.87</v>
      </c>
      <c r="AM370" s="7">
        <v>100</v>
      </c>
      <c r="AN370" s="7">
        <v>0</v>
      </c>
      <c r="AO370" s="7">
        <v>5.85</v>
      </c>
      <c r="AP370" s="7">
        <v>4.5</v>
      </c>
      <c r="AQ370" s="7">
        <v>0</v>
      </c>
      <c r="AR370" s="7">
        <v>0.8</v>
      </c>
      <c r="AS370" s="4" t="s">
        <v>303</v>
      </c>
      <c r="AT370" s="7">
        <v>0</v>
      </c>
      <c r="AU370" s="4" t="s">
        <v>525</v>
      </c>
      <c r="AV370" s="4" t="s">
        <v>305</v>
      </c>
      <c r="AW370" s="4" t="s">
        <v>292</v>
      </c>
    </row>
    <row r="371" spans="1:49" s="4" customFormat="1" x14ac:dyDescent="0.25">
      <c r="A371" s="4" t="s">
        <v>11199</v>
      </c>
      <c r="B371" s="4" t="s">
        <v>293</v>
      </c>
      <c r="C371" s="4" t="s">
        <v>523</v>
      </c>
      <c r="D371" s="4" t="s">
        <v>524</v>
      </c>
      <c r="F371" s="4" t="s">
        <v>11462</v>
      </c>
      <c r="G371" s="4" t="s">
        <v>11463</v>
      </c>
      <c r="I371" s="4" t="s">
        <v>296</v>
      </c>
      <c r="J371" s="4" t="s">
        <v>297</v>
      </c>
      <c r="K371" s="4" t="s">
        <v>298</v>
      </c>
      <c r="L371" s="4" t="s">
        <v>299</v>
      </c>
      <c r="M371" s="4" t="s">
        <v>300</v>
      </c>
      <c r="N371" s="4" t="s">
        <v>11198</v>
      </c>
      <c r="O371" s="5">
        <v>85.284999999999997</v>
      </c>
      <c r="P371" s="6">
        <v>1</v>
      </c>
      <c r="Q371" s="7">
        <v>9.25</v>
      </c>
      <c r="R371" s="7">
        <v>7</v>
      </c>
      <c r="S371" s="4" t="s">
        <v>301</v>
      </c>
      <c r="T371" s="4" t="s">
        <v>302</v>
      </c>
      <c r="U371" s="5">
        <v>101.833</v>
      </c>
      <c r="V371" s="6">
        <v>0.45</v>
      </c>
      <c r="W371" s="7">
        <v>2</v>
      </c>
      <c r="X371" s="5">
        <v>39.384999999999998</v>
      </c>
      <c r="Y371" s="4" t="s">
        <v>292</v>
      </c>
      <c r="Z371" s="6">
        <v>1</v>
      </c>
      <c r="AA371" s="6">
        <v>1</v>
      </c>
      <c r="AB371" s="5">
        <v>39.384999999999998</v>
      </c>
      <c r="AC371" s="6">
        <v>1</v>
      </c>
      <c r="AD371" s="6">
        <v>1</v>
      </c>
      <c r="AE371" s="5">
        <v>39.384999999999998</v>
      </c>
      <c r="AF371" s="7">
        <v>10</v>
      </c>
      <c r="AG371" s="7">
        <v>7</v>
      </c>
      <c r="AH371" s="7">
        <v>9.25</v>
      </c>
      <c r="AI371" s="7">
        <v>0</v>
      </c>
      <c r="AJ371" s="7">
        <v>0</v>
      </c>
      <c r="AK371" s="8">
        <v>44115.527696759258</v>
      </c>
      <c r="AL371" s="7">
        <v>4.58</v>
      </c>
      <c r="AM371" s="7">
        <v>100</v>
      </c>
      <c r="AN371" s="7">
        <v>0</v>
      </c>
      <c r="AO371" s="7">
        <v>3.21</v>
      </c>
      <c r="AP371" s="7">
        <v>4.24</v>
      </c>
      <c r="AQ371" s="7">
        <v>0</v>
      </c>
      <c r="AR371" s="7">
        <v>1.01</v>
      </c>
      <c r="AS371" s="4" t="s">
        <v>303</v>
      </c>
      <c r="AT371" s="7">
        <v>0</v>
      </c>
      <c r="AU371" s="4" t="s">
        <v>525</v>
      </c>
      <c r="AV371" s="4" t="s">
        <v>305</v>
      </c>
      <c r="AW371" s="4" t="s">
        <v>292</v>
      </c>
    </row>
    <row r="372" spans="1:49" s="4" customFormat="1" x14ac:dyDescent="0.25">
      <c r="A372" s="4" t="s">
        <v>395</v>
      </c>
      <c r="B372" s="4" t="s">
        <v>293</v>
      </c>
      <c r="C372" s="4" t="s">
        <v>523</v>
      </c>
      <c r="D372" s="4" t="s">
        <v>524</v>
      </c>
      <c r="F372" s="4" t="s">
        <v>11462</v>
      </c>
      <c r="G372" s="4" t="s">
        <v>11463</v>
      </c>
      <c r="I372" s="4" t="s">
        <v>296</v>
      </c>
      <c r="J372" s="4" t="s">
        <v>297</v>
      </c>
      <c r="K372" s="4" t="s">
        <v>298</v>
      </c>
      <c r="L372" s="4" t="s">
        <v>299</v>
      </c>
      <c r="M372" s="4" t="s">
        <v>300</v>
      </c>
      <c r="N372" s="4" t="s">
        <v>447</v>
      </c>
      <c r="O372" s="5">
        <v>85.284999999999997</v>
      </c>
      <c r="P372" s="6">
        <v>1</v>
      </c>
      <c r="Q372" s="7">
        <v>9.25</v>
      </c>
      <c r="R372" s="7">
        <v>7</v>
      </c>
      <c r="S372" s="4" t="s">
        <v>301</v>
      </c>
      <c r="T372" s="4" t="s">
        <v>302</v>
      </c>
      <c r="U372" s="5">
        <v>101.833</v>
      </c>
      <c r="V372" s="6">
        <v>0.45</v>
      </c>
      <c r="W372" s="7">
        <v>4</v>
      </c>
      <c r="X372" s="5">
        <v>53.664999999999999</v>
      </c>
      <c r="Y372" s="4" t="s">
        <v>292</v>
      </c>
      <c r="Z372" s="6">
        <v>1</v>
      </c>
      <c r="AA372" s="6">
        <v>0.75272499999999998</v>
      </c>
      <c r="AB372" s="5">
        <v>53.664999999999999</v>
      </c>
      <c r="AC372" s="6">
        <v>1</v>
      </c>
      <c r="AD372" s="6">
        <v>0.75272499999999998</v>
      </c>
      <c r="AE372" s="5">
        <v>53.664999999999999</v>
      </c>
      <c r="AF372" s="7">
        <v>10</v>
      </c>
      <c r="AG372" s="7">
        <v>7</v>
      </c>
      <c r="AH372" s="7">
        <v>9.25</v>
      </c>
      <c r="AI372" s="7">
        <v>17</v>
      </c>
      <c r="AJ372" s="7">
        <v>0</v>
      </c>
      <c r="AK372" s="8">
        <v>44115.527696759258</v>
      </c>
      <c r="AL372" s="7">
        <v>4.58</v>
      </c>
      <c r="AM372" s="7">
        <v>100</v>
      </c>
      <c r="AN372" s="7">
        <v>0</v>
      </c>
      <c r="AO372" s="7">
        <v>3.21</v>
      </c>
      <c r="AP372" s="7">
        <v>4.24</v>
      </c>
      <c r="AQ372" s="7">
        <v>9.68</v>
      </c>
      <c r="AR372" s="7">
        <v>2.4</v>
      </c>
      <c r="AS372" s="4" t="s">
        <v>303</v>
      </c>
      <c r="AT372" s="7">
        <v>0</v>
      </c>
      <c r="AU372" s="4" t="s">
        <v>525</v>
      </c>
      <c r="AV372" s="4" t="s">
        <v>305</v>
      </c>
      <c r="AW372" s="4" t="s">
        <v>292</v>
      </c>
    </row>
    <row r="373" spans="1:49" s="4" customFormat="1" x14ac:dyDescent="0.25">
      <c r="A373" s="4" t="s">
        <v>11200</v>
      </c>
      <c r="B373" s="4" t="s">
        <v>293</v>
      </c>
      <c r="C373" s="4" t="s">
        <v>523</v>
      </c>
      <c r="D373" s="4" t="s">
        <v>524</v>
      </c>
      <c r="F373" s="4" t="s">
        <v>11462</v>
      </c>
      <c r="G373" s="4" t="s">
        <v>11463</v>
      </c>
      <c r="I373" s="4" t="s">
        <v>296</v>
      </c>
      <c r="J373" s="4" t="s">
        <v>297</v>
      </c>
      <c r="K373" s="4" t="s">
        <v>298</v>
      </c>
      <c r="L373" s="4" t="s">
        <v>299</v>
      </c>
      <c r="M373" s="4" t="s">
        <v>300</v>
      </c>
      <c r="N373" s="4" t="s">
        <v>11198</v>
      </c>
      <c r="O373" s="5">
        <v>85.284999999999997</v>
      </c>
      <c r="P373" s="6">
        <v>1</v>
      </c>
      <c r="Q373" s="7">
        <v>9.25</v>
      </c>
      <c r="R373" s="7">
        <v>18</v>
      </c>
      <c r="S373" s="4" t="s">
        <v>301</v>
      </c>
      <c r="T373" s="4" t="s">
        <v>302</v>
      </c>
      <c r="U373" s="5">
        <v>117.23</v>
      </c>
      <c r="V373" s="6">
        <v>0.45</v>
      </c>
      <c r="W373" s="7">
        <v>1.5</v>
      </c>
      <c r="X373" s="5">
        <v>39.253999999999998</v>
      </c>
      <c r="Y373" s="4" t="s">
        <v>292</v>
      </c>
      <c r="Z373" s="6">
        <v>1</v>
      </c>
      <c r="AA373" s="6">
        <v>1</v>
      </c>
      <c r="AB373" s="5">
        <v>39.253999999999998</v>
      </c>
      <c r="AC373" s="6">
        <v>1</v>
      </c>
      <c r="AD373" s="6">
        <v>1</v>
      </c>
      <c r="AE373" s="5">
        <v>39.253999999999998</v>
      </c>
      <c r="AF373" s="7">
        <v>10</v>
      </c>
      <c r="AG373" s="7">
        <v>18</v>
      </c>
      <c r="AH373" s="7">
        <v>9.25</v>
      </c>
      <c r="AI373" s="7">
        <v>0</v>
      </c>
      <c r="AJ373" s="7">
        <v>0</v>
      </c>
      <c r="AK373" s="8">
        <v>44115.512650462966</v>
      </c>
      <c r="AL373" s="7">
        <v>5.27</v>
      </c>
      <c r="AM373" s="7">
        <v>100</v>
      </c>
      <c r="AN373" s="7">
        <v>0</v>
      </c>
      <c r="AO373" s="7">
        <v>9.49</v>
      </c>
      <c r="AP373" s="7">
        <v>4.88</v>
      </c>
      <c r="AQ373" s="7">
        <v>0</v>
      </c>
      <c r="AR373" s="7">
        <v>0.87</v>
      </c>
      <c r="AS373" s="4" t="s">
        <v>303</v>
      </c>
      <c r="AT373" s="7">
        <v>0</v>
      </c>
      <c r="AU373" s="4" t="s">
        <v>525</v>
      </c>
      <c r="AV373" s="4" t="s">
        <v>305</v>
      </c>
      <c r="AW373" s="4" t="s">
        <v>292</v>
      </c>
    </row>
    <row r="374" spans="1:49" s="4" customFormat="1" x14ac:dyDescent="0.25">
      <c r="A374" s="4" t="s">
        <v>11207</v>
      </c>
      <c r="B374" s="4" t="s">
        <v>293</v>
      </c>
      <c r="C374" s="4" t="s">
        <v>523</v>
      </c>
      <c r="D374" s="4" t="s">
        <v>524</v>
      </c>
      <c r="F374" s="4" t="s">
        <v>11236</v>
      </c>
      <c r="G374" s="4" t="s">
        <v>11237</v>
      </c>
      <c r="I374" s="4" t="s">
        <v>296</v>
      </c>
      <c r="J374" s="4" t="s">
        <v>297</v>
      </c>
      <c r="K374" s="4" t="s">
        <v>298</v>
      </c>
      <c r="L374" s="4" t="s">
        <v>299</v>
      </c>
      <c r="M374" s="4" t="s">
        <v>300</v>
      </c>
      <c r="N374" s="4" t="s">
        <v>11238</v>
      </c>
      <c r="O374" s="5">
        <v>39.25</v>
      </c>
      <c r="P374" s="6">
        <v>1</v>
      </c>
      <c r="Q374" s="7">
        <v>9.25</v>
      </c>
      <c r="R374" s="7">
        <v>7</v>
      </c>
      <c r="S374" s="4" t="s">
        <v>301</v>
      </c>
      <c r="T374" s="4" t="s">
        <v>302</v>
      </c>
      <c r="U374" s="5">
        <v>46.866</v>
      </c>
      <c r="V374" s="6">
        <v>0.25</v>
      </c>
      <c r="W374" s="7">
        <v>3</v>
      </c>
      <c r="X374" s="5">
        <v>15.766999999999999</v>
      </c>
      <c r="Y374" s="4" t="s">
        <v>292</v>
      </c>
      <c r="Z374" s="6">
        <v>4</v>
      </c>
      <c r="AA374" s="6">
        <v>1</v>
      </c>
      <c r="AB374" s="5">
        <v>63.067999999999998</v>
      </c>
      <c r="AC374" s="6">
        <v>1</v>
      </c>
      <c r="AD374" s="6">
        <v>1</v>
      </c>
      <c r="AE374" s="5">
        <v>63.067999999999998</v>
      </c>
      <c r="AF374" s="5">
        <v>63.067999999999998</v>
      </c>
      <c r="AG374" s="7">
        <v>7</v>
      </c>
      <c r="AH374" s="7">
        <v>0</v>
      </c>
      <c r="AI374" s="7">
        <v>17</v>
      </c>
      <c r="AJ374" s="7">
        <v>0</v>
      </c>
      <c r="AK374" s="8">
        <v>44115.539409722223</v>
      </c>
      <c r="AL374" s="7">
        <v>1.17</v>
      </c>
      <c r="AM374" s="7">
        <v>100</v>
      </c>
      <c r="AN374" s="7">
        <v>0</v>
      </c>
      <c r="AO374" s="7">
        <v>0.82</v>
      </c>
      <c r="AP374" s="7">
        <v>0</v>
      </c>
      <c r="AQ374" s="7">
        <v>2.42</v>
      </c>
      <c r="AR374" s="7">
        <v>0.46</v>
      </c>
      <c r="AS374" s="4" t="s">
        <v>303</v>
      </c>
      <c r="AT374" s="7">
        <v>0</v>
      </c>
      <c r="AU374" s="4" t="s">
        <v>525</v>
      </c>
      <c r="AV374" s="4" t="s">
        <v>305</v>
      </c>
    </row>
    <row r="375" spans="1:49" s="4" customFormat="1" x14ac:dyDescent="0.25">
      <c r="A375" s="4" t="s">
        <v>11201</v>
      </c>
      <c r="B375" s="4" t="s">
        <v>293</v>
      </c>
      <c r="C375" s="4" t="s">
        <v>526</v>
      </c>
      <c r="D375" s="4" t="s">
        <v>527</v>
      </c>
      <c r="F375" s="4" t="s">
        <v>11462</v>
      </c>
      <c r="G375" s="4" t="s">
        <v>11463</v>
      </c>
      <c r="I375" s="4" t="s">
        <v>296</v>
      </c>
      <c r="J375" s="4" t="s">
        <v>297</v>
      </c>
      <c r="K375" s="4" t="s">
        <v>298</v>
      </c>
      <c r="L375" s="4" t="s">
        <v>299</v>
      </c>
      <c r="M375" s="4" t="s">
        <v>300</v>
      </c>
      <c r="N375" s="4" t="s">
        <v>11198</v>
      </c>
      <c r="O375" s="5">
        <v>58.826000000000001</v>
      </c>
      <c r="P375" s="6">
        <v>1</v>
      </c>
      <c r="Q375" s="7">
        <v>9.25</v>
      </c>
      <c r="R375" s="7">
        <v>12</v>
      </c>
      <c r="S375" s="4" t="s">
        <v>301</v>
      </c>
      <c r="T375" s="4" t="s">
        <v>302</v>
      </c>
      <c r="U375" s="5">
        <v>74.7</v>
      </c>
      <c r="V375" s="6">
        <v>0.45</v>
      </c>
      <c r="W375" s="7">
        <v>1.5</v>
      </c>
      <c r="X375" s="5">
        <v>27.015000000000001</v>
      </c>
      <c r="Y375" s="4" t="s">
        <v>292</v>
      </c>
      <c r="Z375" s="6">
        <v>1</v>
      </c>
      <c r="AA375" s="6">
        <v>1</v>
      </c>
      <c r="AB375" s="5">
        <v>27.015000000000001</v>
      </c>
      <c r="AC375" s="6">
        <v>1</v>
      </c>
      <c r="AD375" s="6">
        <v>1</v>
      </c>
      <c r="AE375" s="5">
        <v>27.015000000000001</v>
      </c>
      <c r="AF375" s="7">
        <v>10</v>
      </c>
      <c r="AG375" s="7">
        <v>12</v>
      </c>
      <c r="AH375" s="7">
        <v>9.25</v>
      </c>
      <c r="AI375" s="7">
        <v>0</v>
      </c>
      <c r="AJ375" s="7">
        <v>0</v>
      </c>
      <c r="AK375" s="8">
        <v>44115.520196759258</v>
      </c>
      <c r="AL375" s="7">
        <v>3.36</v>
      </c>
      <c r="AM375" s="7">
        <v>100</v>
      </c>
      <c r="AN375" s="7">
        <v>0</v>
      </c>
      <c r="AO375" s="7">
        <v>4.04</v>
      </c>
      <c r="AP375" s="7">
        <v>3.11</v>
      </c>
      <c r="AQ375" s="7">
        <v>0</v>
      </c>
      <c r="AR375" s="7">
        <v>0.55000000000000004</v>
      </c>
      <c r="AS375" s="4" t="s">
        <v>303</v>
      </c>
      <c r="AT375" s="7">
        <v>0</v>
      </c>
      <c r="AU375" s="4" t="s">
        <v>528</v>
      </c>
      <c r="AV375" s="4" t="s">
        <v>305</v>
      </c>
      <c r="AW375" s="4" t="s">
        <v>292</v>
      </c>
    </row>
    <row r="376" spans="1:49" s="4" customFormat="1" x14ac:dyDescent="0.25">
      <c r="A376" s="4" t="s">
        <v>11199</v>
      </c>
      <c r="B376" s="4" t="s">
        <v>293</v>
      </c>
      <c r="C376" s="4" t="s">
        <v>526</v>
      </c>
      <c r="D376" s="4" t="s">
        <v>527</v>
      </c>
      <c r="F376" s="4" t="s">
        <v>11462</v>
      </c>
      <c r="G376" s="4" t="s">
        <v>11463</v>
      </c>
      <c r="I376" s="4" t="s">
        <v>296</v>
      </c>
      <c r="J376" s="4" t="s">
        <v>297</v>
      </c>
      <c r="K376" s="4" t="s">
        <v>298</v>
      </c>
      <c r="L376" s="4" t="s">
        <v>299</v>
      </c>
      <c r="M376" s="4" t="s">
        <v>300</v>
      </c>
      <c r="N376" s="4" t="s">
        <v>11198</v>
      </c>
      <c r="O376" s="5">
        <v>58.826000000000001</v>
      </c>
      <c r="P376" s="6">
        <v>1</v>
      </c>
      <c r="Q376" s="7">
        <v>9.25</v>
      </c>
      <c r="R376" s="7">
        <v>7</v>
      </c>
      <c r="S376" s="4" t="s">
        <v>301</v>
      </c>
      <c r="T376" s="4" t="s">
        <v>302</v>
      </c>
      <c r="U376" s="5">
        <v>70.239999999999995</v>
      </c>
      <c r="V376" s="6">
        <v>0.45</v>
      </c>
      <c r="W376" s="7">
        <v>2</v>
      </c>
      <c r="X376" s="5">
        <v>27.178000000000001</v>
      </c>
      <c r="Y376" s="4" t="s">
        <v>292</v>
      </c>
      <c r="Z376" s="6">
        <v>1</v>
      </c>
      <c r="AA376" s="6">
        <v>1</v>
      </c>
      <c r="AB376" s="5">
        <v>27.178000000000001</v>
      </c>
      <c r="AC376" s="6">
        <v>1</v>
      </c>
      <c r="AD376" s="6">
        <v>1</v>
      </c>
      <c r="AE376" s="5">
        <v>27.178000000000001</v>
      </c>
      <c r="AF376" s="7">
        <v>10</v>
      </c>
      <c r="AG376" s="7">
        <v>7</v>
      </c>
      <c r="AH376" s="7">
        <v>9.25</v>
      </c>
      <c r="AI376" s="7">
        <v>0</v>
      </c>
      <c r="AJ376" s="7">
        <v>0</v>
      </c>
      <c r="AK376" s="8">
        <v>44115.527789351851</v>
      </c>
      <c r="AL376" s="7">
        <v>3.16</v>
      </c>
      <c r="AM376" s="7">
        <v>100</v>
      </c>
      <c r="AN376" s="7">
        <v>0</v>
      </c>
      <c r="AO376" s="7">
        <v>2.21</v>
      </c>
      <c r="AP376" s="7">
        <v>2.92</v>
      </c>
      <c r="AQ376" s="7">
        <v>0</v>
      </c>
      <c r="AR376" s="7">
        <v>0.7</v>
      </c>
      <c r="AS376" s="4" t="s">
        <v>303</v>
      </c>
      <c r="AT376" s="7">
        <v>0</v>
      </c>
      <c r="AU376" s="4" t="s">
        <v>528</v>
      </c>
      <c r="AV376" s="4" t="s">
        <v>305</v>
      </c>
      <c r="AW376" s="4" t="s">
        <v>292</v>
      </c>
    </row>
    <row r="377" spans="1:49" s="4" customFormat="1" x14ac:dyDescent="0.25">
      <c r="A377" s="4" t="s">
        <v>395</v>
      </c>
      <c r="B377" s="4" t="s">
        <v>293</v>
      </c>
      <c r="C377" s="4" t="s">
        <v>526</v>
      </c>
      <c r="D377" s="4" t="s">
        <v>527</v>
      </c>
      <c r="F377" s="4" t="s">
        <v>11462</v>
      </c>
      <c r="G377" s="4" t="s">
        <v>11463</v>
      </c>
      <c r="I377" s="4" t="s">
        <v>296</v>
      </c>
      <c r="J377" s="4" t="s">
        <v>297</v>
      </c>
      <c r="K377" s="4" t="s">
        <v>298</v>
      </c>
      <c r="L377" s="4" t="s">
        <v>299</v>
      </c>
      <c r="M377" s="4" t="s">
        <v>300</v>
      </c>
      <c r="N377" s="4" t="s">
        <v>447</v>
      </c>
      <c r="O377" s="5">
        <v>58.826000000000001</v>
      </c>
      <c r="P377" s="6">
        <v>1</v>
      </c>
      <c r="Q377" s="7">
        <v>9.25</v>
      </c>
      <c r="R377" s="7">
        <v>7</v>
      </c>
      <c r="S377" s="4" t="s">
        <v>301</v>
      </c>
      <c r="T377" s="4" t="s">
        <v>302</v>
      </c>
      <c r="U377" s="5">
        <v>70.239999999999995</v>
      </c>
      <c r="V377" s="6">
        <v>0.45</v>
      </c>
      <c r="W377" s="7">
        <v>4</v>
      </c>
      <c r="X377" s="5">
        <v>37.027999999999999</v>
      </c>
      <c r="Y377" s="4" t="s">
        <v>292</v>
      </c>
      <c r="Z377" s="6">
        <v>1</v>
      </c>
      <c r="AA377" s="6">
        <v>0.75261999999999996</v>
      </c>
      <c r="AB377" s="5">
        <v>37.027999999999999</v>
      </c>
      <c r="AC377" s="6">
        <v>1</v>
      </c>
      <c r="AD377" s="6">
        <v>0.75261999999999996</v>
      </c>
      <c r="AE377" s="5">
        <v>37.027999999999999</v>
      </c>
      <c r="AF377" s="7">
        <v>10</v>
      </c>
      <c r="AG377" s="7">
        <v>7</v>
      </c>
      <c r="AH377" s="7">
        <v>9.25</v>
      </c>
      <c r="AI377" s="7">
        <v>17</v>
      </c>
      <c r="AJ377" s="7">
        <v>0</v>
      </c>
      <c r="AK377" s="8">
        <v>44115.527800925927</v>
      </c>
      <c r="AL377" s="7">
        <v>3.16</v>
      </c>
      <c r="AM377" s="7">
        <v>100</v>
      </c>
      <c r="AN377" s="7">
        <v>0</v>
      </c>
      <c r="AO377" s="7">
        <v>2.21</v>
      </c>
      <c r="AP377" s="7">
        <v>2.92</v>
      </c>
      <c r="AQ377" s="7">
        <v>6.68</v>
      </c>
      <c r="AR377" s="7">
        <v>1.66</v>
      </c>
      <c r="AS377" s="4" t="s">
        <v>303</v>
      </c>
      <c r="AT377" s="7">
        <v>0</v>
      </c>
      <c r="AU377" s="4" t="s">
        <v>528</v>
      </c>
      <c r="AV377" s="4" t="s">
        <v>305</v>
      </c>
      <c r="AW377" s="4" t="s">
        <v>292</v>
      </c>
    </row>
    <row r="378" spans="1:49" s="4" customFormat="1" x14ac:dyDescent="0.25">
      <c r="A378" s="4" t="s">
        <v>11200</v>
      </c>
      <c r="B378" s="4" t="s">
        <v>293</v>
      </c>
      <c r="C378" s="4" t="s">
        <v>526</v>
      </c>
      <c r="D378" s="4" t="s">
        <v>527</v>
      </c>
      <c r="F378" s="4" t="s">
        <v>11462</v>
      </c>
      <c r="G378" s="4" t="s">
        <v>11463</v>
      </c>
      <c r="I378" s="4" t="s">
        <v>296</v>
      </c>
      <c r="J378" s="4" t="s">
        <v>297</v>
      </c>
      <c r="K378" s="4" t="s">
        <v>298</v>
      </c>
      <c r="L378" s="4" t="s">
        <v>299</v>
      </c>
      <c r="M378" s="4" t="s">
        <v>300</v>
      </c>
      <c r="N378" s="4" t="s">
        <v>11198</v>
      </c>
      <c r="O378" s="5">
        <v>58.826000000000001</v>
      </c>
      <c r="P378" s="6">
        <v>1</v>
      </c>
      <c r="Q378" s="7">
        <v>9.25</v>
      </c>
      <c r="R378" s="7">
        <v>18</v>
      </c>
      <c r="S378" s="4" t="s">
        <v>301</v>
      </c>
      <c r="T378" s="4" t="s">
        <v>302</v>
      </c>
      <c r="U378" s="5">
        <v>80.86</v>
      </c>
      <c r="V378" s="6">
        <v>0.45</v>
      </c>
      <c r="W378" s="7">
        <v>1.5</v>
      </c>
      <c r="X378" s="5">
        <v>27.067</v>
      </c>
      <c r="Y378" s="4" t="s">
        <v>292</v>
      </c>
      <c r="Z378" s="6">
        <v>1</v>
      </c>
      <c r="AA378" s="6">
        <v>1</v>
      </c>
      <c r="AB378" s="5">
        <v>27.067</v>
      </c>
      <c r="AC378" s="6">
        <v>1</v>
      </c>
      <c r="AD378" s="6">
        <v>1</v>
      </c>
      <c r="AE378" s="5">
        <v>27.067</v>
      </c>
      <c r="AF378" s="7">
        <v>10</v>
      </c>
      <c r="AG378" s="7">
        <v>18</v>
      </c>
      <c r="AH378" s="7">
        <v>9.25</v>
      </c>
      <c r="AI378" s="7">
        <v>0</v>
      </c>
      <c r="AJ378" s="7">
        <v>0</v>
      </c>
      <c r="AK378" s="8">
        <v>44115.512766203705</v>
      </c>
      <c r="AL378" s="7">
        <v>3.64</v>
      </c>
      <c r="AM378" s="7">
        <v>100</v>
      </c>
      <c r="AN378" s="7">
        <v>0</v>
      </c>
      <c r="AO378" s="7">
        <v>6.55</v>
      </c>
      <c r="AP378" s="7">
        <v>3.37</v>
      </c>
      <c r="AQ378" s="7">
        <v>0</v>
      </c>
      <c r="AR378" s="7">
        <v>0.6</v>
      </c>
      <c r="AS378" s="4" t="s">
        <v>303</v>
      </c>
      <c r="AT378" s="7">
        <v>0</v>
      </c>
      <c r="AU378" s="4" t="s">
        <v>528</v>
      </c>
      <c r="AV378" s="4" t="s">
        <v>305</v>
      </c>
      <c r="AW378" s="4" t="s">
        <v>292</v>
      </c>
    </row>
    <row r="379" spans="1:49" s="4" customFormat="1" x14ac:dyDescent="0.25">
      <c r="A379" s="4" t="s">
        <v>11207</v>
      </c>
      <c r="B379" s="4" t="s">
        <v>293</v>
      </c>
      <c r="C379" s="4" t="s">
        <v>526</v>
      </c>
      <c r="D379" s="4" t="s">
        <v>527</v>
      </c>
      <c r="F379" s="4" t="s">
        <v>11236</v>
      </c>
      <c r="G379" s="4" t="s">
        <v>11237</v>
      </c>
      <c r="I379" s="4" t="s">
        <v>296</v>
      </c>
      <c r="J379" s="4" t="s">
        <v>297</v>
      </c>
      <c r="K379" s="4" t="s">
        <v>298</v>
      </c>
      <c r="L379" s="4" t="s">
        <v>299</v>
      </c>
      <c r="M379" s="4" t="s">
        <v>300</v>
      </c>
      <c r="N379" s="4" t="s">
        <v>11238</v>
      </c>
      <c r="O379" s="5">
        <v>27.07</v>
      </c>
      <c r="P379" s="6">
        <v>1</v>
      </c>
      <c r="Q379" s="7">
        <v>9.25</v>
      </c>
      <c r="R379" s="7">
        <v>7</v>
      </c>
      <c r="S379" s="4" t="s">
        <v>301</v>
      </c>
      <c r="T379" s="4" t="s">
        <v>302</v>
      </c>
      <c r="U379" s="5">
        <v>32.322000000000003</v>
      </c>
      <c r="V379" s="6">
        <v>0.25</v>
      </c>
      <c r="W379" s="7">
        <v>3</v>
      </c>
      <c r="X379" s="5">
        <v>10.881</v>
      </c>
      <c r="Y379" s="4" t="s">
        <v>292</v>
      </c>
      <c r="Z379" s="6">
        <v>4</v>
      </c>
      <c r="AA379" s="6">
        <v>1</v>
      </c>
      <c r="AB379" s="5">
        <v>43.524000000000001</v>
      </c>
      <c r="AC379" s="6">
        <v>1</v>
      </c>
      <c r="AD379" s="6">
        <v>1</v>
      </c>
      <c r="AE379" s="5">
        <v>43.524000000000001</v>
      </c>
      <c r="AF379" s="5">
        <v>43.524000000000001</v>
      </c>
      <c r="AG379" s="7">
        <v>7</v>
      </c>
      <c r="AH379" s="7">
        <v>0</v>
      </c>
      <c r="AI379" s="7">
        <v>17</v>
      </c>
      <c r="AJ379" s="7">
        <v>0</v>
      </c>
      <c r="AK379" s="8">
        <v>44115.539525462962</v>
      </c>
      <c r="AL379" s="7">
        <v>0.81</v>
      </c>
      <c r="AM379" s="7">
        <v>100</v>
      </c>
      <c r="AN379" s="7">
        <v>0</v>
      </c>
      <c r="AO379" s="7">
        <v>0.56999999999999995</v>
      </c>
      <c r="AP379" s="7">
        <v>0</v>
      </c>
      <c r="AQ379" s="7">
        <v>1.67</v>
      </c>
      <c r="AR379" s="7">
        <v>0.32</v>
      </c>
      <c r="AS379" s="4" t="s">
        <v>303</v>
      </c>
      <c r="AT379" s="7">
        <v>0</v>
      </c>
      <c r="AU379" s="4" t="s">
        <v>528</v>
      </c>
      <c r="AV379" s="4" t="s">
        <v>305</v>
      </c>
    </row>
    <row r="380" spans="1:49" s="4" customFormat="1" x14ac:dyDescent="0.25">
      <c r="A380" s="4" t="s">
        <v>11201</v>
      </c>
      <c r="B380" s="4" t="s">
        <v>293</v>
      </c>
      <c r="C380" s="4" t="s">
        <v>529</v>
      </c>
      <c r="D380" s="4" t="s">
        <v>530</v>
      </c>
      <c r="F380" s="4" t="s">
        <v>11462</v>
      </c>
      <c r="G380" s="4" t="s">
        <v>11463</v>
      </c>
      <c r="I380" s="4" t="s">
        <v>296</v>
      </c>
      <c r="J380" s="4" t="s">
        <v>297</v>
      </c>
      <c r="K380" s="4" t="s">
        <v>298</v>
      </c>
      <c r="L380" s="4" t="s">
        <v>299</v>
      </c>
      <c r="M380" s="4" t="s">
        <v>300</v>
      </c>
      <c r="N380" s="4" t="s">
        <v>11198</v>
      </c>
      <c r="O380" s="5">
        <v>70.093000000000004</v>
      </c>
      <c r="P380" s="6">
        <v>1</v>
      </c>
      <c r="Q380" s="7">
        <v>9.25</v>
      </c>
      <c r="R380" s="7">
        <v>12</v>
      </c>
      <c r="S380" s="4" t="s">
        <v>301</v>
      </c>
      <c r="T380" s="4" t="s">
        <v>302</v>
      </c>
      <c r="U380" s="5">
        <v>89.007000000000005</v>
      </c>
      <c r="V380" s="6">
        <v>0.45</v>
      </c>
      <c r="W380" s="7">
        <v>1.5</v>
      </c>
      <c r="X380" s="5">
        <v>32.203000000000003</v>
      </c>
      <c r="Y380" s="4" t="s">
        <v>292</v>
      </c>
      <c r="Z380" s="6">
        <v>1</v>
      </c>
      <c r="AA380" s="6">
        <v>1</v>
      </c>
      <c r="AB380" s="5">
        <v>32.203000000000003</v>
      </c>
      <c r="AC380" s="6">
        <v>1</v>
      </c>
      <c r="AD380" s="6">
        <v>1</v>
      </c>
      <c r="AE380" s="5">
        <v>32.203000000000003</v>
      </c>
      <c r="AF380" s="7">
        <v>10</v>
      </c>
      <c r="AG380" s="7">
        <v>12</v>
      </c>
      <c r="AH380" s="7">
        <v>9.25</v>
      </c>
      <c r="AI380" s="7">
        <v>0</v>
      </c>
      <c r="AJ380" s="7">
        <v>0</v>
      </c>
      <c r="AK380" s="8">
        <v>44115.520196759258</v>
      </c>
      <c r="AL380" s="7">
        <v>4.01</v>
      </c>
      <c r="AM380" s="7">
        <v>100</v>
      </c>
      <c r="AN380" s="7">
        <v>0</v>
      </c>
      <c r="AO380" s="7">
        <v>4.8099999999999996</v>
      </c>
      <c r="AP380" s="7">
        <v>3.7</v>
      </c>
      <c r="AQ380" s="7">
        <v>0</v>
      </c>
      <c r="AR380" s="7">
        <v>0.66</v>
      </c>
      <c r="AS380" s="4" t="s">
        <v>303</v>
      </c>
      <c r="AT380" s="7">
        <v>0</v>
      </c>
      <c r="AU380" s="4" t="s">
        <v>531</v>
      </c>
      <c r="AV380" s="4" t="s">
        <v>305</v>
      </c>
      <c r="AW380" s="4" t="s">
        <v>292</v>
      </c>
    </row>
    <row r="381" spans="1:49" s="4" customFormat="1" x14ac:dyDescent="0.25">
      <c r="A381" s="4" t="s">
        <v>11199</v>
      </c>
      <c r="B381" s="4" t="s">
        <v>293</v>
      </c>
      <c r="C381" s="4" t="s">
        <v>529</v>
      </c>
      <c r="D381" s="4" t="s">
        <v>530</v>
      </c>
      <c r="F381" s="4" t="s">
        <v>11462</v>
      </c>
      <c r="G381" s="4" t="s">
        <v>11463</v>
      </c>
      <c r="I381" s="4" t="s">
        <v>296</v>
      </c>
      <c r="J381" s="4" t="s">
        <v>297</v>
      </c>
      <c r="K381" s="4" t="s">
        <v>298</v>
      </c>
      <c r="L381" s="4" t="s">
        <v>299</v>
      </c>
      <c r="M381" s="4" t="s">
        <v>300</v>
      </c>
      <c r="N381" s="4" t="s">
        <v>11198</v>
      </c>
      <c r="O381" s="5">
        <v>70.094999999999999</v>
      </c>
      <c r="P381" s="6">
        <v>1</v>
      </c>
      <c r="Q381" s="7">
        <v>9.25</v>
      </c>
      <c r="R381" s="7">
        <v>7</v>
      </c>
      <c r="S381" s="4" t="s">
        <v>301</v>
      </c>
      <c r="T381" s="4" t="s">
        <v>302</v>
      </c>
      <c r="U381" s="5">
        <v>83.695999999999998</v>
      </c>
      <c r="V381" s="6">
        <v>0.45</v>
      </c>
      <c r="W381" s="7">
        <v>2</v>
      </c>
      <c r="X381" s="5">
        <v>32.372999999999998</v>
      </c>
      <c r="Y381" s="4" t="s">
        <v>292</v>
      </c>
      <c r="Z381" s="6">
        <v>1</v>
      </c>
      <c r="AA381" s="6">
        <v>1</v>
      </c>
      <c r="AB381" s="5">
        <v>32.372999999999998</v>
      </c>
      <c r="AC381" s="6">
        <v>1</v>
      </c>
      <c r="AD381" s="6">
        <v>1</v>
      </c>
      <c r="AE381" s="5">
        <v>32.372999999999998</v>
      </c>
      <c r="AF381" s="7">
        <v>10</v>
      </c>
      <c r="AG381" s="7">
        <v>7</v>
      </c>
      <c r="AH381" s="7">
        <v>9.25</v>
      </c>
      <c r="AI381" s="7">
        <v>0</v>
      </c>
      <c r="AJ381" s="7">
        <v>0</v>
      </c>
      <c r="AK381" s="8">
        <v>44115.527800925927</v>
      </c>
      <c r="AL381" s="7">
        <v>3.77</v>
      </c>
      <c r="AM381" s="7">
        <v>100</v>
      </c>
      <c r="AN381" s="7">
        <v>0</v>
      </c>
      <c r="AO381" s="7">
        <v>2.64</v>
      </c>
      <c r="AP381" s="7">
        <v>3.48</v>
      </c>
      <c r="AQ381" s="7">
        <v>0</v>
      </c>
      <c r="AR381" s="7">
        <v>0.83</v>
      </c>
      <c r="AS381" s="4" t="s">
        <v>303</v>
      </c>
      <c r="AT381" s="7">
        <v>0</v>
      </c>
      <c r="AU381" s="4" t="s">
        <v>531</v>
      </c>
      <c r="AV381" s="4" t="s">
        <v>305</v>
      </c>
      <c r="AW381" s="4" t="s">
        <v>292</v>
      </c>
    </row>
    <row r="382" spans="1:49" s="4" customFormat="1" x14ac:dyDescent="0.25">
      <c r="A382" s="4" t="s">
        <v>395</v>
      </c>
      <c r="B382" s="4" t="s">
        <v>293</v>
      </c>
      <c r="C382" s="4" t="s">
        <v>529</v>
      </c>
      <c r="D382" s="4" t="s">
        <v>530</v>
      </c>
      <c r="F382" s="4" t="s">
        <v>11462</v>
      </c>
      <c r="G382" s="4" t="s">
        <v>11463</v>
      </c>
      <c r="I382" s="4" t="s">
        <v>296</v>
      </c>
      <c r="J382" s="4" t="s">
        <v>297</v>
      </c>
      <c r="K382" s="4" t="s">
        <v>298</v>
      </c>
      <c r="L382" s="4" t="s">
        <v>299</v>
      </c>
      <c r="M382" s="4" t="s">
        <v>300</v>
      </c>
      <c r="N382" s="4" t="s">
        <v>447</v>
      </c>
      <c r="O382" s="5">
        <v>70.094999999999999</v>
      </c>
      <c r="P382" s="6">
        <v>1</v>
      </c>
      <c r="Q382" s="7">
        <v>9.25</v>
      </c>
      <c r="R382" s="7">
        <v>7</v>
      </c>
      <c r="S382" s="4" t="s">
        <v>301</v>
      </c>
      <c r="T382" s="4" t="s">
        <v>302</v>
      </c>
      <c r="U382" s="5">
        <v>83.695999999999998</v>
      </c>
      <c r="V382" s="6">
        <v>0.45</v>
      </c>
      <c r="W382" s="7">
        <v>4</v>
      </c>
      <c r="X382" s="5">
        <v>44.113</v>
      </c>
      <c r="Y382" s="4" t="s">
        <v>292</v>
      </c>
      <c r="Z382" s="6">
        <v>1</v>
      </c>
      <c r="AA382" s="6">
        <v>0.75268100000000004</v>
      </c>
      <c r="AB382" s="5">
        <v>44.113</v>
      </c>
      <c r="AC382" s="6">
        <v>1</v>
      </c>
      <c r="AD382" s="6">
        <v>0.75268100000000004</v>
      </c>
      <c r="AE382" s="5">
        <v>44.113</v>
      </c>
      <c r="AF382" s="7">
        <v>10</v>
      </c>
      <c r="AG382" s="7">
        <v>7</v>
      </c>
      <c r="AH382" s="7">
        <v>9.25</v>
      </c>
      <c r="AI382" s="7">
        <v>17</v>
      </c>
      <c r="AJ382" s="7">
        <v>0</v>
      </c>
      <c r="AK382" s="8">
        <v>44115.527800925927</v>
      </c>
      <c r="AL382" s="7">
        <v>3.77</v>
      </c>
      <c r="AM382" s="7">
        <v>100</v>
      </c>
      <c r="AN382" s="7">
        <v>0</v>
      </c>
      <c r="AO382" s="7">
        <v>2.64</v>
      </c>
      <c r="AP382" s="7">
        <v>3.48</v>
      </c>
      <c r="AQ382" s="7">
        <v>7.95</v>
      </c>
      <c r="AR382" s="7">
        <v>1.98</v>
      </c>
      <c r="AS382" s="4" t="s">
        <v>303</v>
      </c>
      <c r="AT382" s="7">
        <v>0</v>
      </c>
      <c r="AU382" s="4" t="s">
        <v>531</v>
      </c>
      <c r="AV382" s="4" t="s">
        <v>305</v>
      </c>
      <c r="AW382" s="4" t="s">
        <v>292</v>
      </c>
    </row>
    <row r="383" spans="1:49" s="4" customFormat="1" x14ac:dyDescent="0.25">
      <c r="A383" s="4" t="s">
        <v>11200</v>
      </c>
      <c r="B383" s="4" t="s">
        <v>293</v>
      </c>
      <c r="C383" s="4" t="s">
        <v>529</v>
      </c>
      <c r="D383" s="4" t="s">
        <v>530</v>
      </c>
      <c r="F383" s="4" t="s">
        <v>11462</v>
      </c>
      <c r="G383" s="4" t="s">
        <v>11463</v>
      </c>
      <c r="I383" s="4" t="s">
        <v>296</v>
      </c>
      <c r="J383" s="4" t="s">
        <v>297</v>
      </c>
      <c r="K383" s="4" t="s">
        <v>298</v>
      </c>
      <c r="L383" s="4" t="s">
        <v>299</v>
      </c>
      <c r="M383" s="4" t="s">
        <v>300</v>
      </c>
      <c r="N383" s="4" t="s">
        <v>11198</v>
      </c>
      <c r="O383" s="5">
        <v>70.094999999999999</v>
      </c>
      <c r="P383" s="6">
        <v>1</v>
      </c>
      <c r="Q383" s="7">
        <v>9.25</v>
      </c>
      <c r="R383" s="7">
        <v>18</v>
      </c>
      <c r="S383" s="4" t="s">
        <v>301</v>
      </c>
      <c r="T383" s="4" t="s">
        <v>302</v>
      </c>
      <c r="U383" s="5">
        <v>96.350999999999999</v>
      </c>
      <c r="V383" s="6">
        <v>0.45</v>
      </c>
      <c r="W383" s="7">
        <v>1.5</v>
      </c>
      <c r="X383" s="5">
        <v>32.247999999999998</v>
      </c>
      <c r="Y383" s="4" t="s">
        <v>292</v>
      </c>
      <c r="Z383" s="6">
        <v>1</v>
      </c>
      <c r="AA383" s="6">
        <v>1</v>
      </c>
      <c r="AB383" s="5">
        <v>32.247999999999998</v>
      </c>
      <c r="AC383" s="6">
        <v>1</v>
      </c>
      <c r="AD383" s="6">
        <v>1</v>
      </c>
      <c r="AE383" s="5">
        <v>32.247999999999998</v>
      </c>
      <c r="AF383" s="7">
        <v>10</v>
      </c>
      <c r="AG383" s="7">
        <v>18</v>
      </c>
      <c r="AH383" s="7">
        <v>9.25</v>
      </c>
      <c r="AI383" s="7">
        <v>0</v>
      </c>
      <c r="AJ383" s="7">
        <v>0</v>
      </c>
      <c r="AK383" s="8">
        <v>44115.512789351851</v>
      </c>
      <c r="AL383" s="7">
        <v>4.34</v>
      </c>
      <c r="AM383" s="7">
        <v>100</v>
      </c>
      <c r="AN383" s="7">
        <v>0</v>
      </c>
      <c r="AO383" s="7">
        <v>7.81</v>
      </c>
      <c r="AP383" s="7">
        <v>4.0199999999999996</v>
      </c>
      <c r="AQ383" s="7">
        <v>0</v>
      </c>
      <c r="AR383" s="7">
        <v>0.72</v>
      </c>
      <c r="AS383" s="4" t="s">
        <v>303</v>
      </c>
      <c r="AT383" s="7">
        <v>0</v>
      </c>
      <c r="AU383" s="4" t="s">
        <v>531</v>
      </c>
      <c r="AV383" s="4" t="s">
        <v>305</v>
      </c>
      <c r="AW383" s="4" t="s">
        <v>292</v>
      </c>
    </row>
    <row r="384" spans="1:49" s="4" customFormat="1" x14ac:dyDescent="0.25">
      <c r="A384" s="4" t="s">
        <v>11207</v>
      </c>
      <c r="B384" s="4" t="s">
        <v>293</v>
      </c>
      <c r="C384" s="4" t="s">
        <v>529</v>
      </c>
      <c r="D384" s="4" t="s">
        <v>530</v>
      </c>
      <c r="F384" s="4" t="s">
        <v>11236</v>
      </c>
      <c r="G384" s="4" t="s">
        <v>11237</v>
      </c>
      <c r="I384" s="4" t="s">
        <v>296</v>
      </c>
      <c r="J384" s="4" t="s">
        <v>297</v>
      </c>
      <c r="K384" s="4" t="s">
        <v>298</v>
      </c>
      <c r="L384" s="4" t="s">
        <v>299</v>
      </c>
      <c r="M384" s="4" t="s">
        <v>300</v>
      </c>
      <c r="N384" s="4" t="s">
        <v>11238</v>
      </c>
      <c r="O384" s="5">
        <v>32.25</v>
      </c>
      <c r="P384" s="6">
        <v>1</v>
      </c>
      <c r="Q384" s="7">
        <v>9.25</v>
      </c>
      <c r="R384" s="7">
        <v>7</v>
      </c>
      <c r="S384" s="4" t="s">
        <v>301</v>
      </c>
      <c r="T384" s="4" t="s">
        <v>302</v>
      </c>
      <c r="U384" s="5">
        <v>38.506999999999998</v>
      </c>
      <c r="V384" s="6">
        <v>0.25</v>
      </c>
      <c r="W384" s="7">
        <v>3</v>
      </c>
      <c r="X384" s="5">
        <v>12.957000000000001</v>
      </c>
      <c r="Y384" s="4" t="s">
        <v>292</v>
      </c>
      <c r="Z384" s="6">
        <v>4</v>
      </c>
      <c r="AA384" s="6">
        <v>1</v>
      </c>
      <c r="AB384" s="5">
        <v>51.828000000000003</v>
      </c>
      <c r="AC384" s="6">
        <v>1</v>
      </c>
      <c r="AD384" s="6">
        <v>1</v>
      </c>
      <c r="AE384" s="5">
        <v>51.828000000000003</v>
      </c>
      <c r="AF384" s="5">
        <v>51.828000000000003</v>
      </c>
      <c r="AG384" s="7">
        <v>7</v>
      </c>
      <c r="AH384" s="7">
        <v>0</v>
      </c>
      <c r="AI384" s="7">
        <v>17</v>
      </c>
      <c r="AJ384" s="7">
        <v>0</v>
      </c>
      <c r="AK384" s="8">
        <v>44115.539537037039</v>
      </c>
      <c r="AL384" s="7">
        <v>0.96</v>
      </c>
      <c r="AM384" s="7">
        <v>100</v>
      </c>
      <c r="AN384" s="7">
        <v>0</v>
      </c>
      <c r="AO384" s="7">
        <v>0.67</v>
      </c>
      <c r="AP384" s="7">
        <v>0</v>
      </c>
      <c r="AQ384" s="7">
        <v>1.99</v>
      </c>
      <c r="AR384" s="7">
        <v>0.38</v>
      </c>
      <c r="AS384" s="4" t="s">
        <v>303</v>
      </c>
      <c r="AT384" s="7">
        <v>0</v>
      </c>
      <c r="AU384" s="4" t="s">
        <v>531</v>
      </c>
      <c r="AV384" s="4" t="s">
        <v>305</v>
      </c>
    </row>
    <row r="385" spans="1:49" s="4" customFormat="1" x14ac:dyDescent="0.25">
      <c r="A385" s="4" t="s">
        <v>11201</v>
      </c>
      <c r="B385" s="4" t="s">
        <v>293</v>
      </c>
      <c r="C385" s="4" t="s">
        <v>532</v>
      </c>
      <c r="D385" s="4" t="s">
        <v>533</v>
      </c>
      <c r="F385" s="4" t="s">
        <v>11462</v>
      </c>
      <c r="G385" s="4" t="s">
        <v>11463</v>
      </c>
      <c r="I385" s="4" t="s">
        <v>296</v>
      </c>
      <c r="J385" s="4" t="s">
        <v>297</v>
      </c>
      <c r="K385" s="4" t="s">
        <v>298</v>
      </c>
      <c r="L385" s="4" t="s">
        <v>299</v>
      </c>
      <c r="M385" s="4" t="s">
        <v>300</v>
      </c>
      <c r="N385" s="4" t="s">
        <v>11198</v>
      </c>
      <c r="O385" s="5">
        <v>75.384</v>
      </c>
      <c r="P385" s="6">
        <v>1</v>
      </c>
      <c r="Q385" s="7">
        <v>9.25</v>
      </c>
      <c r="R385" s="7">
        <v>12</v>
      </c>
      <c r="S385" s="4" t="s">
        <v>301</v>
      </c>
      <c r="T385" s="4" t="s">
        <v>302</v>
      </c>
      <c r="U385" s="5">
        <v>95.725999999999999</v>
      </c>
      <c r="V385" s="6">
        <v>0.45</v>
      </c>
      <c r="W385" s="7">
        <v>1.5</v>
      </c>
      <c r="X385" s="5">
        <v>34.637</v>
      </c>
      <c r="Y385" s="4" t="s">
        <v>292</v>
      </c>
      <c r="Z385" s="6">
        <v>1</v>
      </c>
      <c r="AA385" s="6">
        <v>1</v>
      </c>
      <c r="AB385" s="5">
        <v>34.637</v>
      </c>
      <c r="AC385" s="6">
        <v>1</v>
      </c>
      <c r="AD385" s="6">
        <v>1</v>
      </c>
      <c r="AE385" s="5">
        <v>34.637</v>
      </c>
      <c r="AF385" s="7">
        <v>10</v>
      </c>
      <c r="AG385" s="7">
        <v>12</v>
      </c>
      <c r="AH385" s="7">
        <v>9.25</v>
      </c>
      <c r="AI385" s="7">
        <v>0</v>
      </c>
      <c r="AJ385" s="7">
        <v>0</v>
      </c>
      <c r="AK385" s="8">
        <v>44115.520196759258</v>
      </c>
      <c r="AL385" s="7">
        <v>4.3099999999999996</v>
      </c>
      <c r="AM385" s="7">
        <v>100</v>
      </c>
      <c r="AN385" s="7">
        <v>0</v>
      </c>
      <c r="AO385" s="7">
        <v>5.17</v>
      </c>
      <c r="AP385" s="7">
        <v>3.98</v>
      </c>
      <c r="AQ385" s="7">
        <v>0</v>
      </c>
      <c r="AR385" s="7">
        <v>0.71</v>
      </c>
      <c r="AS385" s="4" t="s">
        <v>303</v>
      </c>
      <c r="AT385" s="7">
        <v>0</v>
      </c>
      <c r="AU385" s="4" t="s">
        <v>534</v>
      </c>
      <c r="AV385" s="4" t="s">
        <v>305</v>
      </c>
      <c r="AW385" s="4" t="s">
        <v>292</v>
      </c>
    </row>
    <row r="386" spans="1:49" s="4" customFormat="1" x14ac:dyDescent="0.25">
      <c r="A386" s="4" t="s">
        <v>11199</v>
      </c>
      <c r="B386" s="4" t="s">
        <v>293</v>
      </c>
      <c r="C386" s="4" t="s">
        <v>532</v>
      </c>
      <c r="D386" s="4" t="s">
        <v>533</v>
      </c>
      <c r="F386" s="4" t="s">
        <v>11462</v>
      </c>
      <c r="G386" s="4" t="s">
        <v>11463</v>
      </c>
      <c r="I386" s="4" t="s">
        <v>296</v>
      </c>
      <c r="J386" s="4" t="s">
        <v>297</v>
      </c>
      <c r="K386" s="4" t="s">
        <v>298</v>
      </c>
      <c r="L386" s="4" t="s">
        <v>299</v>
      </c>
      <c r="M386" s="4" t="s">
        <v>300</v>
      </c>
      <c r="N386" s="4" t="s">
        <v>11198</v>
      </c>
      <c r="O386" s="5">
        <v>75.384</v>
      </c>
      <c r="P386" s="6">
        <v>1</v>
      </c>
      <c r="Q386" s="7">
        <v>9.25</v>
      </c>
      <c r="R386" s="7">
        <v>7</v>
      </c>
      <c r="S386" s="4" t="s">
        <v>301</v>
      </c>
      <c r="T386" s="4" t="s">
        <v>302</v>
      </c>
      <c r="U386" s="5">
        <v>90.010999999999996</v>
      </c>
      <c r="V386" s="6">
        <v>0.45</v>
      </c>
      <c r="W386" s="7">
        <v>2</v>
      </c>
      <c r="X386" s="5">
        <v>34.805</v>
      </c>
      <c r="Y386" s="4" t="s">
        <v>292</v>
      </c>
      <c r="Z386" s="6">
        <v>1</v>
      </c>
      <c r="AA386" s="6">
        <v>1</v>
      </c>
      <c r="AB386" s="5">
        <v>34.805</v>
      </c>
      <c r="AC386" s="6">
        <v>1</v>
      </c>
      <c r="AD386" s="6">
        <v>1</v>
      </c>
      <c r="AE386" s="5">
        <v>34.805</v>
      </c>
      <c r="AF386" s="7">
        <v>10</v>
      </c>
      <c r="AG386" s="7">
        <v>7</v>
      </c>
      <c r="AH386" s="7">
        <v>9.25</v>
      </c>
      <c r="AI386" s="7">
        <v>0</v>
      </c>
      <c r="AJ386" s="7">
        <v>0</v>
      </c>
      <c r="AK386" s="8">
        <v>44115.527812499997</v>
      </c>
      <c r="AL386" s="7">
        <v>4.05</v>
      </c>
      <c r="AM386" s="7">
        <v>100</v>
      </c>
      <c r="AN386" s="7">
        <v>0</v>
      </c>
      <c r="AO386" s="7">
        <v>2.84</v>
      </c>
      <c r="AP386" s="7">
        <v>3.75</v>
      </c>
      <c r="AQ386" s="7">
        <v>0</v>
      </c>
      <c r="AR386" s="7">
        <v>0.89</v>
      </c>
      <c r="AS386" s="4" t="s">
        <v>303</v>
      </c>
      <c r="AT386" s="7">
        <v>0</v>
      </c>
      <c r="AU386" s="4" t="s">
        <v>534</v>
      </c>
      <c r="AV386" s="4" t="s">
        <v>305</v>
      </c>
      <c r="AW386" s="4" t="s">
        <v>292</v>
      </c>
    </row>
    <row r="387" spans="1:49" s="4" customFormat="1" x14ac:dyDescent="0.25">
      <c r="A387" s="4" t="s">
        <v>395</v>
      </c>
      <c r="B387" s="4" t="s">
        <v>293</v>
      </c>
      <c r="C387" s="4" t="s">
        <v>532</v>
      </c>
      <c r="D387" s="4" t="s">
        <v>533</v>
      </c>
      <c r="F387" s="4" t="s">
        <v>11462</v>
      </c>
      <c r="G387" s="4" t="s">
        <v>11463</v>
      </c>
      <c r="I387" s="4" t="s">
        <v>296</v>
      </c>
      <c r="J387" s="4" t="s">
        <v>297</v>
      </c>
      <c r="K387" s="4" t="s">
        <v>298</v>
      </c>
      <c r="L387" s="4" t="s">
        <v>299</v>
      </c>
      <c r="M387" s="4" t="s">
        <v>300</v>
      </c>
      <c r="N387" s="4" t="s">
        <v>447</v>
      </c>
      <c r="O387" s="5">
        <v>75.384</v>
      </c>
      <c r="P387" s="6">
        <v>1</v>
      </c>
      <c r="Q387" s="7">
        <v>9.25</v>
      </c>
      <c r="R387" s="7">
        <v>7</v>
      </c>
      <c r="S387" s="4" t="s">
        <v>301</v>
      </c>
      <c r="T387" s="4" t="s">
        <v>302</v>
      </c>
      <c r="U387" s="5">
        <v>90.010999999999996</v>
      </c>
      <c r="V387" s="6">
        <v>0.45</v>
      </c>
      <c r="W387" s="7">
        <v>4</v>
      </c>
      <c r="X387" s="5">
        <v>47.435000000000002</v>
      </c>
      <c r="Y387" s="4" t="s">
        <v>292</v>
      </c>
      <c r="Z387" s="6">
        <v>1</v>
      </c>
      <c r="AA387" s="6">
        <v>0.75250300000000003</v>
      </c>
      <c r="AB387" s="5">
        <v>47.435000000000002</v>
      </c>
      <c r="AC387" s="6">
        <v>1</v>
      </c>
      <c r="AD387" s="6">
        <v>0.75250300000000003</v>
      </c>
      <c r="AE387" s="5">
        <v>47.435000000000002</v>
      </c>
      <c r="AF387" s="7">
        <v>10</v>
      </c>
      <c r="AG387" s="7">
        <v>7</v>
      </c>
      <c r="AH387" s="7">
        <v>9.25</v>
      </c>
      <c r="AI387" s="7">
        <v>17</v>
      </c>
      <c r="AJ387" s="7">
        <v>0</v>
      </c>
      <c r="AK387" s="8">
        <v>44115.527812499997</v>
      </c>
      <c r="AL387" s="7">
        <v>4.05</v>
      </c>
      <c r="AM387" s="7">
        <v>100</v>
      </c>
      <c r="AN387" s="7">
        <v>0</v>
      </c>
      <c r="AO387" s="7">
        <v>2.84</v>
      </c>
      <c r="AP387" s="7">
        <v>3.75</v>
      </c>
      <c r="AQ387" s="7">
        <v>8.56</v>
      </c>
      <c r="AR387" s="7">
        <v>2.12</v>
      </c>
      <c r="AS387" s="4" t="s">
        <v>303</v>
      </c>
      <c r="AT387" s="7">
        <v>0</v>
      </c>
      <c r="AU387" s="4" t="s">
        <v>534</v>
      </c>
      <c r="AV387" s="4" t="s">
        <v>305</v>
      </c>
      <c r="AW387" s="4" t="s">
        <v>292</v>
      </c>
    </row>
    <row r="388" spans="1:49" s="4" customFormat="1" x14ac:dyDescent="0.25">
      <c r="A388" s="4" t="s">
        <v>11200</v>
      </c>
      <c r="B388" s="4" t="s">
        <v>293</v>
      </c>
      <c r="C388" s="4" t="s">
        <v>532</v>
      </c>
      <c r="D388" s="4" t="s">
        <v>533</v>
      </c>
      <c r="F388" s="4" t="s">
        <v>11462</v>
      </c>
      <c r="G388" s="4" t="s">
        <v>11463</v>
      </c>
      <c r="I388" s="4" t="s">
        <v>296</v>
      </c>
      <c r="J388" s="4" t="s">
        <v>297</v>
      </c>
      <c r="K388" s="4" t="s">
        <v>298</v>
      </c>
      <c r="L388" s="4" t="s">
        <v>299</v>
      </c>
      <c r="M388" s="4" t="s">
        <v>300</v>
      </c>
      <c r="N388" s="4" t="s">
        <v>11198</v>
      </c>
      <c r="O388" s="5">
        <v>75.384</v>
      </c>
      <c r="P388" s="6">
        <v>1</v>
      </c>
      <c r="Q388" s="7">
        <v>9.25</v>
      </c>
      <c r="R388" s="7">
        <v>18</v>
      </c>
      <c r="S388" s="4" t="s">
        <v>301</v>
      </c>
      <c r="T388" s="4" t="s">
        <v>302</v>
      </c>
      <c r="U388" s="5">
        <v>103.621</v>
      </c>
      <c r="V388" s="6">
        <v>0.45</v>
      </c>
      <c r="W388" s="7">
        <v>1.5</v>
      </c>
      <c r="X388" s="5">
        <v>34.698999999999998</v>
      </c>
      <c r="Y388" s="4" t="s">
        <v>292</v>
      </c>
      <c r="Z388" s="6">
        <v>1</v>
      </c>
      <c r="AA388" s="6">
        <v>1</v>
      </c>
      <c r="AB388" s="5">
        <v>34.698999999999998</v>
      </c>
      <c r="AC388" s="6">
        <v>1</v>
      </c>
      <c r="AD388" s="6">
        <v>1</v>
      </c>
      <c r="AE388" s="5">
        <v>34.698999999999998</v>
      </c>
      <c r="AF388" s="7">
        <v>10</v>
      </c>
      <c r="AG388" s="7">
        <v>18</v>
      </c>
      <c r="AH388" s="7">
        <v>9.25</v>
      </c>
      <c r="AI388" s="7">
        <v>0</v>
      </c>
      <c r="AJ388" s="7">
        <v>0</v>
      </c>
      <c r="AK388" s="8">
        <v>44115.512800925928</v>
      </c>
      <c r="AL388" s="7">
        <v>4.66</v>
      </c>
      <c r="AM388" s="7">
        <v>100</v>
      </c>
      <c r="AN388" s="7">
        <v>0</v>
      </c>
      <c r="AO388" s="7">
        <v>8.39</v>
      </c>
      <c r="AP388" s="7">
        <v>4.3099999999999996</v>
      </c>
      <c r="AQ388" s="7">
        <v>0</v>
      </c>
      <c r="AR388" s="7">
        <v>0.77</v>
      </c>
      <c r="AS388" s="4" t="s">
        <v>303</v>
      </c>
      <c r="AT388" s="7">
        <v>0</v>
      </c>
      <c r="AU388" s="4" t="s">
        <v>534</v>
      </c>
      <c r="AV388" s="4" t="s">
        <v>305</v>
      </c>
      <c r="AW388" s="4" t="s">
        <v>292</v>
      </c>
    </row>
    <row r="389" spans="1:49" s="4" customFormat="1" x14ac:dyDescent="0.25">
      <c r="A389" s="4" t="s">
        <v>11207</v>
      </c>
      <c r="B389" s="4" t="s">
        <v>293</v>
      </c>
      <c r="C389" s="4" t="s">
        <v>532</v>
      </c>
      <c r="D389" s="4" t="s">
        <v>533</v>
      </c>
      <c r="F389" s="4" t="s">
        <v>11236</v>
      </c>
      <c r="G389" s="4" t="s">
        <v>11237</v>
      </c>
      <c r="I389" s="4" t="s">
        <v>296</v>
      </c>
      <c r="J389" s="4" t="s">
        <v>297</v>
      </c>
      <c r="K389" s="4" t="s">
        <v>298</v>
      </c>
      <c r="L389" s="4" t="s">
        <v>299</v>
      </c>
      <c r="M389" s="4" t="s">
        <v>300</v>
      </c>
      <c r="N389" s="4" t="s">
        <v>11238</v>
      </c>
      <c r="O389" s="5">
        <v>34.700000000000003</v>
      </c>
      <c r="P389" s="6">
        <v>1</v>
      </c>
      <c r="Q389" s="7">
        <v>9.25</v>
      </c>
      <c r="R389" s="7">
        <v>7</v>
      </c>
      <c r="S389" s="4" t="s">
        <v>301</v>
      </c>
      <c r="T389" s="4" t="s">
        <v>302</v>
      </c>
      <c r="U389" s="5">
        <v>41.433</v>
      </c>
      <c r="V389" s="6">
        <v>0.25</v>
      </c>
      <c r="W389" s="7">
        <v>3</v>
      </c>
      <c r="X389" s="5">
        <v>13.948</v>
      </c>
      <c r="Y389" s="4" t="s">
        <v>292</v>
      </c>
      <c r="Z389" s="6">
        <v>4</v>
      </c>
      <c r="AA389" s="6">
        <v>1</v>
      </c>
      <c r="AB389" s="5">
        <v>55.792000000000002</v>
      </c>
      <c r="AC389" s="6">
        <v>1</v>
      </c>
      <c r="AD389" s="6">
        <v>1</v>
      </c>
      <c r="AE389" s="5">
        <v>55.792000000000002</v>
      </c>
      <c r="AF389" s="5">
        <v>55.792000000000002</v>
      </c>
      <c r="AG389" s="7">
        <v>7</v>
      </c>
      <c r="AH389" s="7">
        <v>0</v>
      </c>
      <c r="AI389" s="7">
        <v>17</v>
      </c>
      <c r="AJ389" s="7">
        <v>0</v>
      </c>
      <c r="AK389" s="8">
        <v>44115.539560185185</v>
      </c>
      <c r="AL389" s="7">
        <v>1.04</v>
      </c>
      <c r="AM389" s="7">
        <v>100</v>
      </c>
      <c r="AN389" s="7">
        <v>0</v>
      </c>
      <c r="AO389" s="7">
        <v>0.72</v>
      </c>
      <c r="AP389" s="7">
        <v>0</v>
      </c>
      <c r="AQ389" s="7">
        <v>2.14</v>
      </c>
      <c r="AR389" s="7">
        <v>0.41</v>
      </c>
      <c r="AS389" s="4" t="s">
        <v>303</v>
      </c>
      <c r="AT389" s="7">
        <v>0</v>
      </c>
      <c r="AU389" s="4" t="s">
        <v>534</v>
      </c>
      <c r="AV389" s="4" t="s">
        <v>305</v>
      </c>
    </row>
    <row r="390" spans="1:49" s="4" customFormat="1" x14ac:dyDescent="0.25">
      <c r="A390" s="4" t="s">
        <v>11201</v>
      </c>
      <c r="B390" s="4" t="s">
        <v>293</v>
      </c>
      <c r="C390" s="4" t="s">
        <v>535</v>
      </c>
      <c r="D390" s="4" t="s">
        <v>536</v>
      </c>
      <c r="F390" s="4" t="s">
        <v>11462</v>
      </c>
      <c r="G390" s="4" t="s">
        <v>11463</v>
      </c>
      <c r="I390" s="4" t="s">
        <v>296</v>
      </c>
      <c r="J390" s="4" t="s">
        <v>297</v>
      </c>
      <c r="K390" s="4" t="s">
        <v>298</v>
      </c>
      <c r="L390" s="4" t="s">
        <v>299</v>
      </c>
      <c r="M390" s="4" t="s">
        <v>300</v>
      </c>
      <c r="N390" s="4" t="s">
        <v>11198</v>
      </c>
      <c r="O390" s="5">
        <v>76.117999999999995</v>
      </c>
      <c r="P390" s="6">
        <v>1</v>
      </c>
      <c r="Q390" s="7">
        <v>9.25</v>
      </c>
      <c r="R390" s="7">
        <v>12</v>
      </c>
      <c r="S390" s="4" t="s">
        <v>301</v>
      </c>
      <c r="T390" s="4" t="s">
        <v>302</v>
      </c>
      <c r="U390" s="5">
        <v>96.658000000000001</v>
      </c>
      <c r="V390" s="6">
        <v>0.45</v>
      </c>
      <c r="W390" s="7">
        <v>1.5</v>
      </c>
      <c r="X390" s="5">
        <v>34.966000000000001</v>
      </c>
      <c r="Y390" s="4" t="s">
        <v>292</v>
      </c>
      <c r="Z390" s="6">
        <v>1</v>
      </c>
      <c r="AA390" s="6">
        <v>1</v>
      </c>
      <c r="AB390" s="5">
        <v>34.966000000000001</v>
      </c>
      <c r="AC390" s="6">
        <v>1</v>
      </c>
      <c r="AD390" s="6">
        <v>1</v>
      </c>
      <c r="AE390" s="5">
        <v>34.966000000000001</v>
      </c>
      <c r="AF390" s="7">
        <v>10</v>
      </c>
      <c r="AG390" s="7">
        <v>12</v>
      </c>
      <c r="AH390" s="7">
        <v>9.25</v>
      </c>
      <c r="AI390" s="7">
        <v>0</v>
      </c>
      <c r="AJ390" s="7">
        <v>0</v>
      </c>
      <c r="AK390" s="8">
        <v>44115.520266203705</v>
      </c>
      <c r="AL390" s="7">
        <v>4.3499999999999996</v>
      </c>
      <c r="AM390" s="7">
        <v>100</v>
      </c>
      <c r="AN390" s="7">
        <v>0</v>
      </c>
      <c r="AO390" s="7">
        <v>5.22</v>
      </c>
      <c r="AP390" s="7">
        <v>4.03</v>
      </c>
      <c r="AQ390" s="7">
        <v>0</v>
      </c>
      <c r="AR390" s="7">
        <v>0.72</v>
      </c>
      <c r="AS390" s="4" t="s">
        <v>303</v>
      </c>
      <c r="AT390" s="7">
        <v>0</v>
      </c>
      <c r="AU390" s="4" t="s">
        <v>537</v>
      </c>
      <c r="AV390" s="4" t="s">
        <v>305</v>
      </c>
      <c r="AW390" s="4" t="s">
        <v>292</v>
      </c>
    </row>
    <row r="391" spans="1:49" s="4" customFormat="1" x14ac:dyDescent="0.25">
      <c r="A391" s="4" t="s">
        <v>11199</v>
      </c>
      <c r="B391" s="4" t="s">
        <v>293</v>
      </c>
      <c r="C391" s="4" t="s">
        <v>535</v>
      </c>
      <c r="D391" s="4" t="s">
        <v>536</v>
      </c>
      <c r="F391" s="4" t="s">
        <v>11462</v>
      </c>
      <c r="G391" s="4" t="s">
        <v>11463</v>
      </c>
      <c r="I391" s="4" t="s">
        <v>296</v>
      </c>
      <c r="J391" s="4" t="s">
        <v>297</v>
      </c>
      <c r="K391" s="4" t="s">
        <v>298</v>
      </c>
      <c r="L391" s="4" t="s">
        <v>299</v>
      </c>
      <c r="M391" s="4" t="s">
        <v>300</v>
      </c>
      <c r="N391" s="4" t="s">
        <v>11198</v>
      </c>
      <c r="O391" s="5">
        <v>76.117999999999995</v>
      </c>
      <c r="P391" s="6">
        <v>1</v>
      </c>
      <c r="Q391" s="7">
        <v>9.25</v>
      </c>
      <c r="R391" s="7">
        <v>7</v>
      </c>
      <c r="S391" s="4" t="s">
        <v>301</v>
      </c>
      <c r="T391" s="4" t="s">
        <v>302</v>
      </c>
      <c r="U391" s="5">
        <v>90.887</v>
      </c>
      <c r="V391" s="6">
        <v>0.45</v>
      </c>
      <c r="W391" s="7">
        <v>2</v>
      </c>
      <c r="X391" s="5">
        <v>35.158999999999999</v>
      </c>
      <c r="Y391" s="4" t="s">
        <v>292</v>
      </c>
      <c r="Z391" s="6">
        <v>1</v>
      </c>
      <c r="AA391" s="6">
        <v>1</v>
      </c>
      <c r="AB391" s="5">
        <v>35.158999999999999</v>
      </c>
      <c r="AC391" s="6">
        <v>1</v>
      </c>
      <c r="AD391" s="6">
        <v>1</v>
      </c>
      <c r="AE391" s="5">
        <v>35.158999999999999</v>
      </c>
      <c r="AF391" s="7">
        <v>10</v>
      </c>
      <c r="AG391" s="7">
        <v>7</v>
      </c>
      <c r="AH391" s="7">
        <v>9.25</v>
      </c>
      <c r="AI391" s="7">
        <v>0</v>
      </c>
      <c r="AJ391" s="7">
        <v>0</v>
      </c>
      <c r="AK391" s="8">
        <v>44115.528182870374</v>
      </c>
      <c r="AL391" s="7">
        <v>4.09</v>
      </c>
      <c r="AM391" s="7">
        <v>100</v>
      </c>
      <c r="AN391" s="7">
        <v>0</v>
      </c>
      <c r="AO391" s="7">
        <v>2.86</v>
      </c>
      <c r="AP391" s="7">
        <v>3.78</v>
      </c>
      <c r="AQ391" s="7">
        <v>0</v>
      </c>
      <c r="AR391" s="7">
        <v>0.9</v>
      </c>
      <c r="AS391" s="4" t="s">
        <v>303</v>
      </c>
      <c r="AT391" s="7">
        <v>0</v>
      </c>
      <c r="AU391" s="4" t="s">
        <v>537</v>
      </c>
      <c r="AV391" s="4" t="s">
        <v>305</v>
      </c>
      <c r="AW391" s="4" t="s">
        <v>292</v>
      </c>
    </row>
    <row r="392" spans="1:49" s="4" customFormat="1" x14ac:dyDescent="0.25">
      <c r="A392" s="4" t="s">
        <v>395</v>
      </c>
      <c r="B392" s="4" t="s">
        <v>293</v>
      </c>
      <c r="C392" s="4" t="s">
        <v>535</v>
      </c>
      <c r="D392" s="4" t="s">
        <v>536</v>
      </c>
      <c r="F392" s="4" t="s">
        <v>11462</v>
      </c>
      <c r="G392" s="4" t="s">
        <v>11463</v>
      </c>
      <c r="I392" s="4" t="s">
        <v>296</v>
      </c>
      <c r="J392" s="4" t="s">
        <v>297</v>
      </c>
      <c r="K392" s="4" t="s">
        <v>298</v>
      </c>
      <c r="L392" s="4" t="s">
        <v>299</v>
      </c>
      <c r="M392" s="4" t="s">
        <v>300</v>
      </c>
      <c r="N392" s="4" t="s">
        <v>447</v>
      </c>
      <c r="O392" s="5">
        <v>76.117999999999995</v>
      </c>
      <c r="P392" s="6">
        <v>1</v>
      </c>
      <c r="Q392" s="7">
        <v>9.25</v>
      </c>
      <c r="R392" s="7">
        <v>7</v>
      </c>
      <c r="S392" s="4" t="s">
        <v>301</v>
      </c>
      <c r="T392" s="4" t="s">
        <v>302</v>
      </c>
      <c r="U392" s="5">
        <v>90.887</v>
      </c>
      <c r="V392" s="6">
        <v>0.45</v>
      </c>
      <c r="W392" s="7">
        <v>4</v>
      </c>
      <c r="X392" s="5">
        <v>47.908999999999999</v>
      </c>
      <c r="Y392" s="4" t="s">
        <v>292</v>
      </c>
      <c r="Z392" s="6">
        <v>1</v>
      </c>
      <c r="AA392" s="6">
        <v>0.75265599999999999</v>
      </c>
      <c r="AB392" s="5">
        <v>47.908999999999999</v>
      </c>
      <c r="AC392" s="6">
        <v>1</v>
      </c>
      <c r="AD392" s="6">
        <v>0.75265599999999999</v>
      </c>
      <c r="AE392" s="5">
        <v>47.908999999999999</v>
      </c>
      <c r="AF392" s="7">
        <v>10</v>
      </c>
      <c r="AG392" s="7">
        <v>7</v>
      </c>
      <c r="AH392" s="7">
        <v>9.25</v>
      </c>
      <c r="AI392" s="7">
        <v>17</v>
      </c>
      <c r="AJ392" s="7">
        <v>0</v>
      </c>
      <c r="AK392" s="8">
        <v>44115.528194444443</v>
      </c>
      <c r="AL392" s="7">
        <v>4.09</v>
      </c>
      <c r="AM392" s="7">
        <v>100</v>
      </c>
      <c r="AN392" s="7">
        <v>0</v>
      </c>
      <c r="AO392" s="7">
        <v>2.86</v>
      </c>
      <c r="AP392" s="7">
        <v>3.78</v>
      </c>
      <c r="AQ392" s="7">
        <v>8.64</v>
      </c>
      <c r="AR392" s="7">
        <v>2.15</v>
      </c>
      <c r="AS392" s="4" t="s">
        <v>303</v>
      </c>
      <c r="AT392" s="7">
        <v>0</v>
      </c>
      <c r="AU392" s="4" t="s">
        <v>537</v>
      </c>
      <c r="AV392" s="4" t="s">
        <v>305</v>
      </c>
      <c r="AW392" s="4" t="s">
        <v>292</v>
      </c>
    </row>
    <row r="393" spans="1:49" s="4" customFormat="1" x14ac:dyDescent="0.25">
      <c r="A393" s="4" t="s">
        <v>11200</v>
      </c>
      <c r="B393" s="4" t="s">
        <v>293</v>
      </c>
      <c r="C393" s="4" t="s">
        <v>535</v>
      </c>
      <c r="D393" s="4" t="s">
        <v>536</v>
      </c>
      <c r="F393" s="4" t="s">
        <v>11462</v>
      </c>
      <c r="G393" s="4" t="s">
        <v>11463</v>
      </c>
      <c r="I393" s="4" t="s">
        <v>296</v>
      </c>
      <c r="J393" s="4" t="s">
        <v>297</v>
      </c>
      <c r="K393" s="4" t="s">
        <v>298</v>
      </c>
      <c r="L393" s="4" t="s">
        <v>299</v>
      </c>
      <c r="M393" s="4" t="s">
        <v>300</v>
      </c>
      <c r="N393" s="4" t="s">
        <v>11198</v>
      </c>
      <c r="O393" s="5">
        <v>76.117999999999995</v>
      </c>
      <c r="P393" s="6">
        <v>1</v>
      </c>
      <c r="Q393" s="7">
        <v>9.25</v>
      </c>
      <c r="R393" s="7">
        <v>18</v>
      </c>
      <c r="S393" s="4" t="s">
        <v>301</v>
      </c>
      <c r="T393" s="4" t="s">
        <v>302</v>
      </c>
      <c r="U393" s="5">
        <v>104.63</v>
      </c>
      <c r="V393" s="6">
        <v>0.45</v>
      </c>
      <c r="W393" s="7">
        <v>1.5</v>
      </c>
      <c r="X393" s="5">
        <v>35.033999999999999</v>
      </c>
      <c r="Y393" s="4" t="s">
        <v>292</v>
      </c>
      <c r="Z393" s="6">
        <v>1</v>
      </c>
      <c r="AA393" s="6">
        <v>1</v>
      </c>
      <c r="AB393" s="5">
        <v>35.033999999999999</v>
      </c>
      <c r="AC393" s="6">
        <v>1</v>
      </c>
      <c r="AD393" s="6">
        <v>1</v>
      </c>
      <c r="AE393" s="5">
        <v>35.033999999999999</v>
      </c>
      <c r="AF393" s="7">
        <v>10</v>
      </c>
      <c r="AG393" s="7">
        <v>18</v>
      </c>
      <c r="AH393" s="7">
        <v>9.25</v>
      </c>
      <c r="AI393" s="7">
        <v>0</v>
      </c>
      <c r="AJ393" s="7">
        <v>0</v>
      </c>
      <c r="AK393" s="8">
        <v>44115.512800925928</v>
      </c>
      <c r="AL393" s="7">
        <v>4.71</v>
      </c>
      <c r="AM393" s="7">
        <v>100</v>
      </c>
      <c r="AN393" s="7">
        <v>0</v>
      </c>
      <c r="AO393" s="7">
        <v>8.4700000000000006</v>
      </c>
      <c r="AP393" s="7">
        <v>4.3600000000000003</v>
      </c>
      <c r="AQ393" s="7">
        <v>0</v>
      </c>
      <c r="AR393" s="7">
        <v>0.78</v>
      </c>
      <c r="AS393" s="4" t="s">
        <v>303</v>
      </c>
      <c r="AT393" s="7">
        <v>0</v>
      </c>
      <c r="AU393" s="4" t="s">
        <v>537</v>
      </c>
      <c r="AV393" s="4" t="s">
        <v>305</v>
      </c>
      <c r="AW393" s="4" t="s">
        <v>292</v>
      </c>
    </row>
    <row r="394" spans="1:49" s="4" customFormat="1" x14ac:dyDescent="0.25">
      <c r="A394" s="4" t="s">
        <v>11207</v>
      </c>
      <c r="B394" s="4" t="s">
        <v>293</v>
      </c>
      <c r="C394" s="4" t="s">
        <v>535</v>
      </c>
      <c r="D394" s="4" t="s">
        <v>536</v>
      </c>
      <c r="F394" s="4" t="s">
        <v>11236</v>
      </c>
      <c r="G394" s="4" t="s">
        <v>11237</v>
      </c>
      <c r="I394" s="4" t="s">
        <v>296</v>
      </c>
      <c r="J394" s="4" t="s">
        <v>297</v>
      </c>
      <c r="K394" s="4" t="s">
        <v>298</v>
      </c>
      <c r="L394" s="4" t="s">
        <v>299</v>
      </c>
      <c r="M394" s="4" t="s">
        <v>300</v>
      </c>
      <c r="N394" s="4" t="s">
        <v>11238</v>
      </c>
      <c r="O394" s="5">
        <v>35.03</v>
      </c>
      <c r="P394" s="6">
        <v>1</v>
      </c>
      <c r="Q394" s="7">
        <v>9.25</v>
      </c>
      <c r="R394" s="7">
        <v>7</v>
      </c>
      <c r="S394" s="4" t="s">
        <v>301</v>
      </c>
      <c r="T394" s="4" t="s">
        <v>302</v>
      </c>
      <c r="U394" s="5">
        <v>41.826999999999998</v>
      </c>
      <c r="V394" s="6">
        <v>0.25</v>
      </c>
      <c r="W394" s="7">
        <v>3</v>
      </c>
      <c r="X394" s="5">
        <v>14.077</v>
      </c>
      <c r="Y394" s="4" t="s">
        <v>292</v>
      </c>
      <c r="Z394" s="6">
        <v>4</v>
      </c>
      <c r="AA394" s="6">
        <v>1</v>
      </c>
      <c r="AB394" s="5">
        <v>56.308</v>
      </c>
      <c r="AC394" s="6">
        <v>1</v>
      </c>
      <c r="AD394" s="6">
        <v>1</v>
      </c>
      <c r="AE394" s="5">
        <v>56.308</v>
      </c>
      <c r="AF394" s="5">
        <v>56.308</v>
      </c>
      <c r="AG394" s="7">
        <v>7</v>
      </c>
      <c r="AH394" s="7">
        <v>0</v>
      </c>
      <c r="AI394" s="7">
        <v>17</v>
      </c>
      <c r="AJ394" s="7">
        <v>0</v>
      </c>
      <c r="AK394" s="8">
        <v>44115.539641203701</v>
      </c>
      <c r="AL394" s="7">
        <v>1.05</v>
      </c>
      <c r="AM394" s="7">
        <v>100</v>
      </c>
      <c r="AN394" s="7">
        <v>0</v>
      </c>
      <c r="AO394" s="7">
        <v>0.73</v>
      </c>
      <c r="AP394" s="7">
        <v>0</v>
      </c>
      <c r="AQ394" s="7">
        <v>2.16</v>
      </c>
      <c r="AR394" s="7">
        <v>0.41</v>
      </c>
      <c r="AS394" s="4" t="s">
        <v>303</v>
      </c>
      <c r="AT394" s="7">
        <v>0</v>
      </c>
      <c r="AU394" s="4" t="s">
        <v>537</v>
      </c>
      <c r="AV394" s="4" t="s">
        <v>305</v>
      </c>
    </row>
    <row r="395" spans="1:49" s="4" customFormat="1" x14ac:dyDescent="0.25">
      <c r="A395" s="4" t="s">
        <v>11201</v>
      </c>
      <c r="B395" s="4" t="s">
        <v>293</v>
      </c>
      <c r="C395" s="4" t="s">
        <v>538</v>
      </c>
      <c r="D395" s="4" t="s">
        <v>539</v>
      </c>
      <c r="F395" s="4" t="s">
        <v>11462</v>
      </c>
      <c r="G395" s="4" t="s">
        <v>11463</v>
      </c>
      <c r="I395" s="4" t="s">
        <v>296</v>
      </c>
      <c r="J395" s="4" t="s">
        <v>297</v>
      </c>
      <c r="K395" s="4" t="s">
        <v>298</v>
      </c>
      <c r="L395" s="4" t="s">
        <v>299</v>
      </c>
      <c r="M395" s="4" t="s">
        <v>300</v>
      </c>
      <c r="N395" s="4" t="s">
        <v>11198</v>
      </c>
      <c r="O395" s="5">
        <v>93.911000000000001</v>
      </c>
      <c r="P395" s="6">
        <v>1</v>
      </c>
      <c r="Q395" s="7">
        <v>9.25</v>
      </c>
      <c r="R395" s="7">
        <v>12</v>
      </c>
      <c r="S395" s="4" t="s">
        <v>301</v>
      </c>
      <c r="T395" s="4" t="s">
        <v>302</v>
      </c>
      <c r="U395" s="5">
        <v>119.252</v>
      </c>
      <c r="V395" s="6">
        <v>0.45</v>
      </c>
      <c r="W395" s="7">
        <v>1.5</v>
      </c>
      <c r="X395" s="5">
        <v>43.143000000000001</v>
      </c>
      <c r="Y395" s="4" t="s">
        <v>292</v>
      </c>
      <c r="Z395" s="6">
        <v>1</v>
      </c>
      <c r="AA395" s="6">
        <v>1</v>
      </c>
      <c r="AB395" s="5">
        <v>43.143000000000001</v>
      </c>
      <c r="AC395" s="6">
        <v>1</v>
      </c>
      <c r="AD395" s="6">
        <v>1</v>
      </c>
      <c r="AE395" s="5">
        <v>43.143000000000001</v>
      </c>
      <c r="AF395" s="7">
        <v>10</v>
      </c>
      <c r="AG395" s="7">
        <v>12</v>
      </c>
      <c r="AH395" s="7">
        <v>9.25</v>
      </c>
      <c r="AI395" s="7">
        <v>0</v>
      </c>
      <c r="AJ395" s="7">
        <v>0</v>
      </c>
      <c r="AK395" s="8">
        <v>44115.520266203705</v>
      </c>
      <c r="AL395" s="7">
        <v>5.37</v>
      </c>
      <c r="AM395" s="7">
        <v>100</v>
      </c>
      <c r="AN395" s="7">
        <v>0</v>
      </c>
      <c r="AO395" s="7">
        <v>6.44</v>
      </c>
      <c r="AP395" s="7">
        <v>4.97</v>
      </c>
      <c r="AQ395" s="7">
        <v>0</v>
      </c>
      <c r="AR395" s="7">
        <v>0.89</v>
      </c>
      <c r="AS395" s="4" t="s">
        <v>303</v>
      </c>
      <c r="AT395" s="7">
        <v>0</v>
      </c>
      <c r="AU395" s="4" t="s">
        <v>540</v>
      </c>
      <c r="AV395" s="4" t="s">
        <v>305</v>
      </c>
      <c r="AW395" s="4" t="s">
        <v>292</v>
      </c>
    </row>
    <row r="396" spans="1:49" s="4" customFormat="1" x14ac:dyDescent="0.25">
      <c r="A396" s="4" t="s">
        <v>11199</v>
      </c>
      <c r="B396" s="4" t="s">
        <v>293</v>
      </c>
      <c r="C396" s="4" t="s">
        <v>538</v>
      </c>
      <c r="D396" s="4" t="s">
        <v>539</v>
      </c>
      <c r="F396" s="4" t="s">
        <v>11462</v>
      </c>
      <c r="G396" s="4" t="s">
        <v>11463</v>
      </c>
      <c r="I396" s="4" t="s">
        <v>296</v>
      </c>
      <c r="J396" s="4" t="s">
        <v>297</v>
      </c>
      <c r="K396" s="4" t="s">
        <v>298</v>
      </c>
      <c r="L396" s="4" t="s">
        <v>299</v>
      </c>
      <c r="M396" s="4" t="s">
        <v>300</v>
      </c>
      <c r="N396" s="4" t="s">
        <v>11198</v>
      </c>
      <c r="O396" s="5">
        <v>93.912999999999997</v>
      </c>
      <c r="P396" s="6">
        <v>1</v>
      </c>
      <c r="Q396" s="7">
        <v>9.25</v>
      </c>
      <c r="R396" s="7">
        <v>7</v>
      </c>
      <c r="S396" s="4" t="s">
        <v>301</v>
      </c>
      <c r="T396" s="4" t="s">
        <v>302</v>
      </c>
      <c r="U396" s="5">
        <v>112.13500000000001</v>
      </c>
      <c r="V396" s="6">
        <v>0.45</v>
      </c>
      <c r="W396" s="7">
        <v>2</v>
      </c>
      <c r="X396" s="5">
        <v>43.381</v>
      </c>
      <c r="Y396" s="4" t="s">
        <v>292</v>
      </c>
      <c r="Z396" s="6">
        <v>1</v>
      </c>
      <c r="AA396" s="6">
        <v>1</v>
      </c>
      <c r="AB396" s="5">
        <v>43.381</v>
      </c>
      <c r="AC396" s="6">
        <v>1</v>
      </c>
      <c r="AD396" s="6">
        <v>1</v>
      </c>
      <c r="AE396" s="5">
        <v>43.381</v>
      </c>
      <c r="AF396" s="7">
        <v>10</v>
      </c>
      <c r="AG396" s="7">
        <v>7</v>
      </c>
      <c r="AH396" s="7">
        <v>9.25</v>
      </c>
      <c r="AI396" s="7">
        <v>0</v>
      </c>
      <c r="AJ396" s="7">
        <v>0</v>
      </c>
      <c r="AK396" s="8">
        <v>44115.528194444443</v>
      </c>
      <c r="AL396" s="7">
        <v>5.05</v>
      </c>
      <c r="AM396" s="7">
        <v>100</v>
      </c>
      <c r="AN396" s="7">
        <v>0</v>
      </c>
      <c r="AO396" s="7">
        <v>3.53</v>
      </c>
      <c r="AP396" s="7">
        <v>4.66</v>
      </c>
      <c r="AQ396" s="7">
        <v>0</v>
      </c>
      <c r="AR396" s="7">
        <v>1.1100000000000001</v>
      </c>
      <c r="AS396" s="4" t="s">
        <v>303</v>
      </c>
      <c r="AT396" s="7">
        <v>0</v>
      </c>
      <c r="AU396" s="4" t="s">
        <v>540</v>
      </c>
      <c r="AV396" s="4" t="s">
        <v>305</v>
      </c>
      <c r="AW396" s="4" t="s">
        <v>292</v>
      </c>
    </row>
    <row r="397" spans="1:49" s="4" customFormat="1" x14ac:dyDescent="0.25">
      <c r="A397" s="4" t="s">
        <v>395</v>
      </c>
      <c r="B397" s="4" t="s">
        <v>293</v>
      </c>
      <c r="C397" s="4" t="s">
        <v>538</v>
      </c>
      <c r="D397" s="4" t="s">
        <v>539</v>
      </c>
      <c r="F397" s="4" t="s">
        <v>11462</v>
      </c>
      <c r="G397" s="4" t="s">
        <v>11463</v>
      </c>
      <c r="I397" s="4" t="s">
        <v>296</v>
      </c>
      <c r="J397" s="4" t="s">
        <v>297</v>
      </c>
      <c r="K397" s="4" t="s">
        <v>298</v>
      </c>
      <c r="L397" s="4" t="s">
        <v>299</v>
      </c>
      <c r="M397" s="4" t="s">
        <v>300</v>
      </c>
      <c r="N397" s="4" t="s">
        <v>447</v>
      </c>
      <c r="O397" s="5">
        <v>93.912999999999997</v>
      </c>
      <c r="P397" s="6">
        <v>1</v>
      </c>
      <c r="Q397" s="7">
        <v>9.25</v>
      </c>
      <c r="R397" s="7">
        <v>7</v>
      </c>
      <c r="S397" s="4" t="s">
        <v>301</v>
      </c>
      <c r="T397" s="4" t="s">
        <v>302</v>
      </c>
      <c r="U397" s="5">
        <v>112.13500000000001</v>
      </c>
      <c r="V397" s="6">
        <v>0.45</v>
      </c>
      <c r="W397" s="7">
        <v>4</v>
      </c>
      <c r="X397" s="5">
        <v>59.110999999999997</v>
      </c>
      <c r="Y397" s="4" t="s">
        <v>292</v>
      </c>
      <c r="Z397" s="6">
        <v>1</v>
      </c>
      <c r="AA397" s="6">
        <v>0.75266900000000003</v>
      </c>
      <c r="AB397" s="5">
        <v>59.110999999999997</v>
      </c>
      <c r="AC397" s="6">
        <v>1</v>
      </c>
      <c r="AD397" s="6">
        <v>0.75266900000000003</v>
      </c>
      <c r="AE397" s="5">
        <v>59.110999999999997</v>
      </c>
      <c r="AF397" s="7">
        <v>10</v>
      </c>
      <c r="AG397" s="7">
        <v>7</v>
      </c>
      <c r="AH397" s="7">
        <v>9.25</v>
      </c>
      <c r="AI397" s="7">
        <v>17</v>
      </c>
      <c r="AJ397" s="7">
        <v>0</v>
      </c>
      <c r="AK397" s="8">
        <v>44115.528194444443</v>
      </c>
      <c r="AL397" s="7">
        <v>5.05</v>
      </c>
      <c r="AM397" s="7">
        <v>100</v>
      </c>
      <c r="AN397" s="7">
        <v>0</v>
      </c>
      <c r="AO397" s="7">
        <v>3.53</v>
      </c>
      <c r="AP397" s="7">
        <v>4.66</v>
      </c>
      <c r="AQ397" s="7">
        <v>10.66</v>
      </c>
      <c r="AR397" s="7">
        <v>2.65</v>
      </c>
      <c r="AS397" s="4" t="s">
        <v>303</v>
      </c>
      <c r="AT397" s="7">
        <v>0</v>
      </c>
      <c r="AU397" s="4" t="s">
        <v>540</v>
      </c>
      <c r="AV397" s="4" t="s">
        <v>305</v>
      </c>
      <c r="AW397" s="4" t="s">
        <v>292</v>
      </c>
    </row>
    <row r="398" spans="1:49" s="4" customFormat="1" x14ac:dyDescent="0.25">
      <c r="A398" s="4" t="s">
        <v>11200</v>
      </c>
      <c r="B398" s="4" t="s">
        <v>293</v>
      </c>
      <c r="C398" s="4" t="s">
        <v>538</v>
      </c>
      <c r="D398" s="4" t="s">
        <v>539</v>
      </c>
      <c r="F398" s="4" t="s">
        <v>11462</v>
      </c>
      <c r="G398" s="4" t="s">
        <v>11463</v>
      </c>
      <c r="I398" s="4" t="s">
        <v>296</v>
      </c>
      <c r="J398" s="4" t="s">
        <v>297</v>
      </c>
      <c r="K398" s="4" t="s">
        <v>298</v>
      </c>
      <c r="L398" s="4" t="s">
        <v>299</v>
      </c>
      <c r="M398" s="4" t="s">
        <v>300</v>
      </c>
      <c r="N398" s="4" t="s">
        <v>11198</v>
      </c>
      <c r="O398" s="5">
        <v>93.912999999999997</v>
      </c>
      <c r="P398" s="6">
        <v>1</v>
      </c>
      <c r="Q398" s="7">
        <v>9.25</v>
      </c>
      <c r="R398" s="7">
        <v>18</v>
      </c>
      <c r="S398" s="4" t="s">
        <v>301</v>
      </c>
      <c r="T398" s="4" t="s">
        <v>302</v>
      </c>
      <c r="U398" s="5">
        <v>129.09</v>
      </c>
      <c r="V398" s="6">
        <v>0.45</v>
      </c>
      <c r="W398" s="7">
        <v>1.5</v>
      </c>
      <c r="X398" s="5">
        <v>43.220999999999997</v>
      </c>
      <c r="Y398" s="4" t="s">
        <v>292</v>
      </c>
      <c r="Z398" s="6">
        <v>1</v>
      </c>
      <c r="AA398" s="6">
        <v>1</v>
      </c>
      <c r="AB398" s="5">
        <v>43.220999999999997</v>
      </c>
      <c r="AC398" s="6">
        <v>1</v>
      </c>
      <c r="AD398" s="6">
        <v>1</v>
      </c>
      <c r="AE398" s="5">
        <v>43.220999999999997</v>
      </c>
      <c r="AF398" s="7">
        <v>10</v>
      </c>
      <c r="AG398" s="7">
        <v>18</v>
      </c>
      <c r="AH398" s="7">
        <v>9.25</v>
      </c>
      <c r="AI398" s="7">
        <v>0</v>
      </c>
      <c r="AJ398" s="7">
        <v>0</v>
      </c>
      <c r="AK398" s="8">
        <v>44115.512800925928</v>
      </c>
      <c r="AL398" s="7">
        <v>5.81</v>
      </c>
      <c r="AM398" s="7">
        <v>100</v>
      </c>
      <c r="AN398" s="7">
        <v>0</v>
      </c>
      <c r="AO398" s="7">
        <v>10.46</v>
      </c>
      <c r="AP398" s="7">
        <v>5.37</v>
      </c>
      <c r="AQ398" s="7">
        <v>0</v>
      </c>
      <c r="AR398" s="7">
        <v>0.96</v>
      </c>
      <c r="AS398" s="4" t="s">
        <v>303</v>
      </c>
      <c r="AT398" s="7">
        <v>0</v>
      </c>
      <c r="AU398" s="4" t="s">
        <v>540</v>
      </c>
      <c r="AV398" s="4" t="s">
        <v>305</v>
      </c>
      <c r="AW398" s="4" t="s">
        <v>292</v>
      </c>
    </row>
    <row r="399" spans="1:49" s="4" customFormat="1" x14ac:dyDescent="0.25">
      <c r="A399" s="4" t="s">
        <v>11207</v>
      </c>
      <c r="B399" s="4" t="s">
        <v>293</v>
      </c>
      <c r="C399" s="4" t="s">
        <v>538</v>
      </c>
      <c r="D399" s="4" t="s">
        <v>539</v>
      </c>
      <c r="F399" s="4" t="s">
        <v>11236</v>
      </c>
      <c r="G399" s="4" t="s">
        <v>11237</v>
      </c>
      <c r="I399" s="4" t="s">
        <v>296</v>
      </c>
      <c r="J399" s="4" t="s">
        <v>297</v>
      </c>
      <c r="K399" s="4" t="s">
        <v>298</v>
      </c>
      <c r="L399" s="4" t="s">
        <v>299</v>
      </c>
      <c r="M399" s="4" t="s">
        <v>300</v>
      </c>
      <c r="N399" s="4" t="s">
        <v>11238</v>
      </c>
      <c r="O399" s="5">
        <v>43.22</v>
      </c>
      <c r="P399" s="6">
        <v>1</v>
      </c>
      <c r="Q399" s="7">
        <v>9.25</v>
      </c>
      <c r="R399" s="7">
        <v>7</v>
      </c>
      <c r="S399" s="4" t="s">
        <v>301</v>
      </c>
      <c r="T399" s="4" t="s">
        <v>302</v>
      </c>
      <c r="U399" s="5">
        <v>51.606000000000002</v>
      </c>
      <c r="V399" s="6">
        <v>0.25</v>
      </c>
      <c r="W399" s="7">
        <v>3</v>
      </c>
      <c r="X399" s="5">
        <v>17.372</v>
      </c>
      <c r="Y399" s="4" t="s">
        <v>292</v>
      </c>
      <c r="Z399" s="6">
        <v>4</v>
      </c>
      <c r="AA399" s="6">
        <v>1</v>
      </c>
      <c r="AB399" s="5">
        <v>69.488</v>
      </c>
      <c r="AC399" s="6">
        <v>1</v>
      </c>
      <c r="AD399" s="6">
        <v>1</v>
      </c>
      <c r="AE399" s="5">
        <v>69.488</v>
      </c>
      <c r="AF399" s="5">
        <v>69.488</v>
      </c>
      <c r="AG399" s="7">
        <v>7</v>
      </c>
      <c r="AH399" s="7">
        <v>0</v>
      </c>
      <c r="AI399" s="7">
        <v>17</v>
      </c>
      <c r="AJ399" s="7">
        <v>0</v>
      </c>
      <c r="AK399" s="8">
        <v>44115.539652777778</v>
      </c>
      <c r="AL399" s="7">
        <v>1.29</v>
      </c>
      <c r="AM399" s="7">
        <v>100</v>
      </c>
      <c r="AN399" s="7">
        <v>0</v>
      </c>
      <c r="AO399" s="7">
        <v>0.9</v>
      </c>
      <c r="AP399" s="7">
        <v>0</v>
      </c>
      <c r="AQ399" s="7">
        <v>2.67</v>
      </c>
      <c r="AR399" s="7">
        <v>0.51</v>
      </c>
      <c r="AS399" s="4" t="s">
        <v>303</v>
      </c>
      <c r="AT399" s="7">
        <v>0</v>
      </c>
      <c r="AU399" s="4" t="s">
        <v>540</v>
      </c>
      <c r="AV399" s="4" t="s">
        <v>305</v>
      </c>
    </row>
    <row r="400" spans="1:49" s="4" customFormat="1" x14ac:dyDescent="0.25">
      <c r="A400" s="4" t="s">
        <v>11201</v>
      </c>
      <c r="B400" s="4" t="s">
        <v>293</v>
      </c>
      <c r="C400" s="4" t="s">
        <v>541</v>
      </c>
      <c r="D400" s="4" t="s">
        <v>542</v>
      </c>
      <c r="F400" s="4" t="s">
        <v>11462</v>
      </c>
      <c r="G400" s="4" t="s">
        <v>11463</v>
      </c>
      <c r="I400" s="4" t="s">
        <v>296</v>
      </c>
      <c r="J400" s="4" t="s">
        <v>297</v>
      </c>
      <c r="K400" s="4" t="s">
        <v>298</v>
      </c>
      <c r="L400" s="4" t="s">
        <v>299</v>
      </c>
      <c r="M400" s="4" t="s">
        <v>300</v>
      </c>
      <c r="N400" s="4" t="s">
        <v>11198</v>
      </c>
      <c r="O400" s="5">
        <v>100.977</v>
      </c>
      <c r="P400" s="6">
        <v>1</v>
      </c>
      <c r="Q400" s="7">
        <v>9.25</v>
      </c>
      <c r="R400" s="7">
        <v>12</v>
      </c>
      <c r="S400" s="4" t="s">
        <v>301</v>
      </c>
      <c r="T400" s="4" t="s">
        <v>302</v>
      </c>
      <c r="U400" s="5">
        <v>128.22499999999999</v>
      </c>
      <c r="V400" s="6">
        <v>0.45</v>
      </c>
      <c r="W400" s="7">
        <v>1.5</v>
      </c>
      <c r="X400" s="5">
        <v>46.390999999999998</v>
      </c>
      <c r="Y400" s="4" t="s">
        <v>292</v>
      </c>
      <c r="Z400" s="6">
        <v>1</v>
      </c>
      <c r="AA400" s="6">
        <v>1</v>
      </c>
      <c r="AB400" s="5">
        <v>46.390999999999998</v>
      </c>
      <c r="AC400" s="6">
        <v>1</v>
      </c>
      <c r="AD400" s="6">
        <v>1</v>
      </c>
      <c r="AE400" s="5">
        <v>46.390999999999998</v>
      </c>
      <c r="AF400" s="7">
        <v>10</v>
      </c>
      <c r="AG400" s="7">
        <v>12</v>
      </c>
      <c r="AH400" s="7">
        <v>9.25</v>
      </c>
      <c r="AI400" s="7">
        <v>0</v>
      </c>
      <c r="AJ400" s="7">
        <v>0</v>
      </c>
      <c r="AK400" s="8">
        <v>44115.520266203705</v>
      </c>
      <c r="AL400" s="7">
        <v>5.77</v>
      </c>
      <c r="AM400" s="7">
        <v>100</v>
      </c>
      <c r="AN400" s="7">
        <v>0</v>
      </c>
      <c r="AO400" s="7">
        <v>6.92</v>
      </c>
      <c r="AP400" s="7">
        <v>5.34</v>
      </c>
      <c r="AQ400" s="7">
        <v>0</v>
      </c>
      <c r="AR400" s="7">
        <v>0.95</v>
      </c>
      <c r="AS400" s="4" t="s">
        <v>303</v>
      </c>
      <c r="AT400" s="7">
        <v>0</v>
      </c>
      <c r="AU400" s="4" t="s">
        <v>543</v>
      </c>
      <c r="AV400" s="4" t="s">
        <v>305</v>
      </c>
      <c r="AW400" s="4" t="s">
        <v>292</v>
      </c>
    </row>
    <row r="401" spans="1:49" s="4" customFormat="1" x14ac:dyDescent="0.25">
      <c r="A401" s="4" t="s">
        <v>11199</v>
      </c>
      <c r="B401" s="4" t="s">
        <v>293</v>
      </c>
      <c r="C401" s="4" t="s">
        <v>541</v>
      </c>
      <c r="D401" s="4" t="s">
        <v>542</v>
      </c>
      <c r="F401" s="4" t="s">
        <v>11462</v>
      </c>
      <c r="G401" s="4" t="s">
        <v>11463</v>
      </c>
      <c r="I401" s="4" t="s">
        <v>296</v>
      </c>
      <c r="J401" s="4" t="s">
        <v>297</v>
      </c>
      <c r="K401" s="4" t="s">
        <v>298</v>
      </c>
      <c r="L401" s="4" t="s">
        <v>299</v>
      </c>
      <c r="M401" s="4" t="s">
        <v>300</v>
      </c>
      <c r="N401" s="4" t="s">
        <v>11198</v>
      </c>
      <c r="O401" s="5">
        <v>100.977</v>
      </c>
      <c r="P401" s="6">
        <v>1</v>
      </c>
      <c r="Q401" s="7">
        <v>9.25</v>
      </c>
      <c r="R401" s="7">
        <v>7</v>
      </c>
      <c r="S401" s="4" t="s">
        <v>301</v>
      </c>
      <c r="T401" s="4" t="s">
        <v>302</v>
      </c>
      <c r="U401" s="5">
        <v>120.57</v>
      </c>
      <c r="V401" s="6">
        <v>0.45</v>
      </c>
      <c r="W401" s="7">
        <v>2</v>
      </c>
      <c r="X401" s="5">
        <v>46.627000000000002</v>
      </c>
      <c r="Y401" s="4" t="s">
        <v>292</v>
      </c>
      <c r="Z401" s="6">
        <v>1</v>
      </c>
      <c r="AA401" s="6">
        <v>1</v>
      </c>
      <c r="AB401" s="5">
        <v>46.627000000000002</v>
      </c>
      <c r="AC401" s="6">
        <v>1</v>
      </c>
      <c r="AD401" s="6">
        <v>1</v>
      </c>
      <c r="AE401" s="5">
        <v>46.627000000000002</v>
      </c>
      <c r="AF401" s="7">
        <v>10</v>
      </c>
      <c r="AG401" s="7">
        <v>7</v>
      </c>
      <c r="AH401" s="7">
        <v>9.25</v>
      </c>
      <c r="AI401" s="7">
        <v>0</v>
      </c>
      <c r="AJ401" s="7">
        <v>0</v>
      </c>
      <c r="AK401" s="8">
        <v>44115.528194444443</v>
      </c>
      <c r="AL401" s="7">
        <v>5.43</v>
      </c>
      <c r="AM401" s="7">
        <v>100</v>
      </c>
      <c r="AN401" s="7">
        <v>0</v>
      </c>
      <c r="AO401" s="7">
        <v>3.8</v>
      </c>
      <c r="AP401" s="7">
        <v>5.0199999999999996</v>
      </c>
      <c r="AQ401" s="7">
        <v>0</v>
      </c>
      <c r="AR401" s="7">
        <v>1.19</v>
      </c>
      <c r="AS401" s="4" t="s">
        <v>303</v>
      </c>
      <c r="AT401" s="7">
        <v>0</v>
      </c>
      <c r="AU401" s="4" t="s">
        <v>543</v>
      </c>
      <c r="AV401" s="4" t="s">
        <v>305</v>
      </c>
      <c r="AW401" s="4" t="s">
        <v>292</v>
      </c>
    </row>
    <row r="402" spans="1:49" s="4" customFormat="1" x14ac:dyDescent="0.25">
      <c r="A402" s="4" t="s">
        <v>395</v>
      </c>
      <c r="B402" s="4" t="s">
        <v>293</v>
      </c>
      <c r="C402" s="4" t="s">
        <v>541</v>
      </c>
      <c r="D402" s="4" t="s">
        <v>542</v>
      </c>
      <c r="F402" s="4" t="s">
        <v>11462</v>
      </c>
      <c r="G402" s="4" t="s">
        <v>11463</v>
      </c>
      <c r="I402" s="4" t="s">
        <v>296</v>
      </c>
      <c r="J402" s="4" t="s">
        <v>297</v>
      </c>
      <c r="K402" s="4" t="s">
        <v>298</v>
      </c>
      <c r="L402" s="4" t="s">
        <v>299</v>
      </c>
      <c r="M402" s="4" t="s">
        <v>300</v>
      </c>
      <c r="N402" s="4" t="s">
        <v>447</v>
      </c>
      <c r="O402" s="5">
        <v>100.977</v>
      </c>
      <c r="P402" s="6">
        <v>1</v>
      </c>
      <c r="Q402" s="7">
        <v>9.25</v>
      </c>
      <c r="R402" s="7">
        <v>7</v>
      </c>
      <c r="S402" s="4" t="s">
        <v>301</v>
      </c>
      <c r="T402" s="4" t="s">
        <v>302</v>
      </c>
      <c r="U402" s="5">
        <v>120.57</v>
      </c>
      <c r="V402" s="6">
        <v>0.45</v>
      </c>
      <c r="W402" s="7">
        <v>4</v>
      </c>
      <c r="X402" s="5">
        <v>63.546999999999997</v>
      </c>
      <c r="Y402" s="4" t="s">
        <v>292</v>
      </c>
      <c r="Z402" s="6">
        <v>1</v>
      </c>
      <c r="AA402" s="6">
        <v>0.75262399999999996</v>
      </c>
      <c r="AB402" s="5">
        <v>63.546999999999997</v>
      </c>
      <c r="AC402" s="6">
        <v>1</v>
      </c>
      <c r="AD402" s="6">
        <v>0.75262399999999996</v>
      </c>
      <c r="AE402" s="5">
        <v>63.546999999999997</v>
      </c>
      <c r="AF402" s="7">
        <v>10</v>
      </c>
      <c r="AG402" s="7">
        <v>7</v>
      </c>
      <c r="AH402" s="7">
        <v>9.25</v>
      </c>
      <c r="AI402" s="7">
        <v>17</v>
      </c>
      <c r="AJ402" s="7">
        <v>0</v>
      </c>
      <c r="AK402" s="8">
        <v>44115.528240740743</v>
      </c>
      <c r="AL402" s="7">
        <v>5.43</v>
      </c>
      <c r="AM402" s="7">
        <v>100</v>
      </c>
      <c r="AN402" s="7">
        <v>0</v>
      </c>
      <c r="AO402" s="7">
        <v>3.8</v>
      </c>
      <c r="AP402" s="7">
        <v>5.0199999999999996</v>
      </c>
      <c r="AQ402" s="7">
        <v>11.46</v>
      </c>
      <c r="AR402" s="7">
        <v>2.85</v>
      </c>
      <c r="AS402" s="4" t="s">
        <v>303</v>
      </c>
      <c r="AT402" s="7">
        <v>0</v>
      </c>
      <c r="AU402" s="4" t="s">
        <v>543</v>
      </c>
      <c r="AV402" s="4" t="s">
        <v>305</v>
      </c>
      <c r="AW402" s="4" t="s">
        <v>292</v>
      </c>
    </row>
    <row r="403" spans="1:49" s="4" customFormat="1" x14ac:dyDescent="0.25">
      <c r="A403" s="4" t="s">
        <v>11200</v>
      </c>
      <c r="B403" s="4" t="s">
        <v>293</v>
      </c>
      <c r="C403" s="4" t="s">
        <v>541</v>
      </c>
      <c r="D403" s="4" t="s">
        <v>542</v>
      </c>
      <c r="F403" s="4" t="s">
        <v>11462</v>
      </c>
      <c r="G403" s="4" t="s">
        <v>11463</v>
      </c>
      <c r="I403" s="4" t="s">
        <v>296</v>
      </c>
      <c r="J403" s="4" t="s">
        <v>297</v>
      </c>
      <c r="K403" s="4" t="s">
        <v>298</v>
      </c>
      <c r="L403" s="4" t="s">
        <v>299</v>
      </c>
      <c r="M403" s="4" t="s">
        <v>300</v>
      </c>
      <c r="N403" s="4" t="s">
        <v>11198</v>
      </c>
      <c r="O403" s="5">
        <v>100.977</v>
      </c>
      <c r="P403" s="6">
        <v>1</v>
      </c>
      <c r="Q403" s="7">
        <v>9.25</v>
      </c>
      <c r="R403" s="7">
        <v>18</v>
      </c>
      <c r="S403" s="4" t="s">
        <v>301</v>
      </c>
      <c r="T403" s="4" t="s">
        <v>302</v>
      </c>
      <c r="U403" s="5">
        <v>138.80000000000001</v>
      </c>
      <c r="V403" s="6">
        <v>0.45</v>
      </c>
      <c r="W403" s="7">
        <v>1.5</v>
      </c>
      <c r="X403" s="5">
        <v>46.47</v>
      </c>
      <c r="Y403" s="4" t="s">
        <v>292</v>
      </c>
      <c r="Z403" s="6">
        <v>1</v>
      </c>
      <c r="AA403" s="6">
        <v>1</v>
      </c>
      <c r="AB403" s="5">
        <v>46.47</v>
      </c>
      <c r="AC403" s="6">
        <v>1</v>
      </c>
      <c r="AD403" s="6">
        <v>1</v>
      </c>
      <c r="AE403" s="5">
        <v>46.47</v>
      </c>
      <c r="AF403" s="7">
        <v>10</v>
      </c>
      <c r="AG403" s="7">
        <v>18</v>
      </c>
      <c r="AH403" s="7">
        <v>9.25</v>
      </c>
      <c r="AI403" s="7">
        <v>0</v>
      </c>
      <c r="AJ403" s="7">
        <v>0</v>
      </c>
      <c r="AK403" s="8">
        <v>44115.512800925928</v>
      </c>
      <c r="AL403" s="7">
        <v>6.25</v>
      </c>
      <c r="AM403" s="7">
        <v>100</v>
      </c>
      <c r="AN403" s="7">
        <v>0</v>
      </c>
      <c r="AO403" s="7">
        <v>11.24</v>
      </c>
      <c r="AP403" s="7">
        <v>5.78</v>
      </c>
      <c r="AQ403" s="7">
        <v>0</v>
      </c>
      <c r="AR403" s="7">
        <v>1.03</v>
      </c>
      <c r="AS403" s="4" t="s">
        <v>303</v>
      </c>
      <c r="AT403" s="7">
        <v>0</v>
      </c>
      <c r="AU403" s="4" t="s">
        <v>543</v>
      </c>
      <c r="AV403" s="4" t="s">
        <v>305</v>
      </c>
      <c r="AW403" s="4" t="s">
        <v>292</v>
      </c>
    </row>
    <row r="404" spans="1:49" s="4" customFormat="1" x14ac:dyDescent="0.25">
      <c r="A404" s="4" t="s">
        <v>11207</v>
      </c>
      <c r="B404" s="4" t="s">
        <v>293</v>
      </c>
      <c r="C404" s="4" t="s">
        <v>541</v>
      </c>
      <c r="D404" s="4" t="s">
        <v>542</v>
      </c>
      <c r="F404" s="4" t="s">
        <v>11236</v>
      </c>
      <c r="G404" s="4" t="s">
        <v>11237</v>
      </c>
      <c r="I404" s="4" t="s">
        <v>296</v>
      </c>
      <c r="J404" s="4" t="s">
        <v>297</v>
      </c>
      <c r="K404" s="4" t="s">
        <v>298</v>
      </c>
      <c r="L404" s="4" t="s">
        <v>299</v>
      </c>
      <c r="M404" s="4" t="s">
        <v>300</v>
      </c>
      <c r="N404" s="4" t="s">
        <v>11238</v>
      </c>
      <c r="O404" s="5">
        <v>46.47</v>
      </c>
      <c r="P404" s="6">
        <v>1</v>
      </c>
      <c r="Q404" s="7">
        <v>9.25</v>
      </c>
      <c r="R404" s="7">
        <v>7</v>
      </c>
      <c r="S404" s="4" t="s">
        <v>301</v>
      </c>
      <c r="T404" s="4" t="s">
        <v>302</v>
      </c>
      <c r="U404" s="5">
        <v>55.487000000000002</v>
      </c>
      <c r="V404" s="6">
        <v>0.25</v>
      </c>
      <c r="W404" s="7">
        <v>3</v>
      </c>
      <c r="X404" s="5">
        <v>18.672000000000001</v>
      </c>
      <c r="Y404" s="4" t="s">
        <v>292</v>
      </c>
      <c r="Z404" s="6">
        <v>4</v>
      </c>
      <c r="AA404" s="6">
        <v>1</v>
      </c>
      <c r="AB404" s="5">
        <v>74.688000000000002</v>
      </c>
      <c r="AC404" s="6">
        <v>1</v>
      </c>
      <c r="AD404" s="6">
        <v>1</v>
      </c>
      <c r="AE404" s="5">
        <v>74.688000000000002</v>
      </c>
      <c r="AF404" s="5">
        <v>74.688000000000002</v>
      </c>
      <c r="AG404" s="7">
        <v>7</v>
      </c>
      <c r="AH404" s="7">
        <v>0</v>
      </c>
      <c r="AI404" s="7">
        <v>17</v>
      </c>
      <c r="AJ404" s="7">
        <v>0</v>
      </c>
      <c r="AK404" s="8">
        <v>44115.539675925924</v>
      </c>
      <c r="AL404" s="7">
        <v>1.39</v>
      </c>
      <c r="AM404" s="7">
        <v>100</v>
      </c>
      <c r="AN404" s="7">
        <v>0</v>
      </c>
      <c r="AO404" s="7">
        <v>0.97</v>
      </c>
      <c r="AP404" s="7">
        <v>0</v>
      </c>
      <c r="AQ404" s="7">
        <v>2.87</v>
      </c>
      <c r="AR404" s="7">
        <v>0.54</v>
      </c>
      <c r="AS404" s="4" t="s">
        <v>303</v>
      </c>
      <c r="AT404" s="7">
        <v>0</v>
      </c>
      <c r="AU404" s="4" t="s">
        <v>543</v>
      </c>
      <c r="AV404" s="4" t="s">
        <v>305</v>
      </c>
    </row>
    <row r="405" spans="1:49" s="4" customFormat="1" x14ac:dyDescent="0.25">
      <c r="A405" s="4" t="s">
        <v>11201</v>
      </c>
      <c r="B405" s="4" t="s">
        <v>293</v>
      </c>
      <c r="C405" s="4" t="s">
        <v>544</v>
      </c>
      <c r="D405" s="4" t="s">
        <v>545</v>
      </c>
      <c r="F405" s="4" t="s">
        <v>11462</v>
      </c>
      <c r="G405" s="4" t="s">
        <v>11463</v>
      </c>
      <c r="I405" s="4" t="s">
        <v>296</v>
      </c>
      <c r="J405" s="4" t="s">
        <v>297</v>
      </c>
      <c r="K405" s="4" t="s">
        <v>298</v>
      </c>
      <c r="L405" s="4" t="s">
        <v>299</v>
      </c>
      <c r="M405" s="4" t="s">
        <v>300</v>
      </c>
      <c r="N405" s="4" t="s">
        <v>11198</v>
      </c>
      <c r="O405" s="5">
        <v>104.682</v>
      </c>
      <c r="P405" s="6">
        <v>1</v>
      </c>
      <c r="Q405" s="7">
        <v>9.25</v>
      </c>
      <c r="R405" s="7">
        <v>12</v>
      </c>
      <c r="S405" s="4" t="s">
        <v>301</v>
      </c>
      <c r="T405" s="4" t="s">
        <v>302</v>
      </c>
      <c r="U405" s="5">
        <v>132.93</v>
      </c>
      <c r="V405" s="6">
        <v>0.45</v>
      </c>
      <c r="W405" s="7">
        <v>1.5</v>
      </c>
      <c r="X405" s="5">
        <v>48.088999999999999</v>
      </c>
      <c r="Y405" s="4" t="s">
        <v>292</v>
      </c>
      <c r="Z405" s="6">
        <v>1</v>
      </c>
      <c r="AA405" s="6">
        <v>1</v>
      </c>
      <c r="AB405" s="5">
        <v>48.088999999999999</v>
      </c>
      <c r="AC405" s="6">
        <v>1</v>
      </c>
      <c r="AD405" s="6">
        <v>1</v>
      </c>
      <c r="AE405" s="5">
        <v>48.088999999999999</v>
      </c>
      <c r="AF405" s="7">
        <v>10</v>
      </c>
      <c r="AG405" s="7">
        <v>12</v>
      </c>
      <c r="AH405" s="7">
        <v>9.25</v>
      </c>
      <c r="AI405" s="7">
        <v>0</v>
      </c>
      <c r="AJ405" s="7">
        <v>0</v>
      </c>
      <c r="AK405" s="8">
        <v>44115.520335648151</v>
      </c>
      <c r="AL405" s="7">
        <v>5.98</v>
      </c>
      <c r="AM405" s="7">
        <v>100</v>
      </c>
      <c r="AN405" s="7">
        <v>0</v>
      </c>
      <c r="AO405" s="7">
        <v>7.18</v>
      </c>
      <c r="AP405" s="7">
        <v>5.54</v>
      </c>
      <c r="AQ405" s="7">
        <v>0</v>
      </c>
      <c r="AR405" s="7">
        <v>0.99</v>
      </c>
      <c r="AS405" s="4" t="s">
        <v>303</v>
      </c>
      <c r="AT405" s="7">
        <v>0</v>
      </c>
      <c r="AU405" s="4" t="s">
        <v>546</v>
      </c>
      <c r="AV405" s="4" t="s">
        <v>305</v>
      </c>
      <c r="AW405" s="4" t="s">
        <v>292</v>
      </c>
    </row>
    <row r="406" spans="1:49" s="4" customFormat="1" x14ac:dyDescent="0.25">
      <c r="A406" s="4" t="s">
        <v>11199</v>
      </c>
      <c r="B406" s="4" t="s">
        <v>293</v>
      </c>
      <c r="C406" s="4" t="s">
        <v>544</v>
      </c>
      <c r="D406" s="4" t="s">
        <v>545</v>
      </c>
      <c r="F406" s="4" t="s">
        <v>11462</v>
      </c>
      <c r="G406" s="4" t="s">
        <v>11463</v>
      </c>
      <c r="I406" s="4" t="s">
        <v>296</v>
      </c>
      <c r="J406" s="4" t="s">
        <v>297</v>
      </c>
      <c r="K406" s="4" t="s">
        <v>298</v>
      </c>
      <c r="L406" s="4" t="s">
        <v>299</v>
      </c>
      <c r="M406" s="4" t="s">
        <v>300</v>
      </c>
      <c r="N406" s="4" t="s">
        <v>11198</v>
      </c>
      <c r="O406" s="5">
        <v>104.68</v>
      </c>
      <c r="P406" s="6">
        <v>1</v>
      </c>
      <c r="Q406" s="7">
        <v>9.25</v>
      </c>
      <c r="R406" s="7">
        <v>7</v>
      </c>
      <c r="S406" s="4" t="s">
        <v>301</v>
      </c>
      <c r="T406" s="4" t="s">
        <v>302</v>
      </c>
      <c r="U406" s="5">
        <v>124.991</v>
      </c>
      <c r="V406" s="6">
        <v>0.45</v>
      </c>
      <c r="W406" s="7">
        <v>2</v>
      </c>
      <c r="X406" s="5">
        <v>48.335999999999999</v>
      </c>
      <c r="Y406" s="4" t="s">
        <v>292</v>
      </c>
      <c r="Z406" s="6">
        <v>1</v>
      </c>
      <c r="AA406" s="6">
        <v>1</v>
      </c>
      <c r="AB406" s="5">
        <v>48.335999999999999</v>
      </c>
      <c r="AC406" s="6">
        <v>1</v>
      </c>
      <c r="AD406" s="6">
        <v>1</v>
      </c>
      <c r="AE406" s="5">
        <v>48.335999999999999</v>
      </c>
      <c r="AF406" s="7">
        <v>10</v>
      </c>
      <c r="AG406" s="7">
        <v>7</v>
      </c>
      <c r="AH406" s="7">
        <v>9.25</v>
      </c>
      <c r="AI406" s="7">
        <v>0</v>
      </c>
      <c r="AJ406" s="7">
        <v>0</v>
      </c>
      <c r="AK406" s="8">
        <v>44115.528402777774</v>
      </c>
      <c r="AL406" s="7">
        <v>5.63</v>
      </c>
      <c r="AM406" s="7">
        <v>100</v>
      </c>
      <c r="AN406" s="7">
        <v>0</v>
      </c>
      <c r="AO406" s="7">
        <v>3.94</v>
      </c>
      <c r="AP406" s="7">
        <v>5.21</v>
      </c>
      <c r="AQ406" s="7">
        <v>0</v>
      </c>
      <c r="AR406" s="7">
        <v>1.24</v>
      </c>
      <c r="AS406" s="4" t="s">
        <v>303</v>
      </c>
      <c r="AT406" s="7">
        <v>0</v>
      </c>
      <c r="AU406" s="4" t="s">
        <v>546</v>
      </c>
      <c r="AV406" s="4" t="s">
        <v>305</v>
      </c>
      <c r="AW406" s="4" t="s">
        <v>292</v>
      </c>
    </row>
    <row r="407" spans="1:49" s="4" customFormat="1" x14ac:dyDescent="0.25">
      <c r="A407" s="4" t="s">
        <v>395</v>
      </c>
      <c r="B407" s="4" t="s">
        <v>293</v>
      </c>
      <c r="C407" s="4" t="s">
        <v>544</v>
      </c>
      <c r="D407" s="4" t="s">
        <v>545</v>
      </c>
      <c r="F407" s="4" t="s">
        <v>11462</v>
      </c>
      <c r="G407" s="4" t="s">
        <v>11463</v>
      </c>
      <c r="I407" s="4" t="s">
        <v>296</v>
      </c>
      <c r="J407" s="4" t="s">
        <v>297</v>
      </c>
      <c r="K407" s="4" t="s">
        <v>298</v>
      </c>
      <c r="L407" s="4" t="s">
        <v>299</v>
      </c>
      <c r="M407" s="4" t="s">
        <v>300</v>
      </c>
      <c r="N407" s="4" t="s">
        <v>447</v>
      </c>
      <c r="O407" s="5">
        <v>104.68</v>
      </c>
      <c r="P407" s="6">
        <v>1</v>
      </c>
      <c r="Q407" s="7">
        <v>9.25</v>
      </c>
      <c r="R407" s="7">
        <v>7</v>
      </c>
      <c r="S407" s="4" t="s">
        <v>301</v>
      </c>
      <c r="T407" s="4" t="s">
        <v>302</v>
      </c>
      <c r="U407" s="5">
        <v>124.991</v>
      </c>
      <c r="V407" s="6">
        <v>0.45</v>
      </c>
      <c r="W407" s="7">
        <v>4</v>
      </c>
      <c r="X407" s="5">
        <v>65.866</v>
      </c>
      <c r="Y407" s="4" t="s">
        <v>292</v>
      </c>
      <c r="Z407" s="6">
        <v>1</v>
      </c>
      <c r="AA407" s="6">
        <v>0.75268000000000002</v>
      </c>
      <c r="AB407" s="5">
        <v>65.866</v>
      </c>
      <c r="AC407" s="6">
        <v>1</v>
      </c>
      <c r="AD407" s="6">
        <v>0.75268000000000002</v>
      </c>
      <c r="AE407" s="5">
        <v>65.866</v>
      </c>
      <c r="AF407" s="7">
        <v>10</v>
      </c>
      <c r="AG407" s="7">
        <v>7</v>
      </c>
      <c r="AH407" s="7">
        <v>9.25</v>
      </c>
      <c r="AI407" s="7">
        <v>17</v>
      </c>
      <c r="AJ407" s="7">
        <v>0</v>
      </c>
      <c r="AK407" s="8">
        <v>44115.528402777774</v>
      </c>
      <c r="AL407" s="7">
        <v>5.63</v>
      </c>
      <c r="AM407" s="7">
        <v>100</v>
      </c>
      <c r="AN407" s="7">
        <v>0</v>
      </c>
      <c r="AO407" s="7">
        <v>3.94</v>
      </c>
      <c r="AP407" s="7">
        <v>5.21</v>
      </c>
      <c r="AQ407" s="7">
        <v>11.88</v>
      </c>
      <c r="AR407" s="7">
        <v>2.95</v>
      </c>
      <c r="AS407" s="4" t="s">
        <v>303</v>
      </c>
      <c r="AT407" s="7">
        <v>0</v>
      </c>
      <c r="AU407" s="4" t="s">
        <v>546</v>
      </c>
      <c r="AV407" s="4" t="s">
        <v>305</v>
      </c>
      <c r="AW407" s="4" t="s">
        <v>292</v>
      </c>
    </row>
    <row r="408" spans="1:49" s="4" customFormat="1" x14ac:dyDescent="0.25">
      <c r="A408" s="4" t="s">
        <v>11200</v>
      </c>
      <c r="B408" s="4" t="s">
        <v>293</v>
      </c>
      <c r="C408" s="4" t="s">
        <v>544</v>
      </c>
      <c r="D408" s="4" t="s">
        <v>545</v>
      </c>
      <c r="F408" s="4" t="s">
        <v>11462</v>
      </c>
      <c r="G408" s="4" t="s">
        <v>11463</v>
      </c>
      <c r="I408" s="4" t="s">
        <v>296</v>
      </c>
      <c r="J408" s="4" t="s">
        <v>297</v>
      </c>
      <c r="K408" s="4" t="s">
        <v>298</v>
      </c>
      <c r="L408" s="4" t="s">
        <v>299</v>
      </c>
      <c r="M408" s="4" t="s">
        <v>300</v>
      </c>
      <c r="N408" s="4" t="s">
        <v>11198</v>
      </c>
      <c r="O408" s="5">
        <v>104.68</v>
      </c>
      <c r="P408" s="6">
        <v>1</v>
      </c>
      <c r="Q408" s="7">
        <v>9.25</v>
      </c>
      <c r="R408" s="7">
        <v>18</v>
      </c>
      <c r="S408" s="4" t="s">
        <v>301</v>
      </c>
      <c r="T408" s="4" t="s">
        <v>302</v>
      </c>
      <c r="U408" s="5">
        <v>143.88999999999999</v>
      </c>
      <c r="V408" s="6">
        <v>0.45</v>
      </c>
      <c r="W408" s="7">
        <v>1.5</v>
      </c>
      <c r="X408" s="5">
        <v>48.180999999999997</v>
      </c>
      <c r="Y408" s="4" t="s">
        <v>292</v>
      </c>
      <c r="Z408" s="6">
        <v>1</v>
      </c>
      <c r="AA408" s="6">
        <v>1</v>
      </c>
      <c r="AB408" s="5">
        <v>48.180999999999997</v>
      </c>
      <c r="AC408" s="6">
        <v>1</v>
      </c>
      <c r="AD408" s="6">
        <v>1</v>
      </c>
      <c r="AE408" s="5">
        <v>48.180999999999997</v>
      </c>
      <c r="AF408" s="7">
        <v>10</v>
      </c>
      <c r="AG408" s="7">
        <v>18</v>
      </c>
      <c r="AH408" s="7">
        <v>9.25</v>
      </c>
      <c r="AI408" s="7">
        <v>0</v>
      </c>
      <c r="AJ408" s="7">
        <v>0</v>
      </c>
      <c r="AK408" s="8">
        <v>44115.51289351852</v>
      </c>
      <c r="AL408" s="7">
        <v>6.47</v>
      </c>
      <c r="AM408" s="7">
        <v>100</v>
      </c>
      <c r="AN408" s="7">
        <v>0</v>
      </c>
      <c r="AO408" s="7">
        <v>11.65</v>
      </c>
      <c r="AP408" s="7">
        <v>5.99</v>
      </c>
      <c r="AQ408" s="7">
        <v>0</v>
      </c>
      <c r="AR408" s="7">
        <v>1.07</v>
      </c>
      <c r="AS408" s="4" t="s">
        <v>303</v>
      </c>
      <c r="AT408" s="7">
        <v>0</v>
      </c>
      <c r="AU408" s="4" t="s">
        <v>546</v>
      </c>
      <c r="AV408" s="4" t="s">
        <v>305</v>
      </c>
      <c r="AW408" s="4" t="s">
        <v>292</v>
      </c>
    </row>
    <row r="409" spans="1:49" s="4" customFormat="1" x14ac:dyDescent="0.25">
      <c r="A409" s="4" t="s">
        <v>11207</v>
      </c>
      <c r="B409" s="4" t="s">
        <v>293</v>
      </c>
      <c r="C409" s="4" t="s">
        <v>544</v>
      </c>
      <c r="D409" s="4" t="s">
        <v>545</v>
      </c>
      <c r="F409" s="4" t="s">
        <v>11236</v>
      </c>
      <c r="G409" s="4" t="s">
        <v>11237</v>
      </c>
      <c r="I409" s="4" t="s">
        <v>296</v>
      </c>
      <c r="J409" s="4" t="s">
        <v>297</v>
      </c>
      <c r="K409" s="4" t="s">
        <v>298</v>
      </c>
      <c r="L409" s="4" t="s">
        <v>299</v>
      </c>
      <c r="M409" s="4" t="s">
        <v>300</v>
      </c>
      <c r="N409" s="4" t="s">
        <v>11238</v>
      </c>
      <c r="O409" s="5">
        <v>48.18</v>
      </c>
      <c r="P409" s="6">
        <v>1</v>
      </c>
      <c r="Q409" s="7">
        <v>9.25</v>
      </c>
      <c r="R409" s="7">
        <v>7</v>
      </c>
      <c r="S409" s="4" t="s">
        <v>301</v>
      </c>
      <c r="T409" s="4" t="s">
        <v>302</v>
      </c>
      <c r="U409" s="5">
        <v>57.527999999999999</v>
      </c>
      <c r="V409" s="6">
        <v>0.25</v>
      </c>
      <c r="W409" s="7">
        <v>3</v>
      </c>
      <c r="X409" s="5">
        <v>19.352</v>
      </c>
      <c r="Y409" s="4" t="s">
        <v>292</v>
      </c>
      <c r="Z409" s="6">
        <v>4</v>
      </c>
      <c r="AA409" s="6">
        <v>1</v>
      </c>
      <c r="AB409" s="5">
        <v>77.408000000000001</v>
      </c>
      <c r="AC409" s="6">
        <v>1</v>
      </c>
      <c r="AD409" s="6">
        <v>1</v>
      </c>
      <c r="AE409" s="5">
        <v>77.408000000000001</v>
      </c>
      <c r="AF409" s="5">
        <v>77.408000000000001</v>
      </c>
      <c r="AG409" s="7">
        <v>7</v>
      </c>
      <c r="AH409" s="7">
        <v>0</v>
      </c>
      <c r="AI409" s="7">
        <v>17</v>
      </c>
      <c r="AJ409" s="7">
        <v>0</v>
      </c>
      <c r="AK409" s="8">
        <v>44115.539768518516</v>
      </c>
      <c r="AL409" s="7">
        <v>1.44</v>
      </c>
      <c r="AM409" s="7">
        <v>100</v>
      </c>
      <c r="AN409" s="7">
        <v>0</v>
      </c>
      <c r="AO409" s="7">
        <v>1.01</v>
      </c>
      <c r="AP409" s="7">
        <v>0</v>
      </c>
      <c r="AQ409" s="7">
        <v>2.97</v>
      </c>
      <c r="AR409" s="7">
        <v>0.56000000000000005</v>
      </c>
      <c r="AS409" s="4" t="s">
        <v>303</v>
      </c>
      <c r="AT409" s="7">
        <v>0</v>
      </c>
      <c r="AU409" s="4" t="s">
        <v>546</v>
      </c>
      <c r="AV409" s="4" t="s">
        <v>305</v>
      </c>
    </row>
    <row r="410" spans="1:49" s="4" customFormat="1" x14ac:dyDescent="0.25">
      <c r="A410" s="4" t="s">
        <v>11201</v>
      </c>
      <c r="B410" s="4" t="s">
        <v>293</v>
      </c>
      <c r="C410" s="4" t="s">
        <v>547</v>
      </c>
      <c r="D410" s="4" t="s">
        <v>548</v>
      </c>
      <c r="F410" s="4" t="s">
        <v>11462</v>
      </c>
      <c r="G410" s="4" t="s">
        <v>11463</v>
      </c>
      <c r="I410" s="4" t="s">
        <v>296</v>
      </c>
      <c r="J410" s="4" t="s">
        <v>297</v>
      </c>
      <c r="K410" s="4" t="s">
        <v>298</v>
      </c>
      <c r="L410" s="4" t="s">
        <v>299</v>
      </c>
      <c r="M410" s="4" t="s">
        <v>300</v>
      </c>
      <c r="N410" s="4" t="s">
        <v>11198</v>
      </c>
      <c r="O410" s="5">
        <v>108.28100000000001</v>
      </c>
      <c r="P410" s="6">
        <v>1</v>
      </c>
      <c r="Q410" s="7">
        <v>9.25</v>
      </c>
      <c r="R410" s="7">
        <v>12</v>
      </c>
      <c r="S410" s="4" t="s">
        <v>301</v>
      </c>
      <c r="T410" s="4" t="s">
        <v>302</v>
      </c>
      <c r="U410" s="5">
        <v>137.5</v>
      </c>
      <c r="V410" s="6">
        <v>0.45</v>
      </c>
      <c r="W410" s="7">
        <v>1.5</v>
      </c>
      <c r="X410" s="5">
        <v>49.744999999999997</v>
      </c>
      <c r="Y410" s="4" t="s">
        <v>292</v>
      </c>
      <c r="Z410" s="6">
        <v>1</v>
      </c>
      <c r="AA410" s="6">
        <v>1</v>
      </c>
      <c r="AB410" s="5">
        <v>49.744999999999997</v>
      </c>
      <c r="AC410" s="6">
        <v>1</v>
      </c>
      <c r="AD410" s="6">
        <v>1</v>
      </c>
      <c r="AE410" s="5">
        <v>49.744999999999997</v>
      </c>
      <c r="AF410" s="7">
        <v>10</v>
      </c>
      <c r="AG410" s="7">
        <v>12</v>
      </c>
      <c r="AH410" s="7">
        <v>9.25</v>
      </c>
      <c r="AI410" s="7">
        <v>0</v>
      </c>
      <c r="AJ410" s="7">
        <v>0</v>
      </c>
      <c r="AK410" s="8">
        <v>44115.520335648151</v>
      </c>
      <c r="AL410" s="7">
        <v>6.19</v>
      </c>
      <c r="AM410" s="7">
        <v>100</v>
      </c>
      <c r="AN410" s="7">
        <v>0</v>
      </c>
      <c r="AO410" s="7">
        <v>7.43</v>
      </c>
      <c r="AP410" s="7">
        <v>5.72</v>
      </c>
      <c r="AQ410" s="7">
        <v>0</v>
      </c>
      <c r="AR410" s="7">
        <v>1.02</v>
      </c>
      <c r="AS410" s="4" t="s">
        <v>303</v>
      </c>
      <c r="AT410" s="7">
        <v>0</v>
      </c>
      <c r="AU410" s="4" t="s">
        <v>549</v>
      </c>
      <c r="AV410" s="4" t="s">
        <v>305</v>
      </c>
      <c r="AW410" s="4" t="s">
        <v>292</v>
      </c>
    </row>
    <row r="411" spans="1:49" s="4" customFormat="1" x14ac:dyDescent="0.25">
      <c r="A411" s="4" t="s">
        <v>11199</v>
      </c>
      <c r="B411" s="4" t="s">
        <v>293</v>
      </c>
      <c r="C411" s="4" t="s">
        <v>547</v>
      </c>
      <c r="D411" s="4" t="s">
        <v>548</v>
      </c>
      <c r="F411" s="4" t="s">
        <v>11462</v>
      </c>
      <c r="G411" s="4" t="s">
        <v>11463</v>
      </c>
      <c r="I411" s="4" t="s">
        <v>296</v>
      </c>
      <c r="J411" s="4" t="s">
        <v>297</v>
      </c>
      <c r="K411" s="4" t="s">
        <v>298</v>
      </c>
      <c r="L411" s="4" t="s">
        <v>299</v>
      </c>
      <c r="M411" s="4" t="s">
        <v>300</v>
      </c>
      <c r="N411" s="4" t="s">
        <v>11198</v>
      </c>
      <c r="O411" s="5">
        <v>108.28100000000001</v>
      </c>
      <c r="P411" s="6">
        <v>1</v>
      </c>
      <c r="Q411" s="7">
        <v>9.25</v>
      </c>
      <c r="R411" s="7">
        <v>7</v>
      </c>
      <c r="S411" s="4" t="s">
        <v>301</v>
      </c>
      <c r="T411" s="4" t="s">
        <v>302</v>
      </c>
      <c r="U411" s="5">
        <v>129.291</v>
      </c>
      <c r="V411" s="6">
        <v>0.45</v>
      </c>
      <c r="W411" s="7">
        <v>2</v>
      </c>
      <c r="X411" s="5">
        <v>50.011000000000003</v>
      </c>
      <c r="Y411" s="4" t="s">
        <v>292</v>
      </c>
      <c r="Z411" s="6">
        <v>1</v>
      </c>
      <c r="AA411" s="6">
        <v>1</v>
      </c>
      <c r="AB411" s="5">
        <v>50.011000000000003</v>
      </c>
      <c r="AC411" s="6">
        <v>1</v>
      </c>
      <c r="AD411" s="6">
        <v>1</v>
      </c>
      <c r="AE411" s="5">
        <v>50.011000000000003</v>
      </c>
      <c r="AF411" s="7">
        <v>10</v>
      </c>
      <c r="AG411" s="7">
        <v>7</v>
      </c>
      <c r="AH411" s="7">
        <v>9.25</v>
      </c>
      <c r="AI411" s="7">
        <v>0</v>
      </c>
      <c r="AJ411" s="7">
        <v>0</v>
      </c>
      <c r="AK411" s="8">
        <v>44115.528402777774</v>
      </c>
      <c r="AL411" s="7">
        <v>5.82</v>
      </c>
      <c r="AM411" s="7">
        <v>100</v>
      </c>
      <c r="AN411" s="7">
        <v>0</v>
      </c>
      <c r="AO411" s="7">
        <v>4.07</v>
      </c>
      <c r="AP411" s="7">
        <v>5.38</v>
      </c>
      <c r="AQ411" s="7">
        <v>0</v>
      </c>
      <c r="AR411" s="7">
        <v>1.28</v>
      </c>
      <c r="AS411" s="4" t="s">
        <v>303</v>
      </c>
      <c r="AT411" s="7">
        <v>0</v>
      </c>
      <c r="AU411" s="4" t="s">
        <v>549</v>
      </c>
      <c r="AV411" s="4" t="s">
        <v>305</v>
      </c>
      <c r="AW411" s="4" t="s">
        <v>292</v>
      </c>
    </row>
    <row r="412" spans="1:49" s="4" customFormat="1" x14ac:dyDescent="0.25">
      <c r="A412" s="4" t="s">
        <v>395</v>
      </c>
      <c r="B412" s="4" t="s">
        <v>293</v>
      </c>
      <c r="C412" s="4" t="s">
        <v>547</v>
      </c>
      <c r="D412" s="4" t="s">
        <v>548</v>
      </c>
      <c r="F412" s="4" t="s">
        <v>11462</v>
      </c>
      <c r="G412" s="4" t="s">
        <v>11463</v>
      </c>
      <c r="I412" s="4" t="s">
        <v>296</v>
      </c>
      <c r="J412" s="4" t="s">
        <v>297</v>
      </c>
      <c r="K412" s="4" t="s">
        <v>298</v>
      </c>
      <c r="L412" s="4" t="s">
        <v>299</v>
      </c>
      <c r="M412" s="4" t="s">
        <v>300</v>
      </c>
      <c r="N412" s="4" t="s">
        <v>447</v>
      </c>
      <c r="O412" s="5">
        <v>108.28100000000001</v>
      </c>
      <c r="P412" s="6">
        <v>1</v>
      </c>
      <c r="Q412" s="7">
        <v>9.25</v>
      </c>
      <c r="R412" s="7">
        <v>7</v>
      </c>
      <c r="S412" s="4" t="s">
        <v>301</v>
      </c>
      <c r="T412" s="4" t="s">
        <v>302</v>
      </c>
      <c r="U412" s="5">
        <v>129.291</v>
      </c>
      <c r="V412" s="6">
        <v>0.45</v>
      </c>
      <c r="W412" s="7">
        <v>4</v>
      </c>
      <c r="X412" s="5">
        <v>68.141000000000005</v>
      </c>
      <c r="Y412" s="4" t="s">
        <v>292</v>
      </c>
      <c r="Z412" s="6">
        <v>1</v>
      </c>
      <c r="AA412" s="6">
        <v>0.75271900000000003</v>
      </c>
      <c r="AB412" s="5">
        <v>68.141000000000005</v>
      </c>
      <c r="AC412" s="6">
        <v>1</v>
      </c>
      <c r="AD412" s="6">
        <v>0.75271900000000003</v>
      </c>
      <c r="AE412" s="5">
        <v>68.141000000000005</v>
      </c>
      <c r="AF412" s="7">
        <v>10</v>
      </c>
      <c r="AG412" s="7">
        <v>7</v>
      </c>
      <c r="AH412" s="7">
        <v>9.25</v>
      </c>
      <c r="AI412" s="7">
        <v>17</v>
      </c>
      <c r="AJ412" s="7">
        <v>0</v>
      </c>
      <c r="AK412" s="8">
        <v>44115.528402777774</v>
      </c>
      <c r="AL412" s="7">
        <v>5.82</v>
      </c>
      <c r="AM412" s="7">
        <v>100</v>
      </c>
      <c r="AN412" s="7">
        <v>0</v>
      </c>
      <c r="AO412" s="7">
        <v>4.07</v>
      </c>
      <c r="AP412" s="7">
        <v>5.38</v>
      </c>
      <c r="AQ412" s="7">
        <v>12.29</v>
      </c>
      <c r="AR412" s="7">
        <v>3.05</v>
      </c>
      <c r="AS412" s="4" t="s">
        <v>303</v>
      </c>
      <c r="AT412" s="7">
        <v>0</v>
      </c>
      <c r="AU412" s="4" t="s">
        <v>549</v>
      </c>
      <c r="AV412" s="4" t="s">
        <v>305</v>
      </c>
      <c r="AW412" s="4" t="s">
        <v>292</v>
      </c>
    </row>
    <row r="413" spans="1:49" s="4" customFormat="1" x14ac:dyDescent="0.25">
      <c r="A413" s="4" t="s">
        <v>11200</v>
      </c>
      <c r="B413" s="4" t="s">
        <v>293</v>
      </c>
      <c r="C413" s="4" t="s">
        <v>547</v>
      </c>
      <c r="D413" s="4" t="s">
        <v>548</v>
      </c>
      <c r="F413" s="4" t="s">
        <v>11462</v>
      </c>
      <c r="G413" s="4" t="s">
        <v>11463</v>
      </c>
      <c r="I413" s="4" t="s">
        <v>296</v>
      </c>
      <c r="J413" s="4" t="s">
        <v>297</v>
      </c>
      <c r="K413" s="4" t="s">
        <v>298</v>
      </c>
      <c r="L413" s="4" t="s">
        <v>299</v>
      </c>
      <c r="M413" s="4" t="s">
        <v>300</v>
      </c>
      <c r="N413" s="4" t="s">
        <v>11198</v>
      </c>
      <c r="O413" s="5">
        <v>108.28100000000001</v>
      </c>
      <c r="P413" s="6">
        <v>1</v>
      </c>
      <c r="Q413" s="7">
        <v>9.25</v>
      </c>
      <c r="R413" s="7">
        <v>18</v>
      </c>
      <c r="S413" s="4" t="s">
        <v>301</v>
      </c>
      <c r="T413" s="4" t="s">
        <v>302</v>
      </c>
      <c r="U413" s="5">
        <v>148.84</v>
      </c>
      <c r="V413" s="6">
        <v>0.45</v>
      </c>
      <c r="W413" s="7">
        <v>1.5</v>
      </c>
      <c r="X413" s="5">
        <v>49.828000000000003</v>
      </c>
      <c r="Y413" s="4" t="s">
        <v>292</v>
      </c>
      <c r="Z413" s="6">
        <v>1</v>
      </c>
      <c r="AA413" s="6">
        <v>1</v>
      </c>
      <c r="AB413" s="5">
        <v>49.828000000000003</v>
      </c>
      <c r="AC413" s="6">
        <v>1</v>
      </c>
      <c r="AD413" s="6">
        <v>1</v>
      </c>
      <c r="AE413" s="5">
        <v>49.828000000000003</v>
      </c>
      <c r="AF413" s="7">
        <v>10</v>
      </c>
      <c r="AG413" s="7">
        <v>18</v>
      </c>
      <c r="AH413" s="7">
        <v>9.25</v>
      </c>
      <c r="AI413" s="7">
        <v>0</v>
      </c>
      <c r="AJ413" s="7">
        <v>0</v>
      </c>
      <c r="AK413" s="8">
        <v>44115.51289351852</v>
      </c>
      <c r="AL413" s="7">
        <v>6.7</v>
      </c>
      <c r="AM413" s="7">
        <v>100</v>
      </c>
      <c r="AN413" s="7">
        <v>0</v>
      </c>
      <c r="AO413" s="7">
        <v>12.06</v>
      </c>
      <c r="AP413" s="7">
        <v>6.2</v>
      </c>
      <c r="AQ413" s="7">
        <v>0</v>
      </c>
      <c r="AR413" s="7">
        <v>1.1100000000000001</v>
      </c>
      <c r="AS413" s="4" t="s">
        <v>303</v>
      </c>
      <c r="AT413" s="7">
        <v>0</v>
      </c>
      <c r="AU413" s="4" t="s">
        <v>549</v>
      </c>
      <c r="AV413" s="4" t="s">
        <v>305</v>
      </c>
      <c r="AW413" s="4" t="s">
        <v>292</v>
      </c>
    </row>
    <row r="414" spans="1:49" s="4" customFormat="1" x14ac:dyDescent="0.25">
      <c r="A414" s="4" t="s">
        <v>11207</v>
      </c>
      <c r="B414" s="4" t="s">
        <v>293</v>
      </c>
      <c r="C414" s="4" t="s">
        <v>547</v>
      </c>
      <c r="D414" s="4" t="s">
        <v>548</v>
      </c>
      <c r="F414" s="4" t="s">
        <v>11236</v>
      </c>
      <c r="G414" s="4" t="s">
        <v>11237</v>
      </c>
      <c r="I414" s="4" t="s">
        <v>296</v>
      </c>
      <c r="J414" s="4" t="s">
        <v>297</v>
      </c>
      <c r="K414" s="4" t="s">
        <v>298</v>
      </c>
      <c r="L414" s="4" t="s">
        <v>299</v>
      </c>
      <c r="M414" s="4" t="s">
        <v>300</v>
      </c>
      <c r="N414" s="4" t="s">
        <v>11238</v>
      </c>
      <c r="O414" s="5">
        <v>49.83</v>
      </c>
      <c r="P414" s="6">
        <v>1</v>
      </c>
      <c r="Q414" s="7">
        <v>9.25</v>
      </c>
      <c r="R414" s="7">
        <v>7</v>
      </c>
      <c r="S414" s="4" t="s">
        <v>301</v>
      </c>
      <c r="T414" s="4" t="s">
        <v>302</v>
      </c>
      <c r="U414" s="5">
        <v>59.499000000000002</v>
      </c>
      <c r="V414" s="6">
        <v>0.25</v>
      </c>
      <c r="W414" s="7">
        <v>3</v>
      </c>
      <c r="X414" s="5">
        <v>20.024999999999999</v>
      </c>
      <c r="Y414" s="4" t="s">
        <v>292</v>
      </c>
      <c r="Z414" s="6">
        <v>4</v>
      </c>
      <c r="AA414" s="6">
        <v>1</v>
      </c>
      <c r="AB414" s="5">
        <v>80.099999999999994</v>
      </c>
      <c r="AC414" s="6">
        <v>1</v>
      </c>
      <c r="AD414" s="6">
        <v>1</v>
      </c>
      <c r="AE414" s="5">
        <v>80.099999999999994</v>
      </c>
      <c r="AF414" s="5">
        <v>80.099999999999994</v>
      </c>
      <c r="AG414" s="7">
        <v>7</v>
      </c>
      <c r="AH414" s="7">
        <v>0</v>
      </c>
      <c r="AI414" s="7">
        <v>17</v>
      </c>
      <c r="AJ414" s="7">
        <v>0</v>
      </c>
      <c r="AK414" s="8">
        <v>44115.539768518516</v>
      </c>
      <c r="AL414" s="7">
        <v>1.49</v>
      </c>
      <c r="AM414" s="7">
        <v>100</v>
      </c>
      <c r="AN414" s="7">
        <v>0</v>
      </c>
      <c r="AO414" s="7">
        <v>1.04</v>
      </c>
      <c r="AP414" s="7">
        <v>0</v>
      </c>
      <c r="AQ414" s="7">
        <v>3.08</v>
      </c>
      <c r="AR414" s="7">
        <v>0.57999999999999996</v>
      </c>
      <c r="AS414" s="4" t="s">
        <v>303</v>
      </c>
      <c r="AT414" s="7">
        <v>0</v>
      </c>
      <c r="AU414" s="4" t="s">
        <v>549</v>
      </c>
      <c r="AV414" s="4" t="s">
        <v>305</v>
      </c>
    </row>
    <row r="415" spans="1:49" s="4" customFormat="1" x14ac:dyDescent="0.25">
      <c r="A415" s="4" t="s">
        <v>11201</v>
      </c>
      <c r="B415" s="4" t="s">
        <v>293</v>
      </c>
      <c r="C415" s="4" t="s">
        <v>550</v>
      </c>
      <c r="D415" s="4" t="s">
        <v>551</v>
      </c>
      <c r="F415" s="4" t="s">
        <v>11462</v>
      </c>
      <c r="G415" s="4" t="s">
        <v>11463</v>
      </c>
      <c r="I415" s="4" t="s">
        <v>296</v>
      </c>
      <c r="J415" s="4" t="s">
        <v>297</v>
      </c>
      <c r="K415" s="4" t="s">
        <v>298</v>
      </c>
      <c r="L415" s="4" t="s">
        <v>299</v>
      </c>
      <c r="M415" s="4" t="s">
        <v>300</v>
      </c>
      <c r="N415" s="4" t="s">
        <v>11198</v>
      </c>
      <c r="O415" s="5">
        <v>109.417</v>
      </c>
      <c r="P415" s="6">
        <v>1</v>
      </c>
      <c r="Q415" s="7">
        <v>9.25</v>
      </c>
      <c r="R415" s="7">
        <v>12</v>
      </c>
      <c r="S415" s="4" t="s">
        <v>301</v>
      </c>
      <c r="T415" s="4" t="s">
        <v>302</v>
      </c>
      <c r="U415" s="5">
        <v>138.94200000000001</v>
      </c>
      <c r="V415" s="6">
        <v>0.45</v>
      </c>
      <c r="W415" s="7">
        <v>1.5</v>
      </c>
      <c r="X415" s="5">
        <v>50.274000000000001</v>
      </c>
      <c r="Y415" s="4" t="s">
        <v>292</v>
      </c>
      <c r="Z415" s="6">
        <v>1</v>
      </c>
      <c r="AA415" s="6">
        <v>1</v>
      </c>
      <c r="AB415" s="5">
        <v>50.274000000000001</v>
      </c>
      <c r="AC415" s="6">
        <v>1</v>
      </c>
      <c r="AD415" s="6">
        <v>1</v>
      </c>
      <c r="AE415" s="5">
        <v>50.274000000000001</v>
      </c>
      <c r="AF415" s="7">
        <v>10</v>
      </c>
      <c r="AG415" s="7">
        <v>12</v>
      </c>
      <c r="AH415" s="7">
        <v>9.25</v>
      </c>
      <c r="AI415" s="7">
        <v>0</v>
      </c>
      <c r="AJ415" s="7">
        <v>0</v>
      </c>
      <c r="AK415" s="8">
        <v>44115.520335648151</v>
      </c>
      <c r="AL415" s="7">
        <v>6.25</v>
      </c>
      <c r="AM415" s="7">
        <v>100</v>
      </c>
      <c r="AN415" s="7">
        <v>0</v>
      </c>
      <c r="AO415" s="7">
        <v>7.5</v>
      </c>
      <c r="AP415" s="7">
        <v>5.78</v>
      </c>
      <c r="AQ415" s="7">
        <v>0</v>
      </c>
      <c r="AR415" s="7">
        <v>1.03</v>
      </c>
      <c r="AS415" s="4" t="s">
        <v>303</v>
      </c>
      <c r="AT415" s="7">
        <v>0</v>
      </c>
      <c r="AU415" s="4" t="s">
        <v>552</v>
      </c>
      <c r="AV415" s="4" t="s">
        <v>305</v>
      </c>
      <c r="AW415" s="4" t="s">
        <v>292</v>
      </c>
    </row>
    <row r="416" spans="1:49" s="4" customFormat="1" x14ac:dyDescent="0.25">
      <c r="A416" s="4" t="s">
        <v>11199</v>
      </c>
      <c r="B416" s="4" t="s">
        <v>293</v>
      </c>
      <c r="C416" s="4" t="s">
        <v>550</v>
      </c>
      <c r="D416" s="4" t="s">
        <v>551</v>
      </c>
      <c r="F416" s="4" t="s">
        <v>11462</v>
      </c>
      <c r="G416" s="4" t="s">
        <v>11463</v>
      </c>
      <c r="I416" s="4" t="s">
        <v>296</v>
      </c>
      <c r="J416" s="4" t="s">
        <v>297</v>
      </c>
      <c r="K416" s="4" t="s">
        <v>298</v>
      </c>
      <c r="L416" s="4" t="s">
        <v>299</v>
      </c>
      <c r="M416" s="4" t="s">
        <v>300</v>
      </c>
      <c r="N416" s="4" t="s">
        <v>11198</v>
      </c>
      <c r="O416" s="5">
        <v>109.416</v>
      </c>
      <c r="P416" s="6">
        <v>1</v>
      </c>
      <c r="Q416" s="7">
        <v>9.25</v>
      </c>
      <c r="R416" s="7">
        <v>7</v>
      </c>
      <c r="S416" s="4" t="s">
        <v>301</v>
      </c>
      <c r="T416" s="4" t="s">
        <v>302</v>
      </c>
      <c r="U416" s="5">
        <v>130.64599999999999</v>
      </c>
      <c r="V416" s="6">
        <v>0.45</v>
      </c>
      <c r="W416" s="7">
        <v>2</v>
      </c>
      <c r="X416" s="5">
        <v>50.530999999999999</v>
      </c>
      <c r="Y416" s="4" t="s">
        <v>292</v>
      </c>
      <c r="Z416" s="6">
        <v>1</v>
      </c>
      <c r="AA416" s="6">
        <v>1</v>
      </c>
      <c r="AB416" s="5">
        <v>50.530999999999999</v>
      </c>
      <c r="AC416" s="6">
        <v>1</v>
      </c>
      <c r="AD416" s="6">
        <v>1</v>
      </c>
      <c r="AE416" s="5">
        <v>50.530999999999999</v>
      </c>
      <c r="AF416" s="7">
        <v>10</v>
      </c>
      <c r="AG416" s="7">
        <v>7</v>
      </c>
      <c r="AH416" s="7">
        <v>9.25</v>
      </c>
      <c r="AI416" s="7">
        <v>0</v>
      </c>
      <c r="AJ416" s="7">
        <v>0</v>
      </c>
      <c r="AK416" s="8">
        <v>44115.528414351851</v>
      </c>
      <c r="AL416" s="7">
        <v>5.88</v>
      </c>
      <c r="AM416" s="7">
        <v>100</v>
      </c>
      <c r="AN416" s="7">
        <v>0</v>
      </c>
      <c r="AO416" s="7">
        <v>4.1100000000000003</v>
      </c>
      <c r="AP416" s="7">
        <v>5.44</v>
      </c>
      <c r="AQ416" s="7">
        <v>0</v>
      </c>
      <c r="AR416" s="7">
        <v>1.29</v>
      </c>
      <c r="AS416" s="4" t="s">
        <v>303</v>
      </c>
      <c r="AT416" s="7">
        <v>0</v>
      </c>
      <c r="AU416" s="4" t="s">
        <v>552</v>
      </c>
      <c r="AV416" s="4" t="s">
        <v>305</v>
      </c>
      <c r="AW416" s="4" t="s">
        <v>292</v>
      </c>
    </row>
    <row r="417" spans="1:49" s="4" customFormat="1" x14ac:dyDescent="0.25">
      <c r="A417" s="4" t="s">
        <v>395</v>
      </c>
      <c r="B417" s="4" t="s">
        <v>293</v>
      </c>
      <c r="C417" s="4" t="s">
        <v>550</v>
      </c>
      <c r="D417" s="4" t="s">
        <v>551</v>
      </c>
      <c r="F417" s="4" t="s">
        <v>11462</v>
      </c>
      <c r="G417" s="4" t="s">
        <v>11463</v>
      </c>
      <c r="I417" s="4" t="s">
        <v>296</v>
      </c>
      <c r="J417" s="4" t="s">
        <v>297</v>
      </c>
      <c r="K417" s="4" t="s">
        <v>298</v>
      </c>
      <c r="L417" s="4" t="s">
        <v>299</v>
      </c>
      <c r="M417" s="4" t="s">
        <v>300</v>
      </c>
      <c r="N417" s="4" t="s">
        <v>447</v>
      </c>
      <c r="O417" s="5">
        <v>109.416</v>
      </c>
      <c r="P417" s="6">
        <v>1</v>
      </c>
      <c r="Q417" s="7">
        <v>9.25</v>
      </c>
      <c r="R417" s="7">
        <v>7</v>
      </c>
      <c r="S417" s="4" t="s">
        <v>301</v>
      </c>
      <c r="T417" s="4" t="s">
        <v>302</v>
      </c>
      <c r="U417" s="5">
        <v>130.64599999999999</v>
      </c>
      <c r="V417" s="6">
        <v>0.45</v>
      </c>
      <c r="W417" s="7">
        <v>4</v>
      </c>
      <c r="X417" s="5">
        <v>68.850999999999999</v>
      </c>
      <c r="Y417" s="4" t="s">
        <v>292</v>
      </c>
      <c r="Z417" s="6">
        <v>1</v>
      </c>
      <c r="AA417" s="6">
        <v>0.75280000000000002</v>
      </c>
      <c r="AB417" s="5">
        <v>68.850999999999999</v>
      </c>
      <c r="AC417" s="6">
        <v>1</v>
      </c>
      <c r="AD417" s="6">
        <v>0.75280000000000002</v>
      </c>
      <c r="AE417" s="5">
        <v>68.850999999999999</v>
      </c>
      <c r="AF417" s="7">
        <v>10</v>
      </c>
      <c r="AG417" s="7">
        <v>7</v>
      </c>
      <c r="AH417" s="7">
        <v>9.25</v>
      </c>
      <c r="AI417" s="7">
        <v>17</v>
      </c>
      <c r="AJ417" s="7">
        <v>0</v>
      </c>
      <c r="AK417" s="8">
        <v>44115.528437499997</v>
      </c>
      <c r="AL417" s="7">
        <v>5.88</v>
      </c>
      <c r="AM417" s="7">
        <v>100</v>
      </c>
      <c r="AN417" s="7">
        <v>0</v>
      </c>
      <c r="AO417" s="7">
        <v>4.1100000000000003</v>
      </c>
      <c r="AP417" s="7">
        <v>5.44</v>
      </c>
      <c r="AQ417" s="7">
        <v>12.42</v>
      </c>
      <c r="AR417" s="7">
        <v>3.08</v>
      </c>
      <c r="AS417" s="4" t="s">
        <v>303</v>
      </c>
      <c r="AT417" s="7">
        <v>0</v>
      </c>
      <c r="AU417" s="4" t="s">
        <v>552</v>
      </c>
      <c r="AV417" s="4" t="s">
        <v>305</v>
      </c>
      <c r="AW417" s="4" t="s">
        <v>292</v>
      </c>
    </row>
    <row r="418" spans="1:49" s="4" customFormat="1" x14ac:dyDescent="0.25">
      <c r="A418" s="4" t="s">
        <v>11200</v>
      </c>
      <c r="B418" s="4" t="s">
        <v>293</v>
      </c>
      <c r="C418" s="4" t="s">
        <v>550</v>
      </c>
      <c r="D418" s="4" t="s">
        <v>551</v>
      </c>
      <c r="F418" s="4" t="s">
        <v>11462</v>
      </c>
      <c r="G418" s="4" t="s">
        <v>11463</v>
      </c>
      <c r="I418" s="4" t="s">
        <v>296</v>
      </c>
      <c r="J418" s="4" t="s">
        <v>297</v>
      </c>
      <c r="K418" s="4" t="s">
        <v>298</v>
      </c>
      <c r="L418" s="4" t="s">
        <v>299</v>
      </c>
      <c r="M418" s="4" t="s">
        <v>300</v>
      </c>
      <c r="N418" s="4" t="s">
        <v>11198</v>
      </c>
      <c r="O418" s="5">
        <v>109.416</v>
      </c>
      <c r="P418" s="6">
        <v>1</v>
      </c>
      <c r="Q418" s="7">
        <v>9.25</v>
      </c>
      <c r="R418" s="7">
        <v>18</v>
      </c>
      <c r="S418" s="4" t="s">
        <v>301</v>
      </c>
      <c r="T418" s="4" t="s">
        <v>302</v>
      </c>
      <c r="U418" s="5">
        <v>150.4</v>
      </c>
      <c r="V418" s="6">
        <v>0.45</v>
      </c>
      <c r="W418" s="7">
        <v>1.5</v>
      </c>
      <c r="X418" s="5">
        <v>50.36</v>
      </c>
      <c r="Y418" s="4" t="s">
        <v>292</v>
      </c>
      <c r="Z418" s="6">
        <v>1</v>
      </c>
      <c r="AA418" s="6">
        <v>1</v>
      </c>
      <c r="AB418" s="5">
        <v>50.36</v>
      </c>
      <c r="AC418" s="6">
        <v>1</v>
      </c>
      <c r="AD418" s="6">
        <v>1</v>
      </c>
      <c r="AE418" s="5">
        <v>50.36</v>
      </c>
      <c r="AF418" s="7">
        <v>10</v>
      </c>
      <c r="AG418" s="7">
        <v>18</v>
      </c>
      <c r="AH418" s="7">
        <v>9.25</v>
      </c>
      <c r="AI418" s="7">
        <v>0</v>
      </c>
      <c r="AJ418" s="7">
        <v>0</v>
      </c>
      <c r="AK418" s="8">
        <v>44115.512916666667</v>
      </c>
      <c r="AL418" s="7">
        <v>6.77</v>
      </c>
      <c r="AM418" s="7">
        <v>100</v>
      </c>
      <c r="AN418" s="7">
        <v>0</v>
      </c>
      <c r="AO418" s="7">
        <v>12.18</v>
      </c>
      <c r="AP418" s="7">
        <v>6.26</v>
      </c>
      <c r="AQ418" s="7">
        <v>0</v>
      </c>
      <c r="AR418" s="7">
        <v>1.1200000000000001</v>
      </c>
      <c r="AS418" s="4" t="s">
        <v>303</v>
      </c>
      <c r="AT418" s="7">
        <v>0</v>
      </c>
      <c r="AU418" s="4" t="s">
        <v>552</v>
      </c>
      <c r="AV418" s="4" t="s">
        <v>305</v>
      </c>
      <c r="AW418" s="4" t="s">
        <v>292</v>
      </c>
    </row>
    <row r="419" spans="1:49" s="4" customFormat="1" x14ac:dyDescent="0.25">
      <c r="A419" s="4" t="s">
        <v>11207</v>
      </c>
      <c r="B419" s="4" t="s">
        <v>293</v>
      </c>
      <c r="C419" s="4" t="s">
        <v>550</v>
      </c>
      <c r="D419" s="4" t="s">
        <v>551</v>
      </c>
      <c r="F419" s="4" t="s">
        <v>11236</v>
      </c>
      <c r="G419" s="4" t="s">
        <v>11237</v>
      </c>
      <c r="I419" s="4" t="s">
        <v>296</v>
      </c>
      <c r="J419" s="4" t="s">
        <v>297</v>
      </c>
      <c r="K419" s="4" t="s">
        <v>298</v>
      </c>
      <c r="L419" s="4" t="s">
        <v>299</v>
      </c>
      <c r="M419" s="4" t="s">
        <v>300</v>
      </c>
      <c r="N419" s="4" t="s">
        <v>11238</v>
      </c>
      <c r="O419" s="5">
        <v>50.36</v>
      </c>
      <c r="P419" s="6">
        <v>1</v>
      </c>
      <c r="Q419" s="7">
        <v>9.25</v>
      </c>
      <c r="R419" s="7">
        <v>7</v>
      </c>
      <c r="S419" s="4" t="s">
        <v>301</v>
      </c>
      <c r="T419" s="4" t="s">
        <v>302</v>
      </c>
      <c r="U419" s="5">
        <v>60.131</v>
      </c>
      <c r="V419" s="6">
        <v>0.25</v>
      </c>
      <c r="W419" s="7">
        <v>3</v>
      </c>
      <c r="X419" s="5">
        <v>20.233000000000001</v>
      </c>
      <c r="Y419" s="4" t="s">
        <v>292</v>
      </c>
      <c r="Z419" s="6">
        <v>4</v>
      </c>
      <c r="AA419" s="6">
        <v>1</v>
      </c>
      <c r="AB419" s="5">
        <v>80.932000000000002</v>
      </c>
      <c r="AC419" s="6">
        <v>1</v>
      </c>
      <c r="AD419" s="6">
        <v>1</v>
      </c>
      <c r="AE419" s="5">
        <v>80.932000000000002</v>
      </c>
      <c r="AF419" s="5">
        <v>80.932000000000002</v>
      </c>
      <c r="AG419" s="7">
        <v>7</v>
      </c>
      <c r="AH419" s="7">
        <v>0</v>
      </c>
      <c r="AI419" s="7">
        <v>17</v>
      </c>
      <c r="AJ419" s="7">
        <v>0</v>
      </c>
      <c r="AK419" s="8">
        <v>44115.539803240739</v>
      </c>
      <c r="AL419" s="7">
        <v>1.5</v>
      </c>
      <c r="AM419" s="7">
        <v>100</v>
      </c>
      <c r="AN419" s="7">
        <v>0</v>
      </c>
      <c r="AO419" s="7">
        <v>1.05</v>
      </c>
      <c r="AP419" s="7">
        <v>0</v>
      </c>
      <c r="AQ419" s="7">
        <v>3.11</v>
      </c>
      <c r="AR419" s="7">
        <v>0.59</v>
      </c>
      <c r="AS419" s="4" t="s">
        <v>303</v>
      </c>
      <c r="AT419" s="7">
        <v>0</v>
      </c>
      <c r="AU419" s="4" t="s">
        <v>552</v>
      </c>
      <c r="AV419" s="4" t="s">
        <v>305</v>
      </c>
    </row>
    <row r="420" spans="1:49" s="4" customFormat="1" x14ac:dyDescent="0.25">
      <c r="A420" s="4" t="s">
        <v>11201</v>
      </c>
      <c r="B420" s="4" t="s">
        <v>293</v>
      </c>
      <c r="C420" s="4" t="s">
        <v>553</v>
      </c>
      <c r="D420" s="4" t="s">
        <v>554</v>
      </c>
      <c r="F420" s="4" t="s">
        <v>11462</v>
      </c>
      <c r="G420" s="4" t="s">
        <v>11463</v>
      </c>
      <c r="I420" s="4" t="s">
        <v>296</v>
      </c>
      <c r="J420" s="4" t="s">
        <v>297</v>
      </c>
      <c r="K420" s="4" t="s">
        <v>298</v>
      </c>
      <c r="L420" s="4" t="s">
        <v>299</v>
      </c>
      <c r="M420" s="4" t="s">
        <v>300</v>
      </c>
      <c r="N420" s="4" t="s">
        <v>11198</v>
      </c>
      <c r="O420" s="5">
        <v>114.523</v>
      </c>
      <c r="P420" s="6">
        <v>1</v>
      </c>
      <c r="Q420" s="7">
        <v>9.25</v>
      </c>
      <c r="R420" s="7">
        <v>12</v>
      </c>
      <c r="S420" s="4" t="s">
        <v>301</v>
      </c>
      <c r="T420" s="4" t="s">
        <v>302</v>
      </c>
      <c r="U420" s="5">
        <v>145.42599999999999</v>
      </c>
      <c r="V420" s="6">
        <v>0.45</v>
      </c>
      <c r="W420" s="7">
        <v>1.5</v>
      </c>
      <c r="X420" s="5">
        <v>52.622</v>
      </c>
      <c r="Y420" s="4" t="s">
        <v>292</v>
      </c>
      <c r="Z420" s="6">
        <v>1</v>
      </c>
      <c r="AA420" s="6">
        <v>1</v>
      </c>
      <c r="AB420" s="5">
        <v>52.622</v>
      </c>
      <c r="AC420" s="6">
        <v>1</v>
      </c>
      <c r="AD420" s="6">
        <v>1</v>
      </c>
      <c r="AE420" s="5">
        <v>52.622</v>
      </c>
      <c r="AF420" s="7">
        <v>10</v>
      </c>
      <c r="AG420" s="7">
        <v>12</v>
      </c>
      <c r="AH420" s="7">
        <v>9.25</v>
      </c>
      <c r="AI420" s="7">
        <v>0</v>
      </c>
      <c r="AJ420" s="7">
        <v>0</v>
      </c>
      <c r="AK420" s="8">
        <v>44115.520335648151</v>
      </c>
      <c r="AL420" s="7">
        <v>6.54</v>
      </c>
      <c r="AM420" s="7">
        <v>100</v>
      </c>
      <c r="AN420" s="7">
        <v>0</v>
      </c>
      <c r="AO420" s="7">
        <v>7.85</v>
      </c>
      <c r="AP420" s="7">
        <v>6.05</v>
      </c>
      <c r="AQ420" s="7">
        <v>0</v>
      </c>
      <c r="AR420" s="7">
        <v>1.08</v>
      </c>
      <c r="AS420" s="4" t="s">
        <v>303</v>
      </c>
      <c r="AT420" s="7">
        <v>0</v>
      </c>
      <c r="AU420" s="4" t="s">
        <v>555</v>
      </c>
      <c r="AV420" s="4" t="s">
        <v>305</v>
      </c>
      <c r="AW420" s="4" t="s">
        <v>292</v>
      </c>
    </row>
    <row r="421" spans="1:49" s="4" customFormat="1" x14ac:dyDescent="0.25">
      <c r="A421" s="4" t="s">
        <v>11199</v>
      </c>
      <c r="B421" s="4" t="s">
        <v>293</v>
      </c>
      <c r="C421" s="4" t="s">
        <v>553</v>
      </c>
      <c r="D421" s="4" t="s">
        <v>554</v>
      </c>
      <c r="F421" s="4" t="s">
        <v>11462</v>
      </c>
      <c r="G421" s="4" t="s">
        <v>11463</v>
      </c>
      <c r="I421" s="4" t="s">
        <v>296</v>
      </c>
      <c r="J421" s="4" t="s">
        <v>297</v>
      </c>
      <c r="K421" s="4" t="s">
        <v>298</v>
      </c>
      <c r="L421" s="4" t="s">
        <v>299</v>
      </c>
      <c r="M421" s="4" t="s">
        <v>300</v>
      </c>
      <c r="N421" s="4" t="s">
        <v>11198</v>
      </c>
      <c r="O421" s="5">
        <v>114.523</v>
      </c>
      <c r="P421" s="6">
        <v>1</v>
      </c>
      <c r="Q421" s="7">
        <v>9.25</v>
      </c>
      <c r="R421" s="7">
        <v>7</v>
      </c>
      <c r="S421" s="4" t="s">
        <v>301</v>
      </c>
      <c r="T421" s="4" t="s">
        <v>302</v>
      </c>
      <c r="U421" s="5">
        <v>136.744</v>
      </c>
      <c r="V421" s="6">
        <v>0.45</v>
      </c>
      <c r="W421" s="7">
        <v>2</v>
      </c>
      <c r="X421" s="5">
        <v>52.875</v>
      </c>
      <c r="Y421" s="4" t="s">
        <v>292</v>
      </c>
      <c r="Z421" s="6">
        <v>1</v>
      </c>
      <c r="AA421" s="6">
        <v>1</v>
      </c>
      <c r="AB421" s="5">
        <v>52.875</v>
      </c>
      <c r="AC421" s="6">
        <v>1</v>
      </c>
      <c r="AD421" s="6">
        <v>1</v>
      </c>
      <c r="AE421" s="5">
        <v>52.875</v>
      </c>
      <c r="AF421" s="7">
        <v>10</v>
      </c>
      <c r="AG421" s="7">
        <v>7</v>
      </c>
      <c r="AH421" s="7">
        <v>9.25</v>
      </c>
      <c r="AI421" s="7">
        <v>0</v>
      </c>
      <c r="AJ421" s="7">
        <v>0</v>
      </c>
      <c r="AK421" s="8">
        <v>44115.528437499997</v>
      </c>
      <c r="AL421" s="7">
        <v>6.15</v>
      </c>
      <c r="AM421" s="7">
        <v>100</v>
      </c>
      <c r="AN421" s="7">
        <v>0</v>
      </c>
      <c r="AO421" s="7">
        <v>4.3099999999999996</v>
      </c>
      <c r="AP421" s="7">
        <v>5.7</v>
      </c>
      <c r="AQ421" s="7">
        <v>0</v>
      </c>
      <c r="AR421" s="7">
        <v>1.35</v>
      </c>
      <c r="AS421" s="4" t="s">
        <v>303</v>
      </c>
      <c r="AT421" s="7">
        <v>0</v>
      </c>
      <c r="AU421" s="4" t="s">
        <v>555</v>
      </c>
      <c r="AV421" s="4" t="s">
        <v>305</v>
      </c>
      <c r="AW421" s="4" t="s">
        <v>292</v>
      </c>
    </row>
    <row r="422" spans="1:49" s="4" customFormat="1" x14ac:dyDescent="0.25">
      <c r="A422" s="4" t="s">
        <v>395</v>
      </c>
      <c r="B422" s="4" t="s">
        <v>293</v>
      </c>
      <c r="C422" s="4" t="s">
        <v>553</v>
      </c>
      <c r="D422" s="4" t="s">
        <v>554</v>
      </c>
      <c r="F422" s="4" t="s">
        <v>11462</v>
      </c>
      <c r="G422" s="4" t="s">
        <v>11463</v>
      </c>
      <c r="I422" s="4" t="s">
        <v>296</v>
      </c>
      <c r="J422" s="4" t="s">
        <v>297</v>
      </c>
      <c r="K422" s="4" t="s">
        <v>298</v>
      </c>
      <c r="L422" s="4" t="s">
        <v>299</v>
      </c>
      <c r="M422" s="4" t="s">
        <v>300</v>
      </c>
      <c r="N422" s="4" t="s">
        <v>447</v>
      </c>
      <c r="O422" s="5">
        <v>114.523</v>
      </c>
      <c r="P422" s="6">
        <v>1</v>
      </c>
      <c r="Q422" s="7">
        <v>9.25</v>
      </c>
      <c r="R422" s="7">
        <v>7</v>
      </c>
      <c r="S422" s="4" t="s">
        <v>301</v>
      </c>
      <c r="T422" s="4" t="s">
        <v>302</v>
      </c>
      <c r="U422" s="5">
        <v>136.744</v>
      </c>
      <c r="V422" s="6">
        <v>0.45</v>
      </c>
      <c r="W422" s="7">
        <v>4</v>
      </c>
      <c r="X422" s="5">
        <v>72.064999999999998</v>
      </c>
      <c r="Y422" s="4" t="s">
        <v>292</v>
      </c>
      <c r="Z422" s="6">
        <v>1</v>
      </c>
      <c r="AA422" s="6">
        <v>0.75258400000000003</v>
      </c>
      <c r="AB422" s="5">
        <v>72.064999999999998</v>
      </c>
      <c r="AC422" s="6">
        <v>1</v>
      </c>
      <c r="AD422" s="6">
        <v>0.75258400000000003</v>
      </c>
      <c r="AE422" s="5">
        <v>72.064999999999998</v>
      </c>
      <c r="AF422" s="7">
        <v>10</v>
      </c>
      <c r="AG422" s="7">
        <v>7</v>
      </c>
      <c r="AH422" s="7">
        <v>9.25</v>
      </c>
      <c r="AI422" s="7">
        <v>17</v>
      </c>
      <c r="AJ422" s="7">
        <v>0</v>
      </c>
      <c r="AK422" s="8">
        <v>44115.528437499997</v>
      </c>
      <c r="AL422" s="7">
        <v>6.15</v>
      </c>
      <c r="AM422" s="7">
        <v>100</v>
      </c>
      <c r="AN422" s="7">
        <v>0</v>
      </c>
      <c r="AO422" s="7">
        <v>4.3099999999999996</v>
      </c>
      <c r="AP422" s="7">
        <v>5.7</v>
      </c>
      <c r="AQ422" s="7">
        <v>13</v>
      </c>
      <c r="AR422" s="7">
        <v>3.23</v>
      </c>
      <c r="AS422" s="4" t="s">
        <v>303</v>
      </c>
      <c r="AT422" s="7">
        <v>0</v>
      </c>
      <c r="AU422" s="4" t="s">
        <v>555</v>
      </c>
      <c r="AV422" s="4" t="s">
        <v>305</v>
      </c>
      <c r="AW422" s="4" t="s">
        <v>292</v>
      </c>
    </row>
    <row r="423" spans="1:49" s="4" customFormat="1" x14ac:dyDescent="0.25">
      <c r="A423" s="4" t="s">
        <v>11200</v>
      </c>
      <c r="B423" s="4" t="s">
        <v>293</v>
      </c>
      <c r="C423" s="4" t="s">
        <v>553</v>
      </c>
      <c r="D423" s="4" t="s">
        <v>554</v>
      </c>
      <c r="F423" s="4" t="s">
        <v>11462</v>
      </c>
      <c r="G423" s="4" t="s">
        <v>11463</v>
      </c>
      <c r="I423" s="4" t="s">
        <v>296</v>
      </c>
      <c r="J423" s="4" t="s">
        <v>297</v>
      </c>
      <c r="K423" s="4" t="s">
        <v>298</v>
      </c>
      <c r="L423" s="4" t="s">
        <v>299</v>
      </c>
      <c r="M423" s="4" t="s">
        <v>300</v>
      </c>
      <c r="N423" s="4" t="s">
        <v>11198</v>
      </c>
      <c r="O423" s="5">
        <v>114.523</v>
      </c>
      <c r="P423" s="6">
        <v>1</v>
      </c>
      <c r="Q423" s="7">
        <v>9.25</v>
      </c>
      <c r="R423" s="7">
        <v>18</v>
      </c>
      <c r="S423" s="4" t="s">
        <v>301</v>
      </c>
      <c r="T423" s="4" t="s">
        <v>302</v>
      </c>
      <c r="U423" s="5">
        <v>157.41999999999999</v>
      </c>
      <c r="V423" s="6">
        <v>0.45</v>
      </c>
      <c r="W423" s="7">
        <v>1.5</v>
      </c>
      <c r="X423" s="5">
        <v>52.709000000000003</v>
      </c>
      <c r="Y423" s="4" t="s">
        <v>292</v>
      </c>
      <c r="Z423" s="6">
        <v>1</v>
      </c>
      <c r="AA423" s="6">
        <v>1</v>
      </c>
      <c r="AB423" s="5">
        <v>52.709000000000003</v>
      </c>
      <c r="AC423" s="6">
        <v>1</v>
      </c>
      <c r="AD423" s="6">
        <v>1</v>
      </c>
      <c r="AE423" s="5">
        <v>52.709000000000003</v>
      </c>
      <c r="AF423" s="7">
        <v>10</v>
      </c>
      <c r="AG423" s="7">
        <v>18</v>
      </c>
      <c r="AH423" s="7">
        <v>9.25</v>
      </c>
      <c r="AI423" s="7">
        <v>0</v>
      </c>
      <c r="AJ423" s="7">
        <v>0</v>
      </c>
      <c r="AK423" s="8">
        <v>44115.512916666667</v>
      </c>
      <c r="AL423" s="7">
        <v>7.08</v>
      </c>
      <c r="AM423" s="7">
        <v>100</v>
      </c>
      <c r="AN423" s="7">
        <v>0</v>
      </c>
      <c r="AO423" s="7">
        <v>12.75</v>
      </c>
      <c r="AP423" s="7">
        <v>6.55</v>
      </c>
      <c r="AQ423" s="7">
        <v>0</v>
      </c>
      <c r="AR423" s="7">
        <v>1.17</v>
      </c>
      <c r="AS423" s="4" t="s">
        <v>303</v>
      </c>
      <c r="AT423" s="7">
        <v>0</v>
      </c>
      <c r="AU423" s="4" t="s">
        <v>555</v>
      </c>
      <c r="AV423" s="4" t="s">
        <v>305</v>
      </c>
      <c r="AW423" s="4" t="s">
        <v>292</v>
      </c>
    </row>
    <row r="424" spans="1:49" s="4" customFormat="1" x14ac:dyDescent="0.25">
      <c r="A424" s="4" t="s">
        <v>11207</v>
      </c>
      <c r="B424" s="4" t="s">
        <v>293</v>
      </c>
      <c r="C424" s="4" t="s">
        <v>553</v>
      </c>
      <c r="D424" s="4" t="s">
        <v>554</v>
      </c>
      <c r="F424" s="4" t="s">
        <v>11236</v>
      </c>
      <c r="G424" s="4" t="s">
        <v>11237</v>
      </c>
      <c r="I424" s="4" t="s">
        <v>296</v>
      </c>
      <c r="J424" s="4" t="s">
        <v>297</v>
      </c>
      <c r="K424" s="4" t="s">
        <v>298</v>
      </c>
      <c r="L424" s="4" t="s">
        <v>299</v>
      </c>
      <c r="M424" s="4" t="s">
        <v>300</v>
      </c>
      <c r="N424" s="4" t="s">
        <v>11238</v>
      </c>
      <c r="O424" s="5">
        <v>52.71</v>
      </c>
      <c r="P424" s="6">
        <v>1</v>
      </c>
      <c r="Q424" s="7">
        <v>9.25</v>
      </c>
      <c r="R424" s="7">
        <v>7</v>
      </c>
      <c r="S424" s="4" t="s">
        <v>301</v>
      </c>
      <c r="T424" s="4" t="s">
        <v>302</v>
      </c>
      <c r="U424" s="5">
        <v>62.936999999999998</v>
      </c>
      <c r="V424" s="6">
        <v>0.25</v>
      </c>
      <c r="W424" s="7">
        <v>3</v>
      </c>
      <c r="X424" s="5">
        <v>21.173999999999999</v>
      </c>
      <c r="Y424" s="4" t="s">
        <v>292</v>
      </c>
      <c r="Z424" s="6">
        <v>4</v>
      </c>
      <c r="AA424" s="6">
        <v>1</v>
      </c>
      <c r="AB424" s="5">
        <v>84.695999999999998</v>
      </c>
      <c r="AC424" s="6">
        <v>1</v>
      </c>
      <c r="AD424" s="6">
        <v>1</v>
      </c>
      <c r="AE424" s="5">
        <v>84.695999999999998</v>
      </c>
      <c r="AF424" s="5">
        <v>84.695999999999998</v>
      </c>
      <c r="AG424" s="7">
        <v>7</v>
      </c>
      <c r="AH424" s="7">
        <v>0</v>
      </c>
      <c r="AI424" s="7">
        <v>17</v>
      </c>
      <c r="AJ424" s="7">
        <v>0</v>
      </c>
      <c r="AK424" s="8">
        <v>44115.539803240739</v>
      </c>
      <c r="AL424" s="7">
        <v>1.57</v>
      </c>
      <c r="AM424" s="7">
        <v>100</v>
      </c>
      <c r="AN424" s="7">
        <v>0</v>
      </c>
      <c r="AO424" s="7">
        <v>1.1000000000000001</v>
      </c>
      <c r="AP424" s="7">
        <v>0</v>
      </c>
      <c r="AQ424" s="7">
        <v>3.25</v>
      </c>
      <c r="AR424" s="7">
        <v>0.62</v>
      </c>
      <c r="AS424" s="4" t="s">
        <v>303</v>
      </c>
      <c r="AT424" s="7">
        <v>0</v>
      </c>
      <c r="AU424" s="4" t="s">
        <v>555</v>
      </c>
      <c r="AV424" s="4" t="s">
        <v>305</v>
      </c>
    </row>
    <row r="425" spans="1:49" s="4" customFormat="1" x14ac:dyDescent="0.25">
      <c r="A425" s="4" t="s">
        <v>11201</v>
      </c>
      <c r="B425" s="4" t="s">
        <v>293</v>
      </c>
      <c r="C425" s="4" t="s">
        <v>556</v>
      </c>
      <c r="D425" s="4" t="s">
        <v>557</v>
      </c>
      <c r="F425" s="4" t="s">
        <v>11239</v>
      </c>
      <c r="G425" s="4" t="s">
        <v>11240</v>
      </c>
      <c r="I425" s="4" t="s">
        <v>292</v>
      </c>
      <c r="J425" s="4" t="s">
        <v>297</v>
      </c>
      <c r="K425" s="4" t="s">
        <v>298</v>
      </c>
      <c r="L425" s="4" t="s">
        <v>299</v>
      </c>
      <c r="M425" s="4" t="s">
        <v>300</v>
      </c>
      <c r="N425" s="4" t="s">
        <v>11198</v>
      </c>
      <c r="O425" s="5">
        <v>41.756</v>
      </c>
      <c r="P425" s="6">
        <v>1</v>
      </c>
      <c r="Q425" s="7">
        <v>9.25</v>
      </c>
      <c r="R425" s="7">
        <v>12</v>
      </c>
      <c r="S425" s="4" t="s">
        <v>301</v>
      </c>
      <c r="T425" s="4" t="s">
        <v>302</v>
      </c>
      <c r="U425" s="5">
        <v>53.023000000000003</v>
      </c>
      <c r="V425" s="6">
        <v>1</v>
      </c>
      <c r="W425" s="7">
        <v>4.5</v>
      </c>
      <c r="X425" s="5">
        <v>44.383000000000003</v>
      </c>
      <c r="Y425" s="4" t="s">
        <v>292</v>
      </c>
      <c r="Z425" s="6">
        <v>1</v>
      </c>
      <c r="AA425" s="6">
        <v>1</v>
      </c>
      <c r="AB425" s="5">
        <v>44.383000000000003</v>
      </c>
      <c r="AC425" s="6">
        <v>1</v>
      </c>
      <c r="AD425" s="6">
        <v>1</v>
      </c>
      <c r="AE425" s="5">
        <v>44.383000000000003</v>
      </c>
      <c r="AF425" s="5">
        <v>44.383000000000003</v>
      </c>
      <c r="AG425" s="7">
        <v>12</v>
      </c>
      <c r="AH425" s="7">
        <v>9.25</v>
      </c>
      <c r="AI425" s="7">
        <v>0</v>
      </c>
      <c r="AJ425" s="7">
        <v>0</v>
      </c>
      <c r="AK425" s="8">
        <v>44115.012673611112</v>
      </c>
      <c r="AL425" s="7">
        <v>5.3</v>
      </c>
      <c r="AM425" s="7">
        <v>100</v>
      </c>
      <c r="AN425" s="7">
        <v>0</v>
      </c>
      <c r="AO425" s="7">
        <v>6.36</v>
      </c>
      <c r="AP425" s="7">
        <v>4.9000000000000004</v>
      </c>
      <c r="AQ425" s="7">
        <v>0</v>
      </c>
      <c r="AR425" s="7">
        <v>2.62</v>
      </c>
      <c r="AS425" s="4" t="s">
        <v>303</v>
      </c>
      <c r="AT425" s="7">
        <v>0</v>
      </c>
      <c r="AU425" s="4" t="s">
        <v>558</v>
      </c>
      <c r="AV425" s="4" t="s">
        <v>305</v>
      </c>
    </row>
    <row r="426" spans="1:49" s="4" customFormat="1" x14ac:dyDescent="0.25">
      <c r="A426" s="4" t="s">
        <v>11201</v>
      </c>
      <c r="B426" s="4" t="s">
        <v>293</v>
      </c>
      <c r="C426" s="4" t="s">
        <v>556</v>
      </c>
      <c r="D426" s="4" t="s">
        <v>557</v>
      </c>
      <c r="F426" s="4" t="s">
        <v>11462</v>
      </c>
      <c r="G426" s="4" t="s">
        <v>11463</v>
      </c>
      <c r="I426" s="4" t="s">
        <v>296</v>
      </c>
      <c r="J426" s="4" t="s">
        <v>297</v>
      </c>
      <c r="K426" s="4" t="s">
        <v>298</v>
      </c>
      <c r="L426" s="4" t="s">
        <v>299</v>
      </c>
      <c r="M426" s="4" t="s">
        <v>300</v>
      </c>
      <c r="N426" s="4" t="s">
        <v>11198</v>
      </c>
      <c r="O426" s="5">
        <v>90.406000000000006</v>
      </c>
      <c r="P426" s="6">
        <v>1</v>
      </c>
      <c r="Q426" s="7">
        <v>9.25</v>
      </c>
      <c r="R426" s="7">
        <v>12</v>
      </c>
      <c r="S426" s="4" t="s">
        <v>301</v>
      </c>
      <c r="T426" s="4" t="s">
        <v>302</v>
      </c>
      <c r="U426" s="5">
        <v>114.801</v>
      </c>
      <c r="V426" s="6">
        <v>0.45</v>
      </c>
      <c r="W426" s="7">
        <v>1.5</v>
      </c>
      <c r="X426" s="5">
        <v>41.53</v>
      </c>
      <c r="Y426" s="4" t="s">
        <v>292</v>
      </c>
      <c r="Z426" s="6">
        <v>1</v>
      </c>
      <c r="AA426" s="6">
        <v>1</v>
      </c>
      <c r="AB426" s="5">
        <v>41.53</v>
      </c>
      <c r="AC426" s="6">
        <v>1</v>
      </c>
      <c r="AD426" s="6">
        <v>1</v>
      </c>
      <c r="AE426" s="5">
        <v>41.53</v>
      </c>
      <c r="AF426" s="7">
        <v>10</v>
      </c>
      <c r="AG426" s="7">
        <v>12</v>
      </c>
      <c r="AH426" s="7">
        <v>9.25</v>
      </c>
      <c r="AI426" s="7">
        <v>0</v>
      </c>
      <c r="AJ426" s="7">
        <v>0</v>
      </c>
      <c r="AK426" s="8">
        <v>44115.520486111112</v>
      </c>
      <c r="AL426" s="7">
        <v>5.17</v>
      </c>
      <c r="AM426" s="7">
        <v>100</v>
      </c>
      <c r="AN426" s="7">
        <v>0</v>
      </c>
      <c r="AO426" s="7">
        <v>6.2</v>
      </c>
      <c r="AP426" s="7">
        <v>4.78</v>
      </c>
      <c r="AQ426" s="7">
        <v>0</v>
      </c>
      <c r="AR426" s="7">
        <v>0.85</v>
      </c>
      <c r="AS426" s="4" t="s">
        <v>303</v>
      </c>
      <c r="AT426" s="7">
        <v>0</v>
      </c>
      <c r="AU426" s="4" t="s">
        <v>558</v>
      </c>
      <c r="AV426" s="4" t="s">
        <v>305</v>
      </c>
      <c r="AW426" s="4" t="s">
        <v>292</v>
      </c>
    </row>
    <row r="427" spans="1:49" s="4" customFormat="1" x14ac:dyDescent="0.25">
      <c r="A427" s="4" t="s">
        <v>11199</v>
      </c>
      <c r="B427" s="4" t="s">
        <v>293</v>
      </c>
      <c r="C427" s="4" t="s">
        <v>556</v>
      </c>
      <c r="D427" s="4" t="s">
        <v>557</v>
      </c>
      <c r="F427" s="4" t="s">
        <v>11462</v>
      </c>
      <c r="G427" s="4" t="s">
        <v>11463</v>
      </c>
      <c r="I427" s="4" t="s">
        <v>296</v>
      </c>
      <c r="J427" s="4" t="s">
        <v>297</v>
      </c>
      <c r="K427" s="4" t="s">
        <v>298</v>
      </c>
      <c r="L427" s="4" t="s">
        <v>299</v>
      </c>
      <c r="M427" s="4" t="s">
        <v>300</v>
      </c>
      <c r="N427" s="4" t="s">
        <v>11198</v>
      </c>
      <c r="O427" s="5">
        <v>90.406000000000006</v>
      </c>
      <c r="P427" s="6">
        <v>1</v>
      </c>
      <c r="Q427" s="7">
        <v>9.25</v>
      </c>
      <c r="R427" s="7">
        <v>7</v>
      </c>
      <c r="S427" s="4" t="s">
        <v>301</v>
      </c>
      <c r="T427" s="4" t="s">
        <v>302</v>
      </c>
      <c r="U427" s="5">
        <v>107.947</v>
      </c>
      <c r="V427" s="6">
        <v>0.45</v>
      </c>
      <c r="W427" s="7">
        <v>2</v>
      </c>
      <c r="X427" s="5">
        <v>41.756</v>
      </c>
      <c r="Y427" s="4" t="s">
        <v>292</v>
      </c>
      <c r="Z427" s="6">
        <v>1</v>
      </c>
      <c r="AA427" s="6">
        <v>1</v>
      </c>
      <c r="AB427" s="5">
        <v>41.756</v>
      </c>
      <c r="AC427" s="6">
        <v>1</v>
      </c>
      <c r="AD427" s="6">
        <v>1</v>
      </c>
      <c r="AE427" s="5">
        <v>41.756</v>
      </c>
      <c r="AF427" s="7">
        <v>10</v>
      </c>
      <c r="AG427" s="7">
        <v>7</v>
      </c>
      <c r="AH427" s="7">
        <v>9.25</v>
      </c>
      <c r="AI427" s="7">
        <v>0</v>
      </c>
      <c r="AJ427" s="7">
        <v>0</v>
      </c>
      <c r="AK427" s="8">
        <v>44115.528807870367</v>
      </c>
      <c r="AL427" s="7">
        <v>4.8600000000000003</v>
      </c>
      <c r="AM427" s="7">
        <v>100</v>
      </c>
      <c r="AN427" s="7">
        <v>0</v>
      </c>
      <c r="AO427" s="7">
        <v>3.4</v>
      </c>
      <c r="AP427" s="7">
        <v>4.49</v>
      </c>
      <c r="AQ427" s="7">
        <v>0</v>
      </c>
      <c r="AR427" s="7">
        <v>1.07</v>
      </c>
      <c r="AS427" s="4" t="s">
        <v>303</v>
      </c>
      <c r="AT427" s="7">
        <v>0</v>
      </c>
      <c r="AU427" s="4" t="s">
        <v>558</v>
      </c>
      <c r="AV427" s="4" t="s">
        <v>305</v>
      </c>
      <c r="AW427" s="4" t="s">
        <v>292</v>
      </c>
    </row>
    <row r="428" spans="1:49" s="4" customFormat="1" x14ac:dyDescent="0.25">
      <c r="A428" s="4" t="s">
        <v>395</v>
      </c>
      <c r="B428" s="4" t="s">
        <v>293</v>
      </c>
      <c r="C428" s="4" t="s">
        <v>556</v>
      </c>
      <c r="D428" s="4" t="s">
        <v>557</v>
      </c>
      <c r="F428" s="4" t="s">
        <v>11462</v>
      </c>
      <c r="G428" s="4" t="s">
        <v>11463</v>
      </c>
      <c r="I428" s="4" t="s">
        <v>296</v>
      </c>
      <c r="J428" s="4" t="s">
        <v>297</v>
      </c>
      <c r="K428" s="4" t="s">
        <v>298</v>
      </c>
      <c r="L428" s="4" t="s">
        <v>299</v>
      </c>
      <c r="M428" s="4" t="s">
        <v>300</v>
      </c>
      <c r="N428" s="4" t="s">
        <v>447</v>
      </c>
      <c r="O428" s="5">
        <v>90.406000000000006</v>
      </c>
      <c r="P428" s="6">
        <v>1</v>
      </c>
      <c r="Q428" s="7">
        <v>9.25</v>
      </c>
      <c r="R428" s="7">
        <v>7</v>
      </c>
      <c r="S428" s="4" t="s">
        <v>301</v>
      </c>
      <c r="T428" s="4" t="s">
        <v>302</v>
      </c>
      <c r="U428" s="5">
        <v>107.947</v>
      </c>
      <c r="V428" s="6">
        <v>0.45</v>
      </c>
      <c r="W428" s="7">
        <v>4</v>
      </c>
      <c r="X428" s="5">
        <v>56.896000000000001</v>
      </c>
      <c r="Y428" s="4" t="s">
        <v>292</v>
      </c>
      <c r="Z428" s="6">
        <v>1</v>
      </c>
      <c r="AA428" s="6">
        <v>0.75270700000000001</v>
      </c>
      <c r="AB428" s="5">
        <v>56.896000000000001</v>
      </c>
      <c r="AC428" s="6">
        <v>1</v>
      </c>
      <c r="AD428" s="6">
        <v>0.75270700000000001</v>
      </c>
      <c r="AE428" s="5">
        <v>56.896000000000001</v>
      </c>
      <c r="AF428" s="7">
        <v>10</v>
      </c>
      <c r="AG428" s="7">
        <v>7</v>
      </c>
      <c r="AH428" s="7">
        <v>9.25</v>
      </c>
      <c r="AI428" s="7">
        <v>17</v>
      </c>
      <c r="AJ428" s="7">
        <v>0</v>
      </c>
      <c r="AK428" s="8">
        <v>44115.528807870367</v>
      </c>
      <c r="AL428" s="7">
        <v>4.8600000000000003</v>
      </c>
      <c r="AM428" s="7">
        <v>100</v>
      </c>
      <c r="AN428" s="7">
        <v>0</v>
      </c>
      <c r="AO428" s="7">
        <v>3.4</v>
      </c>
      <c r="AP428" s="7">
        <v>4.49</v>
      </c>
      <c r="AQ428" s="7">
        <v>10.26</v>
      </c>
      <c r="AR428" s="7">
        <v>2.5499999999999998</v>
      </c>
      <c r="AS428" s="4" t="s">
        <v>303</v>
      </c>
      <c r="AT428" s="7">
        <v>0</v>
      </c>
      <c r="AU428" s="4" t="s">
        <v>558</v>
      </c>
      <c r="AV428" s="4" t="s">
        <v>305</v>
      </c>
      <c r="AW428" s="4" t="s">
        <v>292</v>
      </c>
    </row>
    <row r="429" spans="1:49" s="4" customFormat="1" x14ac:dyDescent="0.25">
      <c r="A429" s="4" t="s">
        <v>11200</v>
      </c>
      <c r="B429" s="4" t="s">
        <v>293</v>
      </c>
      <c r="C429" s="4" t="s">
        <v>556</v>
      </c>
      <c r="D429" s="4" t="s">
        <v>557</v>
      </c>
      <c r="F429" s="4" t="s">
        <v>11462</v>
      </c>
      <c r="G429" s="4" t="s">
        <v>11463</v>
      </c>
      <c r="I429" s="4" t="s">
        <v>296</v>
      </c>
      <c r="J429" s="4" t="s">
        <v>297</v>
      </c>
      <c r="K429" s="4" t="s">
        <v>298</v>
      </c>
      <c r="L429" s="4" t="s">
        <v>299</v>
      </c>
      <c r="M429" s="4" t="s">
        <v>300</v>
      </c>
      <c r="N429" s="4" t="s">
        <v>11198</v>
      </c>
      <c r="O429" s="5">
        <v>90.406000000000006</v>
      </c>
      <c r="P429" s="6">
        <v>1</v>
      </c>
      <c r="Q429" s="7">
        <v>9.25</v>
      </c>
      <c r="R429" s="7">
        <v>18</v>
      </c>
      <c r="S429" s="4" t="s">
        <v>301</v>
      </c>
      <c r="T429" s="4" t="s">
        <v>302</v>
      </c>
      <c r="U429" s="5">
        <v>124.26900000000001</v>
      </c>
      <c r="V429" s="6">
        <v>0.45</v>
      </c>
      <c r="W429" s="7">
        <v>1.5</v>
      </c>
      <c r="X429" s="5">
        <v>41.610999999999997</v>
      </c>
      <c r="Y429" s="4" t="s">
        <v>292</v>
      </c>
      <c r="Z429" s="6">
        <v>1</v>
      </c>
      <c r="AA429" s="6">
        <v>1</v>
      </c>
      <c r="AB429" s="5">
        <v>41.610999999999997</v>
      </c>
      <c r="AC429" s="6">
        <v>1</v>
      </c>
      <c r="AD429" s="6">
        <v>1</v>
      </c>
      <c r="AE429" s="5">
        <v>41.610999999999997</v>
      </c>
      <c r="AF429" s="7">
        <v>10</v>
      </c>
      <c r="AG429" s="7">
        <v>18</v>
      </c>
      <c r="AH429" s="7">
        <v>9.25</v>
      </c>
      <c r="AI429" s="7">
        <v>0</v>
      </c>
      <c r="AJ429" s="7">
        <v>0</v>
      </c>
      <c r="AK429" s="8">
        <v>44115.513043981482</v>
      </c>
      <c r="AL429" s="7">
        <v>5.59</v>
      </c>
      <c r="AM429" s="7">
        <v>100</v>
      </c>
      <c r="AN429" s="7">
        <v>0</v>
      </c>
      <c r="AO429" s="7">
        <v>10.06</v>
      </c>
      <c r="AP429" s="7">
        <v>5.17</v>
      </c>
      <c r="AQ429" s="7">
        <v>0</v>
      </c>
      <c r="AR429" s="7">
        <v>0.92</v>
      </c>
      <c r="AS429" s="4" t="s">
        <v>303</v>
      </c>
      <c r="AT429" s="7">
        <v>0</v>
      </c>
      <c r="AU429" s="4" t="s">
        <v>558</v>
      </c>
      <c r="AV429" s="4" t="s">
        <v>305</v>
      </c>
      <c r="AW429" s="4" t="s">
        <v>292</v>
      </c>
    </row>
    <row r="430" spans="1:49" s="4" customFormat="1" x14ac:dyDescent="0.25">
      <c r="A430" s="4" t="s">
        <v>11207</v>
      </c>
      <c r="B430" s="4" t="s">
        <v>293</v>
      </c>
      <c r="C430" s="4" t="s">
        <v>556</v>
      </c>
      <c r="D430" s="4" t="s">
        <v>557</v>
      </c>
      <c r="F430" s="4" t="s">
        <v>11236</v>
      </c>
      <c r="G430" s="4" t="s">
        <v>11237</v>
      </c>
      <c r="I430" s="4" t="s">
        <v>296</v>
      </c>
      <c r="J430" s="4" t="s">
        <v>297</v>
      </c>
      <c r="K430" s="4" t="s">
        <v>298</v>
      </c>
      <c r="L430" s="4" t="s">
        <v>299</v>
      </c>
      <c r="M430" s="4" t="s">
        <v>300</v>
      </c>
      <c r="N430" s="4" t="s">
        <v>11238</v>
      </c>
      <c r="O430" s="5">
        <v>41.61</v>
      </c>
      <c r="P430" s="6">
        <v>1</v>
      </c>
      <c r="Q430" s="7">
        <v>9.25</v>
      </c>
      <c r="R430" s="7">
        <v>7</v>
      </c>
      <c r="S430" s="4" t="s">
        <v>301</v>
      </c>
      <c r="T430" s="4" t="s">
        <v>302</v>
      </c>
      <c r="U430" s="5">
        <v>49.683999999999997</v>
      </c>
      <c r="V430" s="6">
        <v>0.25</v>
      </c>
      <c r="W430" s="7">
        <v>3</v>
      </c>
      <c r="X430" s="5">
        <v>16.721</v>
      </c>
      <c r="Y430" s="4" t="s">
        <v>292</v>
      </c>
      <c r="Z430" s="6">
        <v>4</v>
      </c>
      <c r="AA430" s="6">
        <v>1</v>
      </c>
      <c r="AB430" s="5">
        <v>66.884</v>
      </c>
      <c r="AC430" s="6">
        <v>1</v>
      </c>
      <c r="AD430" s="6">
        <v>1</v>
      </c>
      <c r="AE430" s="5">
        <v>66.884</v>
      </c>
      <c r="AF430" s="5">
        <v>66.884</v>
      </c>
      <c r="AG430" s="7">
        <v>7</v>
      </c>
      <c r="AH430" s="7">
        <v>0</v>
      </c>
      <c r="AI430" s="7">
        <v>17</v>
      </c>
      <c r="AJ430" s="7">
        <v>0</v>
      </c>
      <c r="AK430" s="8">
        <v>44115.539918981478</v>
      </c>
      <c r="AL430" s="7">
        <v>1.24</v>
      </c>
      <c r="AM430" s="7">
        <v>100</v>
      </c>
      <c r="AN430" s="7">
        <v>0</v>
      </c>
      <c r="AO430" s="7">
        <v>0.87</v>
      </c>
      <c r="AP430" s="7">
        <v>0</v>
      </c>
      <c r="AQ430" s="7">
        <v>2.57</v>
      </c>
      <c r="AR430" s="7">
        <v>0.49</v>
      </c>
      <c r="AS430" s="4" t="s">
        <v>303</v>
      </c>
      <c r="AT430" s="7">
        <v>0</v>
      </c>
      <c r="AU430" s="4" t="s">
        <v>558</v>
      </c>
      <c r="AV430" s="4" t="s">
        <v>305</v>
      </c>
    </row>
    <row r="431" spans="1:49" s="4" customFormat="1" x14ac:dyDescent="0.25">
      <c r="A431" s="4" t="s">
        <v>11201</v>
      </c>
      <c r="B431" s="4" t="s">
        <v>293</v>
      </c>
      <c r="C431" s="4" t="s">
        <v>559</v>
      </c>
      <c r="D431" s="4" t="s">
        <v>560</v>
      </c>
      <c r="F431" s="4" t="s">
        <v>11462</v>
      </c>
      <c r="G431" s="4" t="s">
        <v>11463</v>
      </c>
      <c r="I431" s="4" t="s">
        <v>296</v>
      </c>
      <c r="J431" s="4" t="s">
        <v>297</v>
      </c>
      <c r="K431" s="4" t="s">
        <v>298</v>
      </c>
      <c r="L431" s="4" t="s">
        <v>299</v>
      </c>
      <c r="M431" s="4" t="s">
        <v>300</v>
      </c>
      <c r="N431" s="4" t="s">
        <v>11198</v>
      </c>
      <c r="O431" s="5">
        <v>135.053</v>
      </c>
      <c r="P431" s="6">
        <v>1</v>
      </c>
      <c r="Q431" s="7">
        <v>9.25</v>
      </c>
      <c r="R431" s="7">
        <v>12</v>
      </c>
      <c r="S431" s="4" t="s">
        <v>301</v>
      </c>
      <c r="T431" s="4" t="s">
        <v>302</v>
      </c>
      <c r="U431" s="5">
        <v>171.49600000000001</v>
      </c>
      <c r="V431" s="6">
        <v>0.45</v>
      </c>
      <c r="W431" s="7">
        <v>1.5</v>
      </c>
      <c r="X431" s="5">
        <v>62.052999999999997</v>
      </c>
      <c r="Y431" s="4" t="s">
        <v>292</v>
      </c>
      <c r="Z431" s="6">
        <v>1</v>
      </c>
      <c r="AA431" s="6">
        <v>1</v>
      </c>
      <c r="AB431" s="5">
        <v>62.052999999999997</v>
      </c>
      <c r="AC431" s="6">
        <v>1</v>
      </c>
      <c r="AD431" s="6">
        <v>1</v>
      </c>
      <c r="AE431" s="5">
        <v>62.052999999999997</v>
      </c>
      <c r="AF431" s="7">
        <v>10</v>
      </c>
      <c r="AG431" s="7">
        <v>12</v>
      </c>
      <c r="AH431" s="7">
        <v>9.25</v>
      </c>
      <c r="AI431" s="7">
        <v>0</v>
      </c>
      <c r="AJ431" s="7">
        <v>0</v>
      </c>
      <c r="AK431" s="8">
        <v>44115.520543981482</v>
      </c>
      <c r="AL431" s="7">
        <v>7.72</v>
      </c>
      <c r="AM431" s="7">
        <v>100</v>
      </c>
      <c r="AN431" s="7">
        <v>0</v>
      </c>
      <c r="AO431" s="7">
        <v>9.26</v>
      </c>
      <c r="AP431" s="7">
        <v>7.13</v>
      </c>
      <c r="AQ431" s="7">
        <v>0</v>
      </c>
      <c r="AR431" s="7">
        <v>1.27</v>
      </c>
      <c r="AS431" s="4" t="s">
        <v>303</v>
      </c>
      <c r="AT431" s="7">
        <v>0</v>
      </c>
      <c r="AU431" s="4" t="s">
        <v>561</v>
      </c>
      <c r="AV431" s="4" t="s">
        <v>305</v>
      </c>
      <c r="AW431" s="4" t="s">
        <v>292</v>
      </c>
    </row>
    <row r="432" spans="1:49" s="4" customFormat="1" x14ac:dyDescent="0.25">
      <c r="A432" s="4" t="s">
        <v>11199</v>
      </c>
      <c r="B432" s="4" t="s">
        <v>293</v>
      </c>
      <c r="C432" s="4" t="s">
        <v>559</v>
      </c>
      <c r="D432" s="4" t="s">
        <v>560</v>
      </c>
      <c r="F432" s="4" t="s">
        <v>11462</v>
      </c>
      <c r="G432" s="4" t="s">
        <v>11463</v>
      </c>
      <c r="I432" s="4" t="s">
        <v>296</v>
      </c>
      <c r="J432" s="4" t="s">
        <v>297</v>
      </c>
      <c r="K432" s="4" t="s">
        <v>298</v>
      </c>
      <c r="L432" s="4" t="s">
        <v>299</v>
      </c>
      <c r="M432" s="4" t="s">
        <v>300</v>
      </c>
      <c r="N432" s="4" t="s">
        <v>11198</v>
      </c>
      <c r="O432" s="5">
        <v>135.053</v>
      </c>
      <c r="P432" s="6">
        <v>1</v>
      </c>
      <c r="Q432" s="7">
        <v>9.25</v>
      </c>
      <c r="R432" s="7">
        <v>7</v>
      </c>
      <c r="S432" s="4" t="s">
        <v>301</v>
      </c>
      <c r="T432" s="4" t="s">
        <v>302</v>
      </c>
      <c r="U432" s="5">
        <v>161.25700000000001</v>
      </c>
      <c r="V432" s="6">
        <v>0.45</v>
      </c>
      <c r="W432" s="7">
        <v>2</v>
      </c>
      <c r="X432" s="5">
        <v>62.366</v>
      </c>
      <c r="Y432" s="4" t="s">
        <v>292</v>
      </c>
      <c r="Z432" s="6">
        <v>1</v>
      </c>
      <c r="AA432" s="6">
        <v>1</v>
      </c>
      <c r="AB432" s="5">
        <v>62.366</v>
      </c>
      <c r="AC432" s="6">
        <v>1</v>
      </c>
      <c r="AD432" s="6">
        <v>1</v>
      </c>
      <c r="AE432" s="5">
        <v>62.366</v>
      </c>
      <c r="AF432" s="7">
        <v>10</v>
      </c>
      <c r="AG432" s="7">
        <v>7</v>
      </c>
      <c r="AH432" s="7">
        <v>9.25</v>
      </c>
      <c r="AI432" s="7">
        <v>0</v>
      </c>
      <c r="AJ432" s="7">
        <v>0</v>
      </c>
      <c r="AK432" s="8">
        <v>44115.529097222221</v>
      </c>
      <c r="AL432" s="7">
        <v>7.26</v>
      </c>
      <c r="AM432" s="7">
        <v>100</v>
      </c>
      <c r="AN432" s="7">
        <v>0</v>
      </c>
      <c r="AO432" s="7">
        <v>5.08</v>
      </c>
      <c r="AP432" s="7">
        <v>6.72</v>
      </c>
      <c r="AQ432" s="7">
        <v>0</v>
      </c>
      <c r="AR432" s="7">
        <v>1.6</v>
      </c>
      <c r="AS432" s="4" t="s">
        <v>303</v>
      </c>
      <c r="AT432" s="7">
        <v>0</v>
      </c>
      <c r="AU432" s="4" t="s">
        <v>561</v>
      </c>
      <c r="AV432" s="4" t="s">
        <v>305</v>
      </c>
      <c r="AW432" s="4" t="s">
        <v>292</v>
      </c>
    </row>
    <row r="433" spans="1:49" s="4" customFormat="1" x14ac:dyDescent="0.25">
      <c r="A433" s="4" t="s">
        <v>395</v>
      </c>
      <c r="B433" s="4" t="s">
        <v>293</v>
      </c>
      <c r="C433" s="4" t="s">
        <v>559</v>
      </c>
      <c r="D433" s="4" t="s">
        <v>560</v>
      </c>
      <c r="F433" s="4" t="s">
        <v>11462</v>
      </c>
      <c r="G433" s="4" t="s">
        <v>11463</v>
      </c>
      <c r="I433" s="4" t="s">
        <v>296</v>
      </c>
      <c r="J433" s="4" t="s">
        <v>297</v>
      </c>
      <c r="K433" s="4" t="s">
        <v>298</v>
      </c>
      <c r="L433" s="4" t="s">
        <v>299</v>
      </c>
      <c r="M433" s="4" t="s">
        <v>300</v>
      </c>
      <c r="N433" s="4" t="s">
        <v>447</v>
      </c>
      <c r="O433" s="5">
        <v>135.053</v>
      </c>
      <c r="P433" s="6">
        <v>1</v>
      </c>
      <c r="Q433" s="7">
        <v>9.25</v>
      </c>
      <c r="R433" s="7">
        <v>7</v>
      </c>
      <c r="S433" s="4" t="s">
        <v>301</v>
      </c>
      <c r="T433" s="4" t="s">
        <v>302</v>
      </c>
      <c r="U433" s="5">
        <v>161.25700000000001</v>
      </c>
      <c r="V433" s="6">
        <v>0.45</v>
      </c>
      <c r="W433" s="7">
        <v>4</v>
      </c>
      <c r="X433" s="5">
        <v>84.986000000000004</v>
      </c>
      <c r="Y433" s="4" t="s">
        <v>292</v>
      </c>
      <c r="Z433" s="6">
        <v>1</v>
      </c>
      <c r="AA433" s="6">
        <v>0.75254699999999997</v>
      </c>
      <c r="AB433" s="5">
        <v>84.986000000000004</v>
      </c>
      <c r="AC433" s="6">
        <v>1</v>
      </c>
      <c r="AD433" s="6">
        <v>0.75254699999999997</v>
      </c>
      <c r="AE433" s="5">
        <v>84.986000000000004</v>
      </c>
      <c r="AF433" s="7">
        <v>10</v>
      </c>
      <c r="AG433" s="7">
        <v>7</v>
      </c>
      <c r="AH433" s="7">
        <v>9.25</v>
      </c>
      <c r="AI433" s="7">
        <v>17</v>
      </c>
      <c r="AJ433" s="7">
        <v>0</v>
      </c>
      <c r="AK433" s="8">
        <v>44115.529097222221</v>
      </c>
      <c r="AL433" s="7">
        <v>7.26</v>
      </c>
      <c r="AM433" s="7">
        <v>100</v>
      </c>
      <c r="AN433" s="7">
        <v>0</v>
      </c>
      <c r="AO433" s="7">
        <v>5.08</v>
      </c>
      <c r="AP433" s="7">
        <v>6.72</v>
      </c>
      <c r="AQ433" s="7">
        <v>15.33</v>
      </c>
      <c r="AR433" s="7">
        <v>3.81</v>
      </c>
      <c r="AS433" s="4" t="s">
        <v>303</v>
      </c>
      <c r="AT433" s="7">
        <v>0</v>
      </c>
      <c r="AU433" s="4" t="s">
        <v>561</v>
      </c>
      <c r="AV433" s="4" t="s">
        <v>305</v>
      </c>
      <c r="AW433" s="4" t="s">
        <v>292</v>
      </c>
    </row>
    <row r="434" spans="1:49" s="4" customFormat="1" x14ac:dyDescent="0.25">
      <c r="A434" s="4" t="s">
        <v>11200</v>
      </c>
      <c r="B434" s="4" t="s">
        <v>293</v>
      </c>
      <c r="C434" s="4" t="s">
        <v>559</v>
      </c>
      <c r="D434" s="4" t="s">
        <v>560</v>
      </c>
      <c r="F434" s="4" t="s">
        <v>11462</v>
      </c>
      <c r="G434" s="4" t="s">
        <v>11463</v>
      </c>
      <c r="I434" s="4" t="s">
        <v>296</v>
      </c>
      <c r="J434" s="4" t="s">
        <v>297</v>
      </c>
      <c r="K434" s="4" t="s">
        <v>298</v>
      </c>
      <c r="L434" s="4" t="s">
        <v>299</v>
      </c>
      <c r="M434" s="4" t="s">
        <v>300</v>
      </c>
      <c r="N434" s="4" t="s">
        <v>11198</v>
      </c>
      <c r="O434" s="5">
        <v>135.053</v>
      </c>
      <c r="P434" s="6">
        <v>1</v>
      </c>
      <c r="Q434" s="7">
        <v>9.25</v>
      </c>
      <c r="R434" s="7">
        <v>18</v>
      </c>
      <c r="S434" s="4" t="s">
        <v>301</v>
      </c>
      <c r="T434" s="4" t="s">
        <v>302</v>
      </c>
      <c r="U434" s="5">
        <v>185.64</v>
      </c>
      <c r="V434" s="6">
        <v>0.45</v>
      </c>
      <c r="W434" s="7">
        <v>1.5</v>
      </c>
      <c r="X434" s="5">
        <v>62.148000000000003</v>
      </c>
      <c r="Y434" s="4" t="s">
        <v>292</v>
      </c>
      <c r="Z434" s="6">
        <v>1</v>
      </c>
      <c r="AA434" s="6">
        <v>1</v>
      </c>
      <c r="AB434" s="5">
        <v>62.148000000000003</v>
      </c>
      <c r="AC434" s="6">
        <v>1</v>
      </c>
      <c r="AD434" s="6">
        <v>1</v>
      </c>
      <c r="AE434" s="5">
        <v>62.148000000000003</v>
      </c>
      <c r="AF434" s="7">
        <v>10</v>
      </c>
      <c r="AG434" s="7">
        <v>18</v>
      </c>
      <c r="AH434" s="7">
        <v>9.25</v>
      </c>
      <c r="AI434" s="7">
        <v>0</v>
      </c>
      <c r="AJ434" s="7">
        <v>0</v>
      </c>
      <c r="AK434" s="8">
        <v>44115.513101851851</v>
      </c>
      <c r="AL434" s="7">
        <v>8.35</v>
      </c>
      <c r="AM434" s="7">
        <v>100</v>
      </c>
      <c r="AN434" s="7">
        <v>0</v>
      </c>
      <c r="AO434" s="7">
        <v>15.04</v>
      </c>
      <c r="AP434" s="7">
        <v>7.73</v>
      </c>
      <c r="AQ434" s="7">
        <v>0</v>
      </c>
      <c r="AR434" s="7">
        <v>1.38</v>
      </c>
      <c r="AS434" s="4" t="s">
        <v>303</v>
      </c>
      <c r="AT434" s="7">
        <v>0</v>
      </c>
      <c r="AU434" s="4" t="s">
        <v>561</v>
      </c>
      <c r="AV434" s="4" t="s">
        <v>305</v>
      </c>
      <c r="AW434" s="4" t="s">
        <v>292</v>
      </c>
    </row>
    <row r="435" spans="1:49" s="4" customFormat="1" x14ac:dyDescent="0.25">
      <c r="A435" s="4" t="s">
        <v>11207</v>
      </c>
      <c r="B435" s="4" t="s">
        <v>293</v>
      </c>
      <c r="C435" s="4" t="s">
        <v>559</v>
      </c>
      <c r="D435" s="4" t="s">
        <v>560</v>
      </c>
      <c r="F435" s="4" t="s">
        <v>11236</v>
      </c>
      <c r="G435" s="4" t="s">
        <v>11237</v>
      </c>
      <c r="I435" s="4" t="s">
        <v>296</v>
      </c>
      <c r="J435" s="4" t="s">
        <v>297</v>
      </c>
      <c r="K435" s="4" t="s">
        <v>298</v>
      </c>
      <c r="L435" s="4" t="s">
        <v>299</v>
      </c>
      <c r="M435" s="4" t="s">
        <v>300</v>
      </c>
      <c r="N435" s="4" t="s">
        <v>11238</v>
      </c>
      <c r="O435" s="5">
        <v>62.15</v>
      </c>
      <c r="P435" s="6">
        <v>1</v>
      </c>
      <c r="Q435" s="7">
        <v>9.25</v>
      </c>
      <c r="R435" s="7">
        <v>7</v>
      </c>
      <c r="S435" s="4" t="s">
        <v>301</v>
      </c>
      <c r="T435" s="4" t="s">
        <v>302</v>
      </c>
      <c r="U435" s="5">
        <v>74.209000000000003</v>
      </c>
      <c r="V435" s="6">
        <v>0.25</v>
      </c>
      <c r="W435" s="7">
        <v>3</v>
      </c>
      <c r="X435" s="5">
        <v>24.981999999999999</v>
      </c>
      <c r="Y435" s="4" t="s">
        <v>292</v>
      </c>
      <c r="Z435" s="6">
        <v>4</v>
      </c>
      <c r="AA435" s="6">
        <v>1</v>
      </c>
      <c r="AB435" s="5">
        <v>99.927999999999997</v>
      </c>
      <c r="AC435" s="6">
        <v>1</v>
      </c>
      <c r="AD435" s="6">
        <v>1</v>
      </c>
      <c r="AE435" s="5">
        <v>99.927999999999997</v>
      </c>
      <c r="AF435" s="5">
        <v>99.927999999999997</v>
      </c>
      <c r="AG435" s="7">
        <v>7</v>
      </c>
      <c r="AH435" s="7">
        <v>0</v>
      </c>
      <c r="AI435" s="7">
        <v>17</v>
      </c>
      <c r="AJ435" s="7">
        <v>0</v>
      </c>
      <c r="AK435" s="8">
        <v>44115.539988425924</v>
      </c>
      <c r="AL435" s="7">
        <v>1.86</v>
      </c>
      <c r="AM435" s="7">
        <v>100</v>
      </c>
      <c r="AN435" s="7">
        <v>0</v>
      </c>
      <c r="AO435" s="7">
        <v>1.3</v>
      </c>
      <c r="AP435" s="7">
        <v>0</v>
      </c>
      <c r="AQ435" s="7">
        <v>3.84</v>
      </c>
      <c r="AR435" s="7">
        <v>0.73</v>
      </c>
      <c r="AS435" s="4" t="s">
        <v>303</v>
      </c>
      <c r="AT435" s="7">
        <v>0</v>
      </c>
      <c r="AU435" s="4" t="s">
        <v>561</v>
      </c>
      <c r="AV435" s="4" t="s">
        <v>305</v>
      </c>
    </row>
    <row r="436" spans="1:49" s="4" customFormat="1" x14ac:dyDescent="0.25">
      <c r="A436" s="4" t="s">
        <v>11201</v>
      </c>
      <c r="B436" s="4" t="s">
        <v>293</v>
      </c>
      <c r="C436" s="4" t="s">
        <v>562</v>
      </c>
      <c r="D436" s="4" t="s">
        <v>563</v>
      </c>
      <c r="F436" s="4" t="s">
        <v>11462</v>
      </c>
      <c r="G436" s="4" t="s">
        <v>11463</v>
      </c>
      <c r="I436" s="4" t="s">
        <v>296</v>
      </c>
      <c r="J436" s="4" t="s">
        <v>297</v>
      </c>
      <c r="K436" s="4" t="s">
        <v>319</v>
      </c>
      <c r="L436" s="4" t="s">
        <v>299</v>
      </c>
      <c r="M436" s="4" t="s">
        <v>300</v>
      </c>
      <c r="N436" s="4" t="s">
        <v>11198</v>
      </c>
      <c r="O436" s="5">
        <v>0</v>
      </c>
      <c r="P436" s="6">
        <v>1</v>
      </c>
      <c r="Q436" s="7">
        <v>9.25</v>
      </c>
      <c r="R436" s="7">
        <v>12</v>
      </c>
      <c r="S436" s="4" t="s">
        <v>301</v>
      </c>
      <c r="T436" s="4" t="s">
        <v>302</v>
      </c>
      <c r="U436" s="5">
        <v>57.66</v>
      </c>
      <c r="V436" s="6">
        <v>0.415715</v>
      </c>
      <c r="W436" s="7">
        <v>1.5</v>
      </c>
      <c r="X436" s="5">
        <v>19.27</v>
      </c>
      <c r="Y436" s="4" t="s">
        <v>292</v>
      </c>
      <c r="Z436" s="6">
        <v>1</v>
      </c>
      <c r="AA436" s="6">
        <v>1</v>
      </c>
      <c r="AB436" s="5">
        <v>19.27</v>
      </c>
      <c r="AC436" s="6">
        <v>1</v>
      </c>
      <c r="AD436" s="6">
        <v>1</v>
      </c>
      <c r="AE436" s="5">
        <v>19.27</v>
      </c>
      <c r="AF436" s="7">
        <v>10</v>
      </c>
      <c r="AG436" s="7">
        <v>12</v>
      </c>
      <c r="AH436" s="7">
        <v>9.25</v>
      </c>
      <c r="AI436" s="7">
        <v>0</v>
      </c>
      <c r="AJ436" s="7">
        <v>0</v>
      </c>
      <c r="AK436" s="8">
        <v>44115.012777777774</v>
      </c>
      <c r="AL436" s="7">
        <v>2.4</v>
      </c>
      <c r="AM436" s="7">
        <v>100</v>
      </c>
      <c r="AN436" s="7">
        <v>0</v>
      </c>
      <c r="AO436" s="7">
        <v>2.88</v>
      </c>
      <c r="AP436" s="7">
        <v>2.2200000000000002</v>
      </c>
      <c r="AQ436" s="7">
        <v>0</v>
      </c>
      <c r="AR436" s="7">
        <v>0.4</v>
      </c>
      <c r="AS436" s="4" t="s">
        <v>303</v>
      </c>
      <c r="AT436" s="7">
        <v>0</v>
      </c>
      <c r="AU436" s="4" t="s">
        <v>564</v>
      </c>
      <c r="AV436" s="4" t="s">
        <v>305</v>
      </c>
      <c r="AW436" s="4" t="s">
        <v>296</v>
      </c>
    </row>
    <row r="437" spans="1:49" s="4" customFormat="1" x14ac:dyDescent="0.25">
      <c r="A437" s="4" t="s">
        <v>11199</v>
      </c>
      <c r="B437" s="4" t="s">
        <v>293</v>
      </c>
      <c r="C437" s="4" t="s">
        <v>562</v>
      </c>
      <c r="D437" s="4" t="s">
        <v>563</v>
      </c>
      <c r="F437" s="4" t="s">
        <v>11462</v>
      </c>
      <c r="G437" s="4" t="s">
        <v>11463</v>
      </c>
      <c r="I437" s="4" t="s">
        <v>296</v>
      </c>
      <c r="J437" s="4" t="s">
        <v>297</v>
      </c>
      <c r="K437" s="4" t="s">
        <v>319</v>
      </c>
      <c r="L437" s="4" t="s">
        <v>299</v>
      </c>
      <c r="M437" s="4" t="s">
        <v>300</v>
      </c>
      <c r="N437" s="4" t="s">
        <v>11198</v>
      </c>
      <c r="O437" s="5">
        <v>0</v>
      </c>
      <c r="P437" s="6">
        <v>1</v>
      </c>
      <c r="Q437" s="7">
        <v>9.25</v>
      </c>
      <c r="R437" s="7">
        <v>7</v>
      </c>
      <c r="S437" s="4" t="s">
        <v>301</v>
      </c>
      <c r="T437" s="4" t="s">
        <v>302</v>
      </c>
      <c r="U437" s="5">
        <v>57.66</v>
      </c>
      <c r="V437" s="6">
        <v>0.39089600000000002</v>
      </c>
      <c r="W437" s="7">
        <v>2</v>
      </c>
      <c r="X437" s="5">
        <v>19.379000000000001</v>
      </c>
      <c r="Y437" s="4" t="s">
        <v>292</v>
      </c>
      <c r="Z437" s="6">
        <v>1</v>
      </c>
      <c r="AA437" s="6">
        <v>1</v>
      </c>
      <c r="AB437" s="5">
        <v>19.379000000000001</v>
      </c>
      <c r="AC437" s="6">
        <v>1</v>
      </c>
      <c r="AD437" s="6">
        <v>1</v>
      </c>
      <c r="AE437" s="5">
        <v>19.379000000000001</v>
      </c>
      <c r="AF437" s="7">
        <v>10</v>
      </c>
      <c r="AG437" s="7">
        <v>7</v>
      </c>
      <c r="AH437" s="7">
        <v>9.25</v>
      </c>
      <c r="AI437" s="7">
        <v>0</v>
      </c>
      <c r="AJ437" s="7">
        <v>0</v>
      </c>
      <c r="AK437" s="8">
        <v>44115.016400462962</v>
      </c>
      <c r="AL437" s="7">
        <v>2.25</v>
      </c>
      <c r="AM437" s="7">
        <v>100</v>
      </c>
      <c r="AN437" s="7">
        <v>0</v>
      </c>
      <c r="AO437" s="7">
        <v>1.58</v>
      </c>
      <c r="AP437" s="7">
        <v>2.08</v>
      </c>
      <c r="AQ437" s="7">
        <v>0</v>
      </c>
      <c r="AR437" s="7">
        <v>0.5</v>
      </c>
      <c r="AS437" s="4" t="s">
        <v>303</v>
      </c>
      <c r="AT437" s="7">
        <v>0</v>
      </c>
      <c r="AU437" s="4" t="s">
        <v>564</v>
      </c>
      <c r="AV437" s="4" t="s">
        <v>305</v>
      </c>
      <c r="AW437" s="4" t="s">
        <v>296</v>
      </c>
    </row>
    <row r="438" spans="1:49" s="4" customFormat="1" x14ac:dyDescent="0.25">
      <c r="A438" s="4" t="s">
        <v>395</v>
      </c>
      <c r="B438" s="4" t="s">
        <v>293</v>
      </c>
      <c r="C438" s="4" t="s">
        <v>562</v>
      </c>
      <c r="D438" s="4" t="s">
        <v>563</v>
      </c>
      <c r="F438" s="4" t="s">
        <v>11245</v>
      </c>
      <c r="G438" s="4" t="s">
        <v>11246</v>
      </c>
      <c r="I438" s="4" t="s">
        <v>296</v>
      </c>
      <c r="J438" s="4" t="s">
        <v>297</v>
      </c>
      <c r="K438" s="4" t="s">
        <v>319</v>
      </c>
      <c r="L438" s="4" t="s">
        <v>299</v>
      </c>
      <c r="M438" s="4" t="s">
        <v>300</v>
      </c>
      <c r="N438" s="4" t="s">
        <v>447</v>
      </c>
      <c r="O438" s="5">
        <v>19.27</v>
      </c>
      <c r="P438" s="6">
        <v>1</v>
      </c>
      <c r="Q438" s="7">
        <v>9.25</v>
      </c>
      <c r="R438" s="7">
        <v>7</v>
      </c>
      <c r="S438" s="4" t="s">
        <v>301</v>
      </c>
      <c r="T438" s="4" t="s">
        <v>302</v>
      </c>
      <c r="U438" s="5">
        <v>23.009</v>
      </c>
      <c r="V438" s="6">
        <v>1</v>
      </c>
      <c r="W438" s="7">
        <v>4</v>
      </c>
      <c r="X438" s="5">
        <v>26.949000000000002</v>
      </c>
      <c r="Y438" s="4" t="s">
        <v>292</v>
      </c>
      <c r="Z438" s="6">
        <v>1</v>
      </c>
      <c r="AA438" s="6">
        <v>0.75249500000000002</v>
      </c>
      <c r="AB438" s="5">
        <v>26.949000000000002</v>
      </c>
      <c r="AC438" s="6">
        <v>1</v>
      </c>
      <c r="AD438" s="6">
        <v>0.75249500000000002</v>
      </c>
      <c r="AE438" s="5">
        <v>26.949000000000002</v>
      </c>
      <c r="AF438" s="5">
        <v>26.949000000000002</v>
      </c>
      <c r="AG438" s="7">
        <v>7</v>
      </c>
      <c r="AH438" s="7">
        <v>9.25</v>
      </c>
      <c r="AI438" s="7">
        <v>17</v>
      </c>
      <c r="AJ438" s="7">
        <v>0</v>
      </c>
      <c r="AK438" s="8">
        <v>44115.529108796298</v>
      </c>
      <c r="AL438" s="7">
        <v>2.2999999999999998</v>
      </c>
      <c r="AM438" s="7">
        <v>100</v>
      </c>
      <c r="AN438" s="7">
        <v>0</v>
      </c>
      <c r="AO438" s="7">
        <v>1.61</v>
      </c>
      <c r="AP438" s="7">
        <v>2.13</v>
      </c>
      <c r="AQ438" s="7">
        <v>4.8600000000000003</v>
      </c>
      <c r="AR438" s="7">
        <v>1.21</v>
      </c>
      <c r="AS438" s="4" t="s">
        <v>303</v>
      </c>
      <c r="AT438" s="7">
        <v>0</v>
      </c>
      <c r="AU438" s="4" t="s">
        <v>564</v>
      </c>
      <c r="AV438" s="4" t="s">
        <v>305</v>
      </c>
    </row>
    <row r="439" spans="1:49" s="4" customFormat="1" x14ac:dyDescent="0.25">
      <c r="A439" s="4" t="s">
        <v>395</v>
      </c>
      <c r="B439" s="4" t="s">
        <v>293</v>
      </c>
      <c r="C439" s="4" t="s">
        <v>562</v>
      </c>
      <c r="D439" s="4" t="s">
        <v>563</v>
      </c>
      <c r="F439" s="4" t="s">
        <v>11462</v>
      </c>
      <c r="G439" s="4" t="s">
        <v>11463</v>
      </c>
      <c r="I439" s="4" t="s">
        <v>292</v>
      </c>
      <c r="J439" s="4" t="s">
        <v>297</v>
      </c>
      <c r="K439" s="4" t="s">
        <v>319</v>
      </c>
      <c r="L439" s="4" t="s">
        <v>299</v>
      </c>
      <c r="M439" s="4" t="s">
        <v>300</v>
      </c>
      <c r="N439" s="4" t="s">
        <v>447</v>
      </c>
      <c r="O439" s="5">
        <v>0</v>
      </c>
      <c r="P439" s="6">
        <v>1</v>
      </c>
      <c r="Q439" s="7">
        <v>9.25</v>
      </c>
      <c r="R439" s="7">
        <v>7</v>
      </c>
      <c r="S439" s="4" t="s">
        <v>301</v>
      </c>
      <c r="T439" s="4" t="s">
        <v>302</v>
      </c>
      <c r="U439" s="5">
        <v>57.66</v>
      </c>
      <c r="V439" s="6">
        <v>0.39089600000000002</v>
      </c>
      <c r="W439" s="7">
        <v>7</v>
      </c>
      <c r="X439" s="5">
        <v>27.289000000000001</v>
      </c>
      <c r="Y439" s="4" t="s">
        <v>292</v>
      </c>
      <c r="Z439" s="6">
        <v>1</v>
      </c>
      <c r="AA439" s="6">
        <v>1</v>
      </c>
      <c r="AB439" s="5">
        <v>27.289000000000001</v>
      </c>
      <c r="AC439" s="6">
        <v>1</v>
      </c>
      <c r="AD439" s="6">
        <v>1</v>
      </c>
      <c r="AE439" s="5">
        <v>27.289000000000001</v>
      </c>
      <c r="AF439" s="7">
        <v>10</v>
      </c>
      <c r="AG439" s="7">
        <v>7</v>
      </c>
      <c r="AH439" s="7">
        <v>9.25</v>
      </c>
      <c r="AI439" s="7">
        <v>17</v>
      </c>
      <c r="AJ439" s="7">
        <v>0</v>
      </c>
      <c r="AK439" s="8">
        <v>44115.016412037039</v>
      </c>
      <c r="AL439" s="7">
        <v>2.25</v>
      </c>
      <c r="AM439" s="7">
        <v>100</v>
      </c>
      <c r="AN439" s="7">
        <v>0</v>
      </c>
      <c r="AO439" s="7">
        <v>1.58</v>
      </c>
      <c r="AP439" s="7">
        <v>2.08</v>
      </c>
      <c r="AQ439" s="7">
        <v>4.76</v>
      </c>
      <c r="AR439" s="7">
        <v>2.0699999999999998</v>
      </c>
      <c r="AS439" s="4" t="s">
        <v>303</v>
      </c>
      <c r="AT439" s="7">
        <v>0</v>
      </c>
      <c r="AU439" s="4" t="s">
        <v>564</v>
      </c>
      <c r="AV439" s="4" t="s">
        <v>305</v>
      </c>
      <c r="AW439" s="4" t="s">
        <v>296</v>
      </c>
    </row>
    <row r="440" spans="1:49" s="4" customFormat="1" x14ac:dyDescent="0.25">
      <c r="A440" s="4" t="s">
        <v>11200</v>
      </c>
      <c r="B440" s="4" t="s">
        <v>293</v>
      </c>
      <c r="C440" s="4" t="s">
        <v>562</v>
      </c>
      <c r="D440" s="4" t="s">
        <v>563</v>
      </c>
      <c r="F440" s="4" t="s">
        <v>11462</v>
      </c>
      <c r="G440" s="4" t="s">
        <v>11463</v>
      </c>
      <c r="I440" s="4" t="s">
        <v>296</v>
      </c>
      <c r="J440" s="4" t="s">
        <v>297</v>
      </c>
      <c r="K440" s="4" t="s">
        <v>319</v>
      </c>
      <c r="L440" s="4" t="s">
        <v>299</v>
      </c>
      <c r="M440" s="4" t="s">
        <v>300</v>
      </c>
      <c r="N440" s="4" t="s">
        <v>11198</v>
      </c>
      <c r="O440" s="5">
        <v>0</v>
      </c>
      <c r="P440" s="6">
        <v>1</v>
      </c>
      <c r="Q440" s="7">
        <v>9.25</v>
      </c>
      <c r="R440" s="7">
        <v>18</v>
      </c>
      <c r="S440" s="4" t="s">
        <v>301</v>
      </c>
      <c r="T440" s="4" t="s">
        <v>302</v>
      </c>
      <c r="U440" s="5">
        <v>57.66</v>
      </c>
      <c r="V440" s="6">
        <v>0.45</v>
      </c>
      <c r="W440" s="7">
        <v>1.5</v>
      </c>
      <c r="X440" s="5">
        <v>19.306999999999999</v>
      </c>
      <c r="Y440" s="4" t="s">
        <v>292</v>
      </c>
      <c r="Z440" s="6">
        <v>1</v>
      </c>
      <c r="AA440" s="6">
        <v>1</v>
      </c>
      <c r="AB440" s="5">
        <v>19.306999999999999</v>
      </c>
      <c r="AC440" s="6">
        <v>1</v>
      </c>
      <c r="AD440" s="6">
        <v>1</v>
      </c>
      <c r="AE440" s="5">
        <v>19.306999999999999</v>
      </c>
      <c r="AF440" s="7">
        <v>10</v>
      </c>
      <c r="AG440" s="7">
        <v>18</v>
      </c>
      <c r="AH440" s="7">
        <v>9.25</v>
      </c>
      <c r="AI440" s="7">
        <v>0</v>
      </c>
      <c r="AJ440" s="7">
        <v>0</v>
      </c>
      <c r="AK440" s="8">
        <v>44115.004918981482</v>
      </c>
      <c r="AL440" s="7">
        <v>2.6</v>
      </c>
      <c r="AM440" s="7">
        <v>100</v>
      </c>
      <c r="AN440" s="7">
        <v>0</v>
      </c>
      <c r="AO440" s="7">
        <v>4.67</v>
      </c>
      <c r="AP440" s="7">
        <v>2.4</v>
      </c>
      <c r="AQ440" s="7">
        <v>0</v>
      </c>
      <c r="AR440" s="7">
        <v>0.43</v>
      </c>
      <c r="AS440" s="4" t="s">
        <v>303</v>
      </c>
      <c r="AT440" s="7">
        <v>0</v>
      </c>
      <c r="AU440" s="4" t="s">
        <v>564</v>
      </c>
      <c r="AV440" s="4" t="s">
        <v>305</v>
      </c>
      <c r="AW440" s="4" t="s">
        <v>296</v>
      </c>
    </row>
    <row r="441" spans="1:49" s="4" customFormat="1" x14ac:dyDescent="0.25">
      <c r="A441" s="4" t="s">
        <v>11201</v>
      </c>
      <c r="B441" s="4" t="s">
        <v>293</v>
      </c>
      <c r="C441" s="4" t="s">
        <v>565</v>
      </c>
      <c r="D441" s="4" t="s">
        <v>566</v>
      </c>
      <c r="F441" s="4" t="s">
        <v>11462</v>
      </c>
      <c r="G441" s="4" t="s">
        <v>11463</v>
      </c>
      <c r="I441" s="4" t="s">
        <v>296</v>
      </c>
      <c r="J441" s="4" t="s">
        <v>297</v>
      </c>
      <c r="K441" s="4" t="s">
        <v>311</v>
      </c>
      <c r="L441" s="4" t="s">
        <v>299</v>
      </c>
      <c r="M441" s="4" t="s">
        <v>300</v>
      </c>
      <c r="N441" s="4" t="s">
        <v>11198</v>
      </c>
      <c r="O441" s="5">
        <v>12.131</v>
      </c>
      <c r="P441" s="6">
        <v>1</v>
      </c>
      <c r="Q441" s="7">
        <v>9.25</v>
      </c>
      <c r="R441" s="7">
        <v>12</v>
      </c>
      <c r="S441" s="4" t="s">
        <v>301</v>
      </c>
      <c r="T441" s="4" t="s">
        <v>302</v>
      </c>
      <c r="U441" s="5">
        <v>15.404</v>
      </c>
      <c r="V441" s="6">
        <v>0.45</v>
      </c>
      <c r="W441" s="7">
        <v>1.5</v>
      </c>
      <c r="X441" s="5">
        <v>5.5720000000000001</v>
      </c>
      <c r="Y441" s="4" t="s">
        <v>292</v>
      </c>
      <c r="Z441" s="6">
        <v>1</v>
      </c>
      <c r="AA441" s="6">
        <v>1</v>
      </c>
      <c r="AB441" s="5">
        <v>5.5720000000000001</v>
      </c>
      <c r="AC441" s="6">
        <v>1</v>
      </c>
      <c r="AD441" s="6">
        <v>1</v>
      </c>
      <c r="AE441" s="5">
        <v>5.5720000000000001</v>
      </c>
      <c r="AF441" s="7">
        <v>10</v>
      </c>
      <c r="AG441" s="7">
        <v>12</v>
      </c>
      <c r="AH441" s="7">
        <v>9.25</v>
      </c>
      <c r="AI441" s="7">
        <v>0</v>
      </c>
      <c r="AJ441" s="7">
        <v>0</v>
      </c>
      <c r="AK441" s="8">
        <v>44115.520590277774</v>
      </c>
      <c r="AL441" s="7">
        <v>0.69</v>
      </c>
      <c r="AM441" s="7">
        <v>100</v>
      </c>
      <c r="AN441" s="7">
        <v>0</v>
      </c>
      <c r="AO441" s="7">
        <v>0.83</v>
      </c>
      <c r="AP441" s="7">
        <v>0.64</v>
      </c>
      <c r="AQ441" s="7">
        <v>0</v>
      </c>
      <c r="AR441" s="7">
        <v>0.11</v>
      </c>
      <c r="AS441" s="4" t="s">
        <v>303</v>
      </c>
      <c r="AT441" s="7">
        <v>0</v>
      </c>
      <c r="AU441" s="4" t="s">
        <v>567</v>
      </c>
      <c r="AV441" s="4" t="s">
        <v>305</v>
      </c>
      <c r="AW441" s="4" t="s">
        <v>292</v>
      </c>
    </row>
    <row r="442" spans="1:49" s="4" customFormat="1" x14ac:dyDescent="0.25">
      <c r="A442" s="4" t="s">
        <v>11199</v>
      </c>
      <c r="B442" s="4" t="s">
        <v>293</v>
      </c>
      <c r="C442" s="4" t="s">
        <v>565</v>
      </c>
      <c r="D442" s="4" t="s">
        <v>566</v>
      </c>
      <c r="F442" s="4" t="s">
        <v>11462</v>
      </c>
      <c r="G442" s="4" t="s">
        <v>11463</v>
      </c>
      <c r="I442" s="4" t="s">
        <v>296</v>
      </c>
      <c r="J442" s="4" t="s">
        <v>297</v>
      </c>
      <c r="K442" s="4" t="s">
        <v>311</v>
      </c>
      <c r="L442" s="4" t="s">
        <v>299</v>
      </c>
      <c r="M442" s="4" t="s">
        <v>300</v>
      </c>
      <c r="N442" s="4" t="s">
        <v>11198</v>
      </c>
      <c r="O442" s="5">
        <v>12.127000000000001</v>
      </c>
      <c r="P442" s="6">
        <v>1</v>
      </c>
      <c r="Q442" s="7">
        <v>9.25</v>
      </c>
      <c r="R442" s="7">
        <v>7</v>
      </c>
      <c r="S442" s="4" t="s">
        <v>301</v>
      </c>
      <c r="T442" s="4" t="s">
        <v>302</v>
      </c>
      <c r="U442" s="5">
        <v>14.48</v>
      </c>
      <c r="V442" s="6">
        <v>0.45</v>
      </c>
      <c r="W442" s="7">
        <v>2</v>
      </c>
      <c r="X442" s="5">
        <v>5.5860000000000003</v>
      </c>
      <c r="Y442" s="4" t="s">
        <v>292</v>
      </c>
      <c r="Z442" s="6">
        <v>1</v>
      </c>
      <c r="AA442" s="6">
        <v>1</v>
      </c>
      <c r="AB442" s="5">
        <v>5.5860000000000003</v>
      </c>
      <c r="AC442" s="6">
        <v>1</v>
      </c>
      <c r="AD442" s="6">
        <v>1</v>
      </c>
      <c r="AE442" s="5">
        <v>5.5860000000000003</v>
      </c>
      <c r="AF442" s="7">
        <v>10</v>
      </c>
      <c r="AG442" s="7">
        <v>7</v>
      </c>
      <c r="AH442" s="7">
        <v>9.25</v>
      </c>
      <c r="AI442" s="7">
        <v>0</v>
      </c>
      <c r="AJ442" s="7">
        <v>0</v>
      </c>
      <c r="AK442" s="8">
        <v>44115.529293981483</v>
      </c>
      <c r="AL442" s="7">
        <v>0.65</v>
      </c>
      <c r="AM442" s="7">
        <v>100</v>
      </c>
      <c r="AN442" s="7">
        <v>0</v>
      </c>
      <c r="AO442" s="7">
        <v>0.46</v>
      </c>
      <c r="AP442" s="7">
        <v>0.61</v>
      </c>
      <c r="AQ442" s="7">
        <v>0</v>
      </c>
      <c r="AR442" s="7">
        <v>0.14000000000000001</v>
      </c>
      <c r="AS442" s="4" t="s">
        <v>303</v>
      </c>
      <c r="AT442" s="7">
        <v>0</v>
      </c>
      <c r="AU442" s="4" t="s">
        <v>567</v>
      </c>
      <c r="AV442" s="4" t="s">
        <v>305</v>
      </c>
      <c r="AW442" s="4" t="s">
        <v>292</v>
      </c>
    </row>
    <row r="443" spans="1:49" s="4" customFormat="1" x14ac:dyDescent="0.25">
      <c r="A443" s="4" t="s">
        <v>395</v>
      </c>
      <c r="B443" s="4" t="s">
        <v>293</v>
      </c>
      <c r="C443" s="4" t="s">
        <v>565</v>
      </c>
      <c r="D443" s="4" t="s">
        <v>566</v>
      </c>
      <c r="F443" s="4" t="s">
        <v>11462</v>
      </c>
      <c r="G443" s="4" t="s">
        <v>11463</v>
      </c>
      <c r="I443" s="4" t="s">
        <v>296</v>
      </c>
      <c r="J443" s="4" t="s">
        <v>297</v>
      </c>
      <c r="K443" s="4" t="s">
        <v>311</v>
      </c>
      <c r="L443" s="4" t="s">
        <v>299</v>
      </c>
      <c r="M443" s="4" t="s">
        <v>300</v>
      </c>
      <c r="N443" s="4" t="s">
        <v>447</v>
      </c>
      <c r="O443" s="5">
        <v>12.127000000000001</v>
      </c>
      <c r="P443" s="6">
        <v>1</v>
      </c>
      <c r="Q443" s="7">
        <v>9.25</v>
      </c>
      <c r="R443" s="7">
        <v>7</v>
      </c>
      <c r="S443" s="4" t="s">
        <v>301</v>
      </c>
      <c r="T443" s="4" t="s">
        <v>302</v>
      </c>
      <c r="U443" s="5">
        <v>14.48</v>
      </c>
      <c r="V443" s="6">
        <v>0.45</v>
      </c>
      <c r="W443" s="7">
        <v>4</v>
      </c>
      <c r="X443" s="5">
        <v>7.6260000000000003</v>
      </c>
      <c r="Y443" s="4" t="s">
        <v>292</v>
      </c>
      <c r="Z443" s="6">
        <v>1</v>
      </c>
      <c r="AA443" s="6">
        <v>0.75216400000000005</v>
      </c>
      <c r="AB443" s="5">
        <v>7.6260000000000003</v>
      </c>
      <c r="AC443" s="6">
        <v>1</v>
      </c>
      <c r="AD443" s="6">
        <v>0.75216400000000005</v>
      </c>
      <c r="AE443" s="5">
        <v>7.6260000000000003</v>
      </c>
      <c r="AF443" s="7">
        <v>10</v>
      </c>
      <c r="AG443" s="7">
        <v>7</v>
      </c>
      <c r="AH443" s="7">
        <v>9.25</v>
      </c>
      <c r="AI443" s="7">
        <v>17</v>
      </c>
      <c r="AJ443" s="7">
        <v>0</v>
      </c>
      <c r="AK443" s="8">
        <v>44115.529293981483</v>
      </c>
      <c r="AL443" s="7">
        <v>0.65</v>
      </c>
      <c r="AM443" s="7">
        <v>100</v>
      </c>
      <c r="AN443" s="7">
        <v>0</v>
      </c>
      <c r="AO443" s="7">
        <v>0.46</v>
      </c>
      <c r="AP443" s="7">
        <v>0.61</v>
      </c>
      <c r="AQ443" s="7">
        <v>1.38</v>
      </c>
      <c r="AR443" s="7">
        <v>0.34</v>
      </c>
      <c r="AS443" s="4" t="s">
        <v>303</v>
      </c>
      <c r="AT443" s="7">
        <v>0</v>
      </c>
      <c r="AU443" s="4" t="s">
        <v>567</v>
      </c>
      <c r="AV443" s="4" t="s">
        <v>305</v>
      </c>
      <c r="AW443" s="4" t="s">
        <v>292</v>
      </c>
    </row>
    <row r="444" spans="1:49" s="4" customFormat="1" x14ac:dyDescent="0.25">
      <c r="A444" s="4" t="s">
        <v>11200</v>
      </c>
      <c r="B444" s="4" t="s">
        <v>293</v>
      </c>
      <c r="C444" s="4" t="s">
        <v>565</v>
      </c>
      <c r="D444" s="4" t="s">
        <v>566</v>
      </c>
      <c r="F444" s="4" t="s">
        <v>11462</v>
      </c>
      <c r="G444" s="4" t="s">
        <v>11463</v>
      </c>
      <c r="I444" s="4" t="s">
        <v>296</v>
      </c>
      <c r="J444" s="4" t="s">
        <v>297</v>
      </c>
      <c r="K444" s="4" t="s">
        <v>311</v>
      </c>
      <c r="L444" s="4" t="s">
        <v>299</v>
      </c>
      <c r="M444" s="4" t="s">
        <v>300</v>
      </c>
      <c r="N444" s="4" t="s">
        <v>11198</v>
      </c>
      <c r="O444" s="5">
        <v>12.127000000000001</v>
      </c>
      <c r="P444" s="6">
        <v>1</v>
      </c>
      <c r="Q444" s="7">
        <v>9.25</v>
      </c>
      <c r="R444" s="7">
        <v>18</v>
      </c>
      <c r="S444" s="4" t="s">
        <v>301</v>
      </c>
      <c r="T444" s="4" t="s">
        <v>302</v>
      </c>
      <c r="U444" s="5">
        <v>16.669</v>
      </c>
      <c r="V444" s="6">
        <v>0.45</v>
      </c>
      <c r="W444" s="7">
        <v>1.5</v>
      </c>
      <c r="X444" s="5">
        <v>5.5810000000000004</v>
      </c>
      <c r="Y444" s="4" t="s">
        <v>292</v>
      </c>
      <c r="Z444" s="6">
        <v>1</v>
      </c>
      <c r="AA444" s="6">
        <v>1</v>
      </c>
      <c r="AB444" s="5">
        <v>5.5810000000000004</v>
      </c>
      <c r="AC444" s="6">
        <v>1</v>
      </c>
      <c r="AD444" s="6">
        <v>1</v>
      </c>
      <c r="AE444" s="5">
        <v>5.5810000000000004</v>
      </c>
      <c r="AF444" s="7">
        <v>10</v>
      </c>
      <c r="AG444" s="7">
        <v>18</v>
      </c>
      <c r="AH444" s="7">
        <v>9.25</v>
      </c>
      <c r="AI444" s="7">
        <v>0</v>
      </c>
      <c r="AJ444" s="7">
        <v>0</v>
      </c>
      <c r="AK444" s="8">
        <v>44115.513171296298</v>
      </c>
      <c r="AL444" s="7">
        <v>0.75</v>
      </c>
      <c r="AM444" s="7">
        <v>100</v>
      </c>
      <c r="AN444" s="7">
        <v>0</v>
      </c>
      <c r="AO444" s="7">
        <v>1.35</v>
      </c>
      <c r="AP444" s="7">
        <v>0.69</v>
      </c>
      <c r="AQ444" s="7">
        <v>0</v>
      </c>
      <c r="AR444" s="7">
        <v>0.12</v>
      </c>
      <c r="AS444" s="4" t="s">
        <v>303</v>
      </c>
      <c r="AT444" s="7">
        <v>0</v>
      </c>
      <c r="AU444" s="4" t="s">
        <v>567</v>
      </c>
      <c r="AV444" s="4" t="s">
        <v>305</v>
      </c>
      <c r="AW444" s="4" t="s">
        <v>292</v>
      </c>
    </row>
    <row r="445" spans="1:49" s="4" customFormat="1" x14ac:dyDescent="0.25">
      <c r="A445" s="4" t="s">
        <v>11207</v>
      </c>
      <c r="B445" s="4" t="s">
        <v>293</v>
      </c>
      <c r="C445" s="4" t="s">
        <v>565</v>
      </c>
      <c r="D445" s="4" t="s">
        <v>566</v>
      </c>
      <c r="F445" s="4" t="s">
        <v>11236</v>
      </c>
      <c r="G445" s="4" t="s">
        <v>11237</v>
      </c>
      <c r="I445" s="4" t="s">
        <v>296</v>
      </c>
      <c r="J445" s="4" t="s">
        <v>297</v>
      </c>
      <c r="K445" s="4" t="s">
        <v>311</v>
      </c>
      <c r="L445" s="4" t="s">
        <v>299</v>
      </c>
      <c r="M445" s="4" t="s">
        <v>300</v>
      </c>
      <c r="N445" s="4" t="s">
        <v>11238</v>
      </c>
      <c r="O445" s="5">
        <v>5.58</v>
      </c>
      <c r="P445" s="6">
        <v>1</v>
      </c>
      <c r="Q445" s="7">
        <v>9.25</v>
      </c>
      <c r="R445" s="7">
        <v>7</v>
      </c>
      <c r="S445" s="4" t="s">
        <v>301</v>
      </c>
      <c r="T445" s="4" t="s">
        <v>302</v>
      </c>
      <c r="U445" s="5">
        <v>6.6630000000000003</v>
      </c>
      <c r="V445" s="6">
        <v>0.25</v>
      </c>
      <c r="W445" s="7">
        <v>3</v>
      </c>
      <c r="X445" s="5">
        <v>2.2559999999999998</v>
      </c>
      <c r="Y445" s="4" t="s">
        <v>292</v>
      </c>
      <c r="Z445" s="6">
        <v>4</v>
      </c>
      <c r="AA445" s="6">
        <v>1</v>
      </c>
      <c r="AB445" s="5">
        <v>9.0239999999999991</v>
      </c>
      <c r="AC445" s="6">
        <v>1</v>
      </c>
      <c r="AD445" s="6">
        <v>1</v>
      </c>
      <c r="AE445" s="5">
        <v>9.0239999999999991</v>
      </c>
      <c r="AF445" s="5">
        <v>9.0239999999999991</v>
      </c>
      <c r="AG445" s="7">
        <v>7</v>
      </c>
      <c r="AH445" s="7">
        <v>0</v>
      </c>
      <c r="AI445" s="7">
        <v>17</v>
      </c>
      <c r="AJ445" s="7">
        <v>0</v>
      </c>
      <c r="AK445" s="8">
        <v>44115.540081018517</v>
      </c>
      <c r="AL445" s="7">
        <v>0.17</v>
      </c>
      <c r="AM445" s="7">
        <v>100</v>
      </c>
      <c r="AN445" s="7">
        <v>0</v>
      </c>
      <c r="AO445" s="7">
        <v>0.12</v>
      </c>
      <c r="AP445" s="7">
        <v>0</v>
      </c>
      <c r="AQ445" s="7">
        <v>0.35</v>
      </c>
      <c r="AR445" s="7">
        <v>7.0000000000000007E-2</v>
      </c>
      <c r="AS445" s="4" t="s">
        <v>303</v>
      </c>
      <c r="AT445" s="7">
        <v>0</v>
      </c>
      <c r="AU445" s="4" t="s">
        <v>567</v>
      </c>
      <c r="AV445" s="4" t="s">
        <v>305</v>
      </c>
    </row>
    <row r="446" spans="1:49" s="4" customFormat="1" x14ac:dyDescent="0.25">
      <c r="A446" s="4" t="s">
        <v>11201</v>
      </c>
      <c r="B446" s="4" t="s">
        <v>293</v>
      </c>
      <c r="C446" s="4" t="s">
        <v>568</v>
      </c>
      <c r="D446" s="4" t="s">
        <v>569</v>
      </c>
      <c r="F446" s="4" t="s">
        <v>11462</v>
      </c>
      <c r="G446" s="4" t="s">
        <v>11463</v>
      </c>
      <c r="I446" s="4" t="s">
        <v>296</v>
      </c>
      <c r="J446" s="4" t="s">
        <v>297</v>
      </c>
      <c r="K446" s="4" t="s">
        <v>311</v>
      </c>
      <c r="L446" s="4" t="s">
        <v>322</v>
      </c>
      <c r="M446" s="4" t="s">
        <v>300</v>
      </c>
      <c r="N446" s="4" t="s">
        <v>11198</v>
      </c>
      <c r="O446" s="5">
        <v>11.336</v>
      </c>
      <c r="P446" s="6">
        <v>1</v>
      </c>
      <c r="Q446" s="7">
        <v>9.25</v>
      </c>
      <c r="R446" s="7">
        <v>12</v>
      </c>
      <c r="S446" s="4" t="s">
        <v>301</v>
      </c>
      <c r="T446" s="4" t="s">
        <v>302</v>
      </c>
      <c r="U446" s="5">
        <v>14.395</v>
      </c>
      <c r="V446" s="6">
        <v>0.45</v>
      </c>
      <c r="W446" s="7">
        <v>1.5</v>
      </c>
      <c r="X446" s="5">
        <v>5.2080000000000002</v>
      </c>
      <c r="Y446" s="4" t="s">
        <v>292</v>
      </c>
      <c r="Z446" s="6">
        <v>1</v>
      </c>
      <c r="AA446" s="6">
        <v>1</v>
      </c>
      <c r="AB446" s="5">
        <v>5.2080000000000002</v>
      </c>
      <c r="AC446" s="6">
        <v>1</v>
      </c>
      <c r="AD446" s="6">
        <v>1</v>
      </c>
      <c r="AE446" s="5">
        <v>5.2080000000000002</v>
      </c>
      <c r="AF446" s="7">
        <v>10</v>
      </c>
      <c r="AG446" s="7">
        <v>12</v>
      </c>
      <c r="AH446" s="7">
        <v>9.25</v>
      </c>
      <c r="AI446" s="7">
        <v>0</v>
      </c>
      <c r="AJ446" s="7">
        <v>0</v>
      </c>
      <c r="AK446" s="8">
        <v>44115.520613425928</v>
      </c>
      <c r="AL446" s="7">
        <v>0.65</v>
      </c>
      <c r="AM446" s="7">
        <v>100</v>
      </c>
      <c r="AN446" s="7">
        <v>0</v>
      </c>
      <c r="AO446" s="7">
        <v>0.78</v>
      </c>
      <c r="AP446" s="7">
        <v>0.6</v>
      </c>
      <c r="AQ446" s="7">
        <v>0</v>
      </c>
      <c r="AR446" s="7">
        <v>0.11</v>
      </c>
      <c r="AS446" s="4" t="s">
        <v>303</v>
      </c>
      <c r="AT446" s="7">
        <v>0</v>
      </c>
      <c r="AU446" s="4" t="s">
        <v>570</v>
      </c>
      <c r="AV446" s="4" t="s">
        <v>305</v>
      </c>
      <c r="AW446" s="4" t="s">
        <v>292</v>
      </c>
    </row>
    <row r="447" spans="1:49" s="4" customFormat="1" x14ac:dyDescent="0.25">
      <c r="A447" s="4" t="s">
        <v>11199</v>
      </c>
      <c r="B447" s="4" t="s">
        <v>293</v>
      </c>
      <c r="C447" s="4" t="s">
        <v>568</v>
      </c>
      <c r="D447" s="4" t="s">
        <v>569</v>
      </c>
      <c r="F447" s="4" t="s">
        <v>11462</v>
      </c>
      <c r="G447" s="4" t="s">
        <v>11463</v>
      </c>
      <c r="I447" s="4" t="s">
        <v>296</v>
      </c>
      <c r="J447" s="4" t="s">
        <v>297</v>
      </c>
      <c r="K447" s="4" t="s">
        <v>311</v>
      </c>
      <c r="L447" s="4" t="s">
        <v>322</v>
      </c>
      <c r="M447" s="4" t="s">
        <v>300</v>
      </c>
      <c r="N447" s="4" t="s">
        <v>11198</v>
      </c>
      <c r="O447" s="5">
        <v>11.334</v>
      </c>
      <c r="P447" s="6">
        <v>1</v>
      </c>
      <c r="Q447" s="7">
        <v>9.25</v>
      </c>
      <c r="R447" s="7">
        <v>7</v>
      </c>
      <c r="S447" s="4" t="s">
        <v>301</v>
      </c>
      <c r="T447" s="4" t="s">
        <v>302</v>
      </c>
      <c r="U447" s="5">
        <v>13.532999999999999</v>
      </c>
      <c r="V447" s="6">
        <v>0.45</v>
      </c>
      <c r="W447" s="7">
        <v>2</v>
      </c>
      <c r="X447" s="5">
        <v>5.23</v>
      </c>
      <c r="Y447" s="4" t="s">
        <v>292</v>
      </c>
      <c r="Z447" s="6">
        <v>1</v>
      </c>
      <c r="AA447" s="6">
        <v>1</v>
      </c>
      <c r="AB447" s="5">
        <v>5.23</v>
      </c>
      <c r="AC447" s="6">
        <v>1</v>
      </c>
      <c r="AD447" s="6">
        <v>1</v>
      </c>
      <c r="AE447" s="5">
        <v>5.23</v>
      </c>
      <c r="AF447" s="7">
        <v>10</v>
      </c>
      <c r="AG447" s="7">
        <v>7</v>
      </c>
      <c r="AH447" s="7">
        <v>9.25</v>
      </c>
      <c r="AI447" s="7">
        <v>0</v>
      </c>
      <c r="AJ447" s="7">
        <v>0</v>
      </c>
      <c r="AK447" s="8">
        <v>44115.529305555552</v>
      </c>
      <c r="AL447" s="7">
        <v>0.61</v>
      </c>
      <c r="AM447" s="7">
        <v>100</v>
      </c>
      <c r="AN447" s="7">
        <v>0</v>
      </c>
      <c r="AO447" s="7">
        <v>0.43</v>
      </c>
      <c r="AP447" s="7">
        <v>0.56000000000000005</v>
      </c>
      <c r="AQ447" s="7">
        <v>0</v>
      </c>
      <c r="AR447" s="7">
        <v>0.13</v>
      </c>
      <c r="AS447" s="4" t="s">
        <v>303</v>
      </c>
      <c r="AT447" s="7">
        <v>0</v>
      </c>
      <c r="AU447" s="4" t="s">
        <v>570</v>
      </c>
      <c r="AV447" s="4" t="s">
        <v>305</v>
      </c>
      <c r="AW447" s="4" t="s">
        <v>292</v>
      </c>
    </row>
    <row r="448" spans="1:49" s="4" customFormat="1" x14ac:dyDescent="0.25">
      <c r="A448" s="4" t="s">
        <v>395</v>
      </c>
      <c r="B448" s="4" t="s">
        <v>293</v>
      </c>
      <c r="C448" s="4" t="s">
        <v>568</v>
      </c>
      <c r="D448" s="4" t="s">
        <v>569</v>
      </c>
      <c r="F448" s="4" t="s">
        <v>11462</v>
      </c>
      <c r="G448" s="4" t="s">
        <v>11463</v>
      </c>
      <c r="I448" s="4" t="s">
        <v>296</v>
      </c>
      <c r="J448" s="4" t="s">
        <v>297</v>
      </c>
      <c r="K448" s="4" t="s">
        <v>311</v>
      </c>
      <c r="L448" s="4" t="s">
        <v>322</v>
      </c>
      <c r="M448" s="4" t="s">
        <v>300</v>
      </c>
      <c r="N448" s="4" t="s">
        <v>447</v>
      </c>
      <c r="O448" s="5">
        <v>11.334</v>
      </c>
      <c r="P448" s="6">
        <v>1</v>
      </c>
      <c r="Q448" s="7">
        <v>9.25</v>
      </c>
      <c r="R448" s="7">
        <v>7</v>
      </c>
      <c r="S448" s="4" t="s">
        <v>301</v>
      </c>
      <c r="T448" s="4" t="s">
        <v>302</v>
      </c>
      <c r="U448" s="5">
        <v>13.532999999999999</v>
      </c>
      <c r="V448" s="6">
        <v>0.45</v>
      </c>
      <c r="W448" s="7">
        <v>4</v>
      </c>
      <c r="X448" s="5">
        <v>7.14</v>
      </c>
      <c r="Y448" s="4" t="s">
        <v>292</v>
      </c>
      <c r="Z448" s="6">
        <v>1</v>
      </c>
      <c r="AA448" s="6">
        <v>0.75210100000000002</v>
      </c>
      <c r="AB448" s="5">
        <v>7.14</v>
      </c>
      <c r="AC448" s="6">
        <v>1</v>
      </c>
      <c r="AD448" s="6">
        <v>0.75210100000000002</v>
      </c>
      <c r="AE448" s="5">
        <v>7.14</v>
      </c>
      <c r="AF448" s="7">
        <v>10</v>
      </c>
      <c r="AG448" s="7">
        <v>7</v>
      </c>
      <c r="AH448" s="7">
        <v>9.25</v>
      </c>
      <c r="AI448" s="7">
        <v>17</v>
      </c>
      <c r="AJ448" s="7">
        <v>0</v>
      </c>
      <c r="AK448" s="8">
        <v>44115.529328703706</v>
      </c>
      <c r="AL448" s="7">
        <v>0.61</v>
      </c>
      <c r="AM448" s="7">
        <v>100</v>
      </c>
      <c r="AN448" s="7">
        <v>0</v>
      </c>
      <c r="AO448" s="7">
        <v>0.43</v>
      </c>
      <c r="AP448" s="7">
        <v>0.56000000000000005</v>
      </c>
      <c r="AQ448" s="7">
        <v>1.29</v>
      </c>
      <c r="AR448" s="7">
        <v>0.32</v>
      </c>
      <c r="AS448" s="4" t="s">
        <v>303</v>
      </c>
      <c r="AT448" s="7">
        <v>0</v>
      </c>
      <c r="AU448" s="4" t="s">
        <v>570</v>
      </c>
      <c r="AV448" s="4" t="s">
        <v>305</v>
      </c>
      <c r="AW448" s="4" t="s">
        <v>292</v>
      </c>
    </row>
    <row r="449" spans="1:49" s="4" customFormat="1" x14ac:dyDescent="0.25">
      <c r="A449" s="4" t="s">
        <v>11200</v>
      </c>
      <c r="B449" s="4" t="s">
        <v>293</v>
      </c>
      <c r="C449" s="4" t="s">
        <v>568</v>
      </c>
      <c r="D449" s="4" t="s">
        <v>569</v>
      </c>
      <c r="F449" s="4" t="s">
        <v>11462</v>
      </c>
      <c r="G449" s="4" t="s">
        <v>11463</v>
      </c>
      <c r="I449" s="4" t="s">
        <v>296</v>
      </c>
      <c r="J449" s="4" t="s">
        <v>297</v>
      </c>
      <c r="K449" s="4" t="s">
        <v>311</v>
      </c>
      <c r="L449" s="4" t="s">
        <v>322</v>
      </c>
      <c r="M449" s="4" t="s">
        <v>300</v>
      </c>
      <c r="N449" s="4" t="s">
        <v>11198</v>
      </c>
      <c r="O449" s="5">
        <v>11.334</v>
      </c>
      <c r="P449" s="6">
        <v>1</v>
      </c>
      <c r="Q449" s="7">
        <v>9.25</v>
      </c>
      <c r="R449" s="7">
        <v>18</v>
      </c>
      <c r="S449" s="4" t="s">
        <v>301</v>
      </c>
      <c r="T449" s="4" t="s">
        <v>302</v>
      </c>
      <c r="U449" s="5">
        <v>15.579000000000001</v>
      </c>
      <c r="V449" s="6">
        <v>0.45</v>
      </c>
      <c r="W449" s="7">
        <v>1.5</v>
      </c>
      <c r="X449" s="5">
        <v>5.2210000000000001</v>
      </c>
      <c r="Y449" s="4" t="s">
        <v>292</v>
      </c>
      <c r="Z449" s="6">
        <v>1</v>
      </c>
      <c r="AA449" s="6">
        <v>1</v>
      </c>
      <c r="AB449" s="5">
        <v>5.2210000000000001</v>
      </c>
      <c r="AC449" s="6">
        <v>1</v>
      </c>
      <c r="AD449" s="6">
        <v>1</v>
      </c>
      <c r="AE449" s="5">
        <v>5.2210000000000001</v>
      </c>
      <c r="AF449" s="7">
        <v>10</v>
      </c>
      <c r="AG449" s="7">
        <v>18</v>
      </c>
      <c r="AH449" s="7">
        <v>9.25</v>
      </c>
      <c r="AI449" s="7">
        <v>0</v>
      </c>
      <c r="AJ449" s="7">
        <v>0</v>
      </c>
      <c r="AK449" s="8">
        <v>44115.513171296298</v>
      </c>
      <c r="AL449" s="7">
        <v>0.7</v>
      </c>
      <c r="AM449" s="7">
        <v>100</v>
      </c>
      <c r="AN449" s="7">
        <v>0</v>
      </c>
      <c r="AO449" s="7">
        <v>1.26</v>
      </c>
      <c r="AP449" s="7">
        <v>0.65</v>
      </c>
      <c r="AQ449" s="7">
        <v>0</v>
      </c>
      <c r="AR449" s="7">
        <v>0.12</v>
      </c>
      <c r="AS449" s="4" t="s">
        <v>303</v>
      </c>
      <c r="AT449" s="7">
        <v>0</v>
      </c>
      <c r="AU449" s="4" t="s">
        <v>570</v>
      </c>
      <c r="AV449" s="4" t="s">
        <v>305</v>
      </c>
      <c r="AW449" s="4" t="s">
        <v>292</v>
      </c>
    </row>
    <row r="450" spans="1:49" s="4" customFormat="1" x14ac:dyDescent="0.25">
      <c r="A450" s="4" t="s">
        <v>11207</v>
      </c>
      <c r="B450" s="4" t="s">
        <v>293</v>
      </c>
      <c r="C450" s="4" t="s">
        <v>568</v>
      </c>
      <c r="D450" s="4" t="s">
        <v>569</v>
      </c>
      <c r="F450" s="4" t="s">
        <v>11236</v>
      </c>
      <c r="G450" s="4" t="s">
        <v>11237</v>
      </c>
      <c r="I450" s="4" t="s">
        <v>296</v>
      </c>
      <c r="J450" s="4" t="s">
        <v>297</v>
      </c>
      <c r="K450" s="4" t="s">
        <v>311</v>
      </c>
      <c r="L450" s="4" t="s">
        <v>322</v>
      </c>
      <c r="M450" s="4" t="s">
        <v>300</v>
      </c>
      <c r="N450" s="4" t="s">
        <v>11238</v>
      </c>
      <c r="O450" s="5">
        <v>5.22</v>
      </c>
      <c r="P450" s="6">
        <v>1</v>
      </c>
      <c r="Q450" s="7">
        <v>9.25</v>
      </c>
      <c r="R450" s="7">
        <v>7</v>
      </c>
      <c r="S450" s="4" t="s">
        <v>301</v>
      </c>
      <c r="T450" s="4" t="s">
        <v>302</v>
      </c>
      <c r="U450" s="5">
        <v>6.2329999999999997</v>
      </c>
      <c r="V450" s="6">
        <v>0.25</v>
      </c>
      <c r="W450" s="7">
        <v>3</v>
      </c>
      <c r="X450" s="5">
        <v>2.0979999999999999</v>
      </c>
      <c r="Y450" s="4" t="s">
        <v>292</v>
      </c>
      <c r="Z450" s="6">
        <v>4</v>
      </c>
      <c r="AA450" s="6">
        <v>1</v>
      </c>
      <c r="AB450" s="5">
        <v>8.3919999999999995</v>
      </c>
      <c r="AC450" s="6">
        <v>1</v>
      </c>
      <c r="AD450" s="6">
        <v>1</v>
      </c>
      <c r="AE450" s="5">
        <v>8.3919999999999995</v>
      </c>
      <c r="AF450" s="5">
        <v>8.3919999999999995</v>
      </c>
      <c r="AG450" s="7">
        <v>7</v>
      </c>
      <c r="AH450" s="7">
        <v>0</v>
      </c>
      <c r="AI450" s="7">
        <v>17</v>
      </c>
      <c r="AJ450" s="7">
        <v>0</v>
      </c>
      <c r="AK450" s="8">
        <v>44115.540092592593</v>
      </c>
      <c r="AL450" s="7">
        <v>0.16</v>
      </c>
      <c r="AM450" s="7">
        <v>100</v>
      </c>
      <c r="AN450" s="7">
        <v>0</v>
      </c>
      <c r="AO450" s="7">
        <v>0.11</v>
      </c>
      <c r="AP450" s="7">
        <v>0</v>
      </c>
      <c r="AQ450" s="7">
        <v>0.32</v>
      </c>
      <c r="AR450" s="7">
        <v>0.06</v>
      </c>
      <c r="AS450" s="4" t="s">
        <v>303</v>
      </c>
      <c r="AT450" s="7">
        <v>0</v>
      </c>
      <c r="AU450" s="4" t="s">
        <v>570</v>
      </c>
      <c r="AV450" s="4" t="s">
        <v>305</v>
      </c>
    </row>
    <row r="451" spans="1:49" s="4" customFormat="1" x14ac:dyDescent="0.25">
      <c r="A451" s="4" t="s">
        <v>11201</v>
      </c>
      <c r="B451" s="4" t="s">
        <v>293</v>
      </c>
      <c r="C451" s="4" t="s">
        <v>11220</v>
      </c>
      <c r="D451" s="4" t="s">
        <v>11221</v>
      </c>
      <c r="F451" s="4" t="s">
        <v>11462</v>
      </c>
      <c r="G451" s="4" t="s">
        <v>11463</v>
      </c>
      <c r="I451" s="4" t="s">
        <v>296</v>
      </c>
      <c r="J451" s="4" t="s">
        <v>297</v>
      </c>
      <c r="K451" s="4" t="s">
        <v>311</v>
      </c>
      <c r="L451" s="4" t="s">
        <v>299</v>
      </c>
      <c r="M451" s="4" t="s">
        <v>300</v>
      </c>
      <c r="N451" s="4" t="s">
        <v>11198</v>
      </c>
      <c r="O451" s="5">
        <v>17.37</v>
      </c>
      <c r="P451" s="6">
        <v>1</v>
      </c>
      <c r="Q451" s="7">
        <v>9.25</v>
      </c>
      <c r="R451" s="7">
        <v>12</v>
      </c>
      <c r="S451" s="4" t="s">
        <v>301</v>
      </c>
      <c r="T451" s="4" t="s">
        <v>302</v>
      </c>
      <c r="U451" s="5">
        <v>22.056999999999999</v>
      </c>
      <c r="V451" s="6">
        <v>0.45</v>
      </c>
      <c r="W451" s="7">
        <v>1.5</v>
      </c>
      <c r="X451" s="5">
        <v>7.9859999999999998</v>
      </c>
      <c r="Y451" s="4" t="s">
        <v>292</v>
      </c>
      <c r="Z451" s="6">
        <v>1</v>
      </c>
      <c r="AA451" s="6">
        <v>1</v>
      </c>
      <c r="AB451" s="5">
        <v>7.9859999999999998</v>
      </c>
      <c r="AC451" s="6">
        <v>1</v>
      </c>
      <c r="AD451" s="6">
        <v>1</v>
      </c>
      <c r="AE451" s="5">
        <v>7.9859999999999998</v>
      </c>
      <c r="AF451" s="7">
        <v>10</v>
      </c>
      <c r="AG451" s="7">
        <v>12</v>
      </c>
      <c r="AH451" s="7">
        <v>9.25</v>
      </c>
      <c r="AI451" s="7">
        <v>0</v>
      </c>
      <c r="AJ451" s="7">
        <v>0</v>
      </c>
      <c r="AK451" s="8">
        <v>44115.520613425928</v>
      </c>
      <c r="AL451" s="7">
        <v>0.99</v>
      </c>
      <c r="AM451" s="7">
        <v>100</v>
      </c>
      <c r="AN451" s="7">
        <v>0</v>
      </c>
      <c r="AO451" s="7">
        <v>1.19</v>
      </c>
      <c r="AP451" s="7">
        <v>0.91</v>
      </c>
      <c r="AQ451" s="7">
        <v>0</v>
      </c>
      <c r="AR451" s="7">
        <v>0.16</v>
      </c>
      <c r="AS451" s="4" t="s">
        <v>303</v>
      </c>
      <c r="AT451" s="7">
        <v>0</v>
      </c>
      <c r="AU451" s="4" t="s">
        <v>11222</v>
      </c>
      <c r="AV451" s="4" t="s">
        <v>305</v>
      </c>
      <c r="AW451" s="4" t="s">
        <v>292</v>
      </c>
    </row>
    <row r="452" spans="1:49" s="4" customFormat="1" x14ac:dyDescent="0.25">
      <c r="A452" s="4" t="s">
        <v>11199</v>
      </c>
      <c r="B452" s="4" t="s">
        <v>293</v>
      </c>
      <c r="C452" s="4" t="s">
        <v>11220</v>
      </c>
      <c r="D452" s="4" t="s">
        <v>11221</v>
      </c>
      <c r="F452" s="4" t="s">
        <v>11462</v>
      </c>
      <c r="G452" s="4" t="s">
        <v>11463</v>
      </c>
      <c r="I452" s="4" t="s">
        <v>296</v>
      </c>
      <c r="J452" s="4" t="s">
        <v>297</v>
      </c>
      <c r="K452" s="4" t="s">
        <v>311</v>
      </c>
      <c r="L452" s="4" t="s">
        <v>299</v>
      </c>
      <c r="M452" s="4" t="s">
        <v>300</v>
      </c>
      <c r="N452" s="4" t="s">
        <v>11198</v>
      </c>
      <c r="O452" s="5">
        <v>17.373000000000001</v>
      </c>
      <c r="P452" s="6">
        <v>1</v>
      </c>
      <c r="Q452" s="7">
        <v>9.25</v>
      </c>
      <c r="R452" s="7">
        <v>7</v>
      </c>
      <c r="S452" s="4" t="s">
        <v>301</v>
      </c>
      <c r="T452" s="4" t="s">
        <v>302</v>
      </c>
      <c r="U452" s="5">
        <v>20.744</v>
      </c>
      <c r="V452" s="6">
        <v>0.45</v>
      </c>
      <c r="W452" s="7">
        <v>2</v>
      </c>
      <c r="X452" s="5">
        <v>8.0350000000000001</v>
      </c>
      <c r="Y452" s="4" t="s">
        <v>292</v>
      </c>
      <c r="Z452" s="6">
        <v>1</v>
      </c>
      <c r="AA452" s="6">
        <v>1</v>
      </c>
      <c r="AB452" s="5">
        <v>8.0350000000000001</v>
      </c>
      <c r="AC452" s="6">
        <v>1</v>
      </c>
      <c r="AD452" s="6">
        <v>1</v>
      </c>
      <c r="AE452" s="5">
        <v>8.0350000000000001</v>
      </c>
      <c r="AF452" s="7">
        <v>10</v>
      </c>
      <c r="AG452" s="7">
        <v>7</v>
      </c>
      <c r="AH452" s="7">
        <v>9.25</v>
      </c>
      <c r="AI452" s="7">
        <v>0</v>
      </c>
      <c r="AJ452" s="7">
        <v>0</v>
      </c>
      <c r="AK452" s="8">
        <v>44115.529328703706</v>
      </c>
      <c r="AL452" s="7">
        <v>0.93</v>
      </c>
      <c r="AM452" s="7">
        <v>100</v>
      </c>
      <c r="AN452" s="7">
        <v>0</v>
      </c>
      <c r="AO452" s="7">
        <v>0.65</v>
      </c>
      <c r="AP452" s="7">
        <v>0.86</v>
      </c>
      <c r="AQ452" s="7">
        <v>0</v>
      </c>
      <c r="AR452" s="7">
        <v>0.21</v>
      </c>
      <c r="AS452" s="4" t="s">
        <v>303</v>
      </c>
      <c r="AT452" s="7">
        <v>0</v>
      </c>
      <c r="AU452" s="4" t="s">
        <v>11222</v>
      </c>
      <c r="AV452" s="4" t="s">
        <v>305</v>
      </c>
      <c r="AW452" s="4" t="s">
        <v>292</v>
      </c>
    </row>
    <row r="453" spans="1:49" s="4" customFormat="1" x14ac:dyDescent="0.25">
      <c r="A453" s="4" t="s">
        <v>11200</v>
      </c>
      <c r="B453" s="4" t="s">
        <v>293</v>
      </c>
      <c r="C453" s="4" t="s">
        <v>11220</v>
      </c>
      <c r="D453" s="4" t="s">
        <v>11221</v>
      </c>
      <c r="F453" s="4" t="s">
        <v>11462</v>
      </c>
      <c r="G453" s="4" t="s">
        <v>11463</v>
      </c>
      <c r="I453" s="4" t="s">
        <v>296</v>
      </c>
      <c r="J453" s="4" t="s">
        <v>297</v>
      </c>
      <c r="K453" s="4" t="s">
        <v>311</v>
      </c>
      <c r="L453" s="4" t="s">
        <v>299</v>
      </c>
      <c r="M453" s="4" t="s">
        <v>300</v>
      </c>
      <c r="N453" s="4" t="s">
        <v>11198</v>
      </c>
      <c r="O453" s="5">
        <v>17.373000000000001</v>
      </c>
      <c r="P453" s="6">
        <v>1</v>
      </c>
      <c r="Q453" s="7">
        <v>9.25</v>
      </c>
      <c r="R453" s="7">
        <v>18</v>
      </c>
      <c r="S453" s="4" t="s">
        <v>301</v>
      </c>
      <c r="T453" s="4" t="s">
        <v>302</v>
      </c>
      <c r="U453" s="5">
        <v>23.88</v>
      </c>
      <c r="V453" s="6">
        <v>0.45</v>
      </c>
      <c r="W453" s="7">
        <v>1.5</v>
      </c>
      <c r="X453" s="5">
        <v>7.9859999999999998</v>
      </c>
      <c r="Y453" s="4" t="s">
        <v>292</v>
      </c>
      <c r="Z453" s="6">
        <v>1</v>
      </c>
      <c r="AA453" s="6">
        <v>1</v>
      </c>
      <c r="AB453" s="5">
        <v>7.9859999999999998</v>
      </c>
      <c r="AC453" s="6">
        <v>1</v>
      </c>
      <c r="AD453" s="6">
        <v>1</v>
      </c>
      <c r="AE453" s="5">
        <v>7.9859999999999998</v>
      </c>
      <c r="AF453" s="7">
        <v>10</v>
      </c>
      <c r="AG453" s="7">
        <v>18</v>
      </c>
      <c r="AH453" s="7">
        <v>9.25</v>
      </c>
      <c r="AI453" s="7">
        <v>0</v>
      </c>
      <c r="AJ453" s="7">
        <v>0</v>
      </c>
      <c r="AK453" s="8">
        <v>44115.513182870367</v>
      </c>
      <c r="AL453" s="7">
        <v>1.08</v>
      </c>
      <c r="AM453" s="7">
        <v>100</v>
      </c>
      <c r="AN453" s="7">
        <v>0</v>
      </c>
      <c r="AO453" s="7">
        <v>1.94</v>
      </c>
      <c r="AP453" s="7">
        <v>1</v>
      </c>
      <c r="AQ453" s="7">
        <v>0</v>
      </c>
      <c r="AR453" s="7">
        <v>0.18</v>
      </c>
      <c r="AS453" s="4" t="s">
        <v>303</v>
      </c>
      <c r="AT453" s="7">
        <v>0</v>
      </c>
      <c r="AU453" s="4" t="s">
        <v>11222</v>
      </c>
      <c r="AV453" s="4" t="s">
        <v>305</v>
      </c>
      <c r="AW453" s="4" t="s">
        <v>292</v>
      </c>
    </row>
    <row r="454" spans="1:49" s="4" customFormat="1" x14ac:dyDescent="0.25">
      <c r="A454" s="4" t="s">
        <v>11207</v>
      </c>
      <c r="B454" s="4" t="s">
        <v>293</v>
      </c>
      <c r="C454" s="4" t="s">
        <v>11220</v>
      </c>
      <c r="D454" s="4" t="s">
        <v>11221</v>
      </c>
      <c r="F454" s="4" t="s">
        <v>11236</v>
      </c>
      <c r="G454" s="4" t="s">
        <v>11237</v>
      </c>
      <c r="I454" s="4" t="s">
        <v>296</v>
      </c>
      <c r="J454" s="4" t="s">
        <v>297</v>
      </c>
      <c r="K454" s="4" t="s">
        <v>311</v>
      </c>
      <c r="L454" s="4" t="s">
        <v>299</v>
      </c>
      <c r="M454" s="4" t="s">
        <v>300</v>
      </c>
      <c r="N454" s="4" t="s">
        <v>11238</v>
      </c>
      <c r="O454" s="5">
        <v>7.99</v>
      </c>
      <c r="P454" s="6">
        <v>1</v>
      </c>
      <c r="Q454" s="7">
        <v>9.25</v>
      </c>
      <c r="R454" s="7">
        <v>7</v>
      </c>
      <c r="S454" s="4" t="s">
        <v>301</v>
      </c>
      <c r="T454" s="4" t="s">
        <v>302</v>
      </c>
      <c r="U454" s="5">
        <v>9.5399999999999991</v>
      </c>
      <c r="V454" s="6">
        <v>0.25</v>
      </c>
      <c r="W454" s="7">
        <v>3</v>
      </c>
      <c r="X454" s="5">
        <v>3.2050000000000001</v>
      </c>
      <c r="Y454" s="4" t="s">
        <v>292</v>
      </c>
      <c r="Z454" s="6">
        <v>4</v>
      </c>
      <c r="AA454" s="6">
        <v>1</v>
      </c>
      <c r="AB454" s="5">
        <v>12.82</v>
      </c>
      <c r="AC454" s="6">
        <v>1</v>
      </c>
      <c r="AD454" s="6">
        <v>1</v>
      </c>
      <c r="AE454" s="5">
        <v>12.82</v>
      </c>
      <c r="AF454" s="5">
        <v>12.82</v>
      </c>
      <c r="AG454" s="7">
        <v>7</v>
      </c>
      <c r="AH454" s="7">
        <v>0</v>
      </c>
      <c r="AI454" s="7">
        <v>17</v>
      </c>
      <c r="AJ454" s="7">
        <v>0</v>
      </c>
      <c r="AK454" s="8">
        <v>44115.54010416667</v>
      </c>
      <c r="AL454" s="7">
        <v>0.24</v>
      </c>
      <c r="AM454" s="7">
        <v>100</v>
      </c>
      <c r="AN454" s="7">
        <v>0</v>
      </c>
      <c r="AO454" s="7">
        <v>0.17</v>
      </c>
      <c r="AP454" s="7">
        <v>0</v>
      </c>
      <c r="AQ454" s="7">
        <v>0.49</v>
      </c>
      <c r="AR454" s="7">
        <v>0.09</v>
      </c>
      <c r="AS454" s="4" t="s">
        <v>303</v>
      </c>
      <c r="AT454" s="7">
        <v>0</v>
      </c>
      <c r="AU454" s="4" t="s">
        <v>11222</v>
      </c>
      <c r="AV454" s="4" t="s">
        <v>305</v>
      </c>
    </row>
    <row r="455" spans="1:49" s="4" customFormat="1" x14ac:dyDescent="0.25">
      <c r="A455" s="4" t="s">
        <v>11201</v>
      </c>
      <c r="B455" s="4" t="s">
        <v>293</v>
      </c>
      <c r="C455" s="4" t="s">
        <v>571</v>
      </c>
      <c r="D455" s="4" t="s">
        <v>572</v>
      </c>
      <c r="F455" s="4" t="s">
        <v>11462</v>
      </c>
      <c r="G455" s="4" t="s">
        <v>11463</v>
      </c>
      <c r="I455" s="4" t="s">
        <v>296</v>
      </c>
      <c r="J455" s="4" t="s">
        <v>297</v>
      </c>
      <c r="K455" s="4" t="s">
        <v>311</v>
      </c>
      <c r="L455" s="4" t="s">
        <v>322</v>
      </c>
      <c r="M455" s="4" t="s">
        <v>300</v>
      </c>
      <c r="N455" s="4" t="s">
        <v>11198</v>
      </c>
      <c r="O455" s="5">
        <v>13.420999999999999</v>
      </c>
      <c r="P455" s="6">
        <v>1</v>
      </c>
      <c r="Q455" s="7">
        <v>9.25</v>
      </c>
      <c r="R455" s="7">
        <v>12</v>
      </c>
      <c r="S455" s="4" t="s">
        <v>301</v>
      </c>
      <c r="T455" s="4" t="s">
        <v>302</v>
      </c>
      <c r="U455" s="5">
        <v>17.042999999999999</v>
      </c>
      <c r="V455" s="6">
        <v>0.45</v>
      </c>
      <c r="W455" s="7">
        <v>1.5</v>
      </c>
      <c r="X455" s="5">
        <v>6.1689999999999996</v>
      </c>
      <c r="Y455" s="4" t="s">
        <v>292</v>
      </c>
      <c r="Z455" s="6">
        <v>1</v>
      </c>
      <c r="AA455" s="6">
        <v>1</v>
      </c>
      <c r="AB455" s="5">
        <v>6.1689999999999996</v>
      </c>
      <c r="AC455" s="6">
        <v>1</v>
      </c>
      <c r="AD455" s="6">
        <v>1</v>
      </c>
      <c r="AE455" s="5">
        <v>6.1689999999999996</v>
      </c>
      <c r="AF455" s="7">
        <v>10</v>
      </c>
      <c r="AG455" s="7">
        <v>12</v>
      </c>
      <c r="AH455" s="7">
        <v>9.25</v>
      </c>
      <c r="AI455" s="7">
        <v>0</v>
      </c>
      <c r="AJ455" s="7">
        <v>0</v>
      </c>
      <c r="AK455" s="8">
        <v>44115.520636574074</v>
      </c>
      <c r="AL455" s="7">
        <v>0.77</v>
      </c>
      <c r="AM455" s="7">
        <v>100</v>
      </c>
      <c r="AN455" s="7">
        <v>0</v>
      </c>
      <c r="AO455" s="7">
        <v>0.92</v>
      </c>
      <c r="AP455" s="7">
        <v>0.71</v>
      </c>
      <c r="AQ455" s="7">
        <v>0</v>
      </c>
      <c r="AR455" s="7">
        <v>0.13</v>
      </c>
      <c r="AS455" s="4" t="s">
        <v>303</v>
      </c>
      <c r="AT455" s="7">
        <v>0</v>
      </c>
      <c r="AU455" s="4" t="s">
        <v>573</v>
      </c>
      <c r="AV455" s="4" t="s">
        <v>305</v>
      </c>
      <c r="AW455" s="4" t="s">
        <v>292</v>
      </c>
    </row>
    <row r="456" spans="1:49" s="4" customFormat="1" x14ac:dyDescent="0.25">
      <c r="A456" s="4" t="s">
        <v>11199</v>
      </c>
      <c r="B456" s="4" t="s">
        <v>293</v>
      </c>
      <c r="C456" s="4" t="s">
        <v>571</v>
      </c>
      <c r="D456" s="4" t="s">
        <v>572</v>
      </c>
      <c r="F456" s="4" t="s">
        <v>11462</v>
      </c>
      <c r="G456" s="4" t="s">
        <v>11463</v>
      </c>
      <c r="I456" s="4" t="s">
        <v>296</v>
      </c>
      <c r="J456" s="4" t="s">
        <v>297</v>
      </c>
      <c r="K456" s="4" t="s">
        <v>311</v>
      </c>
      <c r="L456" s="4" t="s">
        <v>322</v>
      </c>
      <c r="M456" s="4" t="s">
        <v>300</v>
      </c>
      <c r="N456" s="4" t="s">
        <v>11198</v>
      </c>
      <c r="O456" s="5">
        <v>13.422000000000001</v>
      </c>
      <c r="P456" s="6">
        <v>1</v>
      </c>
      <c r="Q456" s="7">
        <v>9.25</v>
      </c>
      <c r="R456" s="7">
        <v>7</v>
      </c>
      <c r="S456" s="4" t="s">
        <v>301</v>
      </c>
      <c r="T456" s="4" t="s">
        <v>302</v>
      </c>
      <c r="U456" s="5">
        <v>16.026</v>
      </c>
      <c r="V456" s="6">
        <v>0.45</v>
      </c>
      <c r="W456" s="7">
        <v>2</v>
      </c>
      <c r="X456" s="5">
        <v>6.1920000000000002</v>
      </c>
      <c r="Y456" s="4" t="s">
        <v>292</v>
      </c>
      <c r="Z456" s="6">
        <v>1</v>
      </c>
      <c r="AA456" s="6">
        <v>1</v>
      </c>
      <c r="AB456" s="5">
        <v>6.1920000000000002</v>
      </c>
      <c r="AC456" s="6">
        <v>1</v>
      </c>
      <c r="AD456" s="6">
        <v>1</v>
      </c>
      <c r="AE456" s="5">
        <v>6.1920000000000002</v>
      </c>
      <c r="AF456" s="7">
        <v>10</v>
      </c>
      <c r="AG456" s="7">
        <v>7</v>
      </c>
      <c r="AH456" s="7">
        <v>9.25</v>
      </c>
      <c r="AI456" s="7">
        <v>0</v>
      </c>
      <c r="AJ456" s="7">
        <v>0</v>
      </c>
      <c r="AK456" s="8">
        <v>44115.529374999998</v>
      </c>
      <c r="AL456" s="7">
        <v>0.72</v>
      </c>
      <c r="AM456" s="7">
        <v>100</v>
      </c>
      <c r="AN456" s="7">
        <v>0</v>
      </c>
      <c r="AO456" s="7">
        <v>0.51</v>
      </c>
      <c r="AP456" s="7">
        <v>0.67</v>
      </c>
      <c r="AQ456" s="7">
        <v>0</v>
      </c>
      <c r="AR456" s="7">
        <v>0.16</v>
      </c>
      <c r="AS456" s="4" t="s">
        <v>303</v>
      </c>
      <c r="AT456" s="7">
        <v>0</v>
      </c>
      <c r="AU456" s="4" t="s">
        <v>573</v>
      </c>
      <c r="AV456" s="4" t="s">
        <v>305</v>
      </c>
      <c r="AW456" s="4" t="s">
        <v>292</v>
      </c>
    </row>
    <row r="457" spans="1:49" s="4" customFormat="1" x14ac:dyDescent="0.25">
      <c r="A457" s="4" t="s">
        <v>395</v>
      </c>
      <c r="B457" s="4" t="s">
        <v>293</v>
      </c>
      <c r="C457" s="4" t="s">
        <v>571</v>
      </c>
      <c r="D457" s="4" t="s">
        <v>572</v>
      </c>
      <c r="F457" s="4" t="s">
        <v>11462</v>
      </c>
      <c r="G457" s="4" t="s">
        <v>11463</v>
      </c>
      <c r="I457" s="4" t="s">
        <v>296</v>
      </c>
      <c r="J457" s="4" t="s">
        <v>297</v>
      </c>
      <c r="K457" s="4" t="s">
        <v>311</v>
      </c>
      <c r="L457" s="4" t="s">
        <v>322</v>
      </c>
      <c r="M457" s="4" t="s">
        <v>300</v>
      </c>
      <c r="N457" s="4" t="s">
        <v>447</v>
      </c>
      <c r="O457" s="5">
        <v>13.422000000000001</v>
      </c>
      <c r="P457" s="6">
        <v>1</v>
      </c>
      <c r="Q457" s="7">
        <v>9.25</v>
      </c>
      <c r="R457" s="7">
        <v>7</v>
      </c>
      <c r="S457" s="4" t="s">
        <v>301</v>
      </c>
      <c r="T457" s="4" t="s">
        <v>302</v>
      </c>
      <c r="U457" s="5">
        <v>16.026</v>
      </c>
      <c r="V457" s="6">
        <v>0.45</v>
      </c>
      <c r="W457" s="7">
        <v>4</v>
      </c>
      <c r="X457" s="5">
        <v>8.452</v>
      </c>
      <c r="Y457" s="4" t="s">
        <v>292</v>
      </c>
      <c r="Z457" s="6">
        <v>1</v>
      </c>
      <c r="AA457" s="6">
        <v>0.75153800000000004</v>
      </c>
      <c r="AB457" s="5">
        <v>8.452</v>
      </c>
      <c r="AC457" s="6">
        <v>1</v>
      </c>
      <c r="AD457" s="6">
        <v>0.75153800000000004</v>
      </c>
      <c r="AE457" s="5">
        <v>8.452</v>
      </c>
      <c r="AF457" s="7">
        <v>10</v>
      </c>
      <c r="AG457" s="7">
        <v>7</v>
      </c>
      <c r="AH457" s="7">
        <v>9.25</v>
      </c>
      <c r="AI457" s="7">
        <v>17</v>
      </c>
      <c r="AJ457" s="7">
        <v>0</v>
      </c>
      <c r="AK457" s="8">
        <v>44115.529374999998</v>
      </c>
      <c r="AL457" s="7">
        <v>0.72</v>
      </c>
      <c r="AM457" s="7">
        <v>100</v>
      </c>
      <c r="AN457" s="7">
        <v>0</v>
      </c>
      <c r="AO457" s="7">
        <v>0.51</v>
      </c>
      <c r="AP457" s="7">
        <v>0.67</v>
      </c>
      <c r="AQ457" s="7">
        <v>1.53</v>
      </c>
      <c r="AR457" s="7">
        <v>0.38</v>
      </c>
      <c r="AS457" s="4" t="s">
        <v>303</v>
      </c>
      <c r="AT457" s="7">
        <v>0</v>
      </c>
      <c r="AU457" s="4" t="s">
        <v>573</v>
      </c>
      <c r="AV457" s="4" t="s">
        <v>305</v>
      </c>
      <c r="AW457" s="4" t="s">
        <v>292</v>
      </c>
    </row>
    <row r="458" spans="1:49" s="4" customFormat="1" x14ac:dyDescent="0.25">
      <c r="A458" s="4" t="s">
        <v>11200</v>
      </c>
      <c r="B458" s="4" t="s">
        <v>293</v>
      </c>
      <c r="C458" s="4" t="s">
        <v>571</v>
      </c>
      <c r="D458" s="4" t="s">
        <v>572</v>
      </c>
      <c r="F458" s="4" t="s">
        <v>11462</v>
      </c>
      <c r="G458" s="4" t="s">
        <v>11463</v>
      </c>
      <c r="I458" s="4" t="s">
        <v>296</v>
      </c>
      <c r="J458" s="4" t="s">
        <v>297</v>
      </c>
      <c r="K458" s="4" t="s">
        <v>311</v>
      </c>
      <c r="L458" s="4" t="s">
        <v>322</v>
      </c>
      <c r="M458" s="4" t="s">
        <v>300</v>
      </c>
      <c r="N458" s="4" t="s">
        <v>11198</v>
      </c>
      <c r="O458" s="5">
        <v>13.422000000000001</v>
      </c>
      <c r="P458" s="6">
        <v>1</v>
      </c>
      <c r="Q458" s="7">
        <v>9.25</v>
      </c>
      <c r="R458" s="7">
        <v>18</v>
      </c>
      <c r="S458" s="4" t="s">
        <v>301</v>
      </c>
      <c r="T458" s="4" t="s">
        <v>302</v>
      </c>
      <c r="U458" s="5">
        <v>18.449000000000002</v>
      </c>
      <c r="V458" s="6">
        <v>0.45</v>
      </c>
      <c r="W458" s="7">
        <v>1.5</v>
      </c>
      <c r="X458" s="5">
        <v>6.1820000000000004</v>
      </c>
      <c r="Y458" s="4" t="s">
        <v>292</v>
      </c>
      <c r="Z458" s="6">
        <v>1</v>
      </c>
      <c r="AA458" s="6">
        <v>1</v>
      </c>
      <c r="AB458" s="5">
        <v>6.1820000000000004</v>
      </c>
      <c r="AC458" s="6">
        <v>1</v>
      </c>
      <c r="AD458" s="6">
        <v>1</v>
      </c>
      <c r="AE458" s="5">
        <v>6.1820000000000004</v>
      </c>
      <c r="AF458" s="7">
        <v>10</v>
      </c>
      <c r="AG458" s="7">
        <v>18</v>
      </c>
      <c r="AH458" s="7">
        <v>9.25</v>
      </c>
      <c r="AI458" s="7">
        <v>0</v>
      </c>
      <c r="AJ458" s="7">
        <v>0</v>
      </c>
      <c r="AK458" s="8">
        <v>44115.513310185182</v>
      </c>
      <c r="AL458" s="7">
        <v>0.83</v>
      </c>
      <c r="AM458" s="7">
        <v>100</v>
      </c>
      <c r="AN458" s="7">
        <v>0</v>
      </c>
      <c r="AO458" s="7">
        <v>1.49</v>
      </c>
      <c r="AP458" s="7">
        <v>0.77</v>
      </c>
      <c r="AQ458" s="7">
        <v>0</v>
      </c>
      <c r="AR458" s="7">
        <v>0.14000000000000001</v>
      </c>
      <c r="AS458" s="4" t="s">
        <v>303</v>
      </c>
      <c r="AT458" s="7">
        <v>0</v>
      </c>
      <c r="AU458" s="4" t="s">
        <v>573</v>
      </c>
      <c r="AV458" s="4" t="s">
        <v>305</v>
      </c>
      <c r="AW458" s="4" t="s">
        <v>292</v>
      </c>
    </row>
    <row r="459" spans="1:49" s="4" customFormat="1" x14ac:dyDescent="0.25">
      <c r="A459" s="4" t="s">
        <v>11207</v>
      </c>
      <c r="B459" s="4" t="s">
        <v>293</v>
      </c>
      <c r="C459" s="4" t="s">
        <v>571</v>
      </c>
      <c r="D459" s="4" t="s">
        <v>572</v>
      </c>
      <c r="F459" s="4" t="s">
        <v>11236</v>
      </c>
      <c r="G459" s="4" t="s">
        <v>11237</v>
      </c>
      <c r="I459" s="4" t="s">
        <v>296</v>
      </c>
      <c r="J459" s="4" t="s">
        <v>297</v>
      </c>
      <c r="K459" s="4" t="s">
        <v>311</v>
      </c>
      <c r="L459" s="4" t="s">
        <v>322</v>
      </c>
      <c r="M459" s="4" t="s">
        <v>300</v>
      </c>
      <c r="N459" s="4" t="s">
        <v>11238</v>
      </c>
      <c r="O459" s="5">
        <v>6.18</v>
      </c>
      <c r="P459" s="6">
        <v>1</v>
      </c>
      <c r="Q459" s="7">
        <v>9.25</v>
      </c>
      <c r="R459" s="7">
        <v>7</v>
      </c>
      <c r="S459" s="4" t="s">
        <v>301</v>
      </c>
      <c r="T459" s="4" t="s">
        <v>302</v>
      </c>
      <c r="U459" s="5">
        <v>7.3789999999999996</v>
      </c>
      <c r="V459" s="6">
        <v>0.25</v>
      </c>
      <c r="W459" s="7">
        <v>3</v>
      </c>
      <c r="X459" s="5">
        <v>2.4849999999999999</v>
      </c>
      <c r="Y459" s="4" t="s">
        <v>292</v>
      </c>
      <c r="Z459" s="6">
        <v>4</v>
      </c>
      <c r="AA459" s="6">
        <v>1</v>
      </c>
      <c r="AB459" s="5">
        <v>9.94</v>
      </c>
      <c r="AC459" s="6">
        <v>1</v>
      </c>
      <c r="AD459" s="6">
        <v>1</v>
      </c>
      <c r="AE459" s="5">
        <v>9.94</v>
      </c>
      <c r="AF459" s="5">
        <v>9.94</v>
      </c>
      <c r="AG459" s="7">
        <v>7</v>
      </c>
      <c r="AH459" s="7">
        <v>0</v>
      </c>
      <c r="AI459" s="7">
        <v>17</v>
      </c>
      <c r="AJ459" s="7">
        <v>0</v>
      </c>
      <c r="AK459" s="8">
        <v>44115.540173611109</v>
      </c>
      <c r="AL459" s="7">
        <v>0.19</v>
      </c>
      <c r="AM459" s="7">
        <v>100</v>
      </c>
      <c r="AN459" s="7">
        <v>0</v>
      </c>
      <c r="AO459" s="7">
        <v>0.13</v>
      </c>
      <c r="AP459" s="7">
        <v>0</v>
      </c>
      <c r="AQ459" s="7">
        <v>0.38</v>
      </c>
      <c r="AR459" s="7">
        <v>7.0000000000000007E-2</v>
      </c>
      <c r="AS459" s="4" t="s">
        <v>303</v>
      </c>
      <c r="AT459" s="7">
        <v>0</v>
      </c>
      <c r="AU459" s="4" t="s">
        <v>573</v>
      </c>
      <c r="AV459" s="4" t="s">
        <v>305</v>
      </c>
    </row>
    <row r="460" spans="1:49" s="4" customFormat="1" x14ac:dyDescent="0.25">
      <c r="A460" s="4" t="s">
        <v>11201</v>
      </c>
      <c r="B460" s="4" t="s">
        <v>293</v>
      </c>
      <c r="C460" s="4" t="s">
        <v>574</v>
      </c>
      <c r="D460" s="4" t="s">
        <v>575</v>
      </c>
      <c r="F460" s="4" t="s">
        <v>11462</v>
      </c>
      <c r="G460" s="4" t="s">
        <v>11463</v>
      </c>
      <c r="I460" s="4" t="s">
        <v>296</v>
      </c>
      <c r="J460" s="4" t="s">
        <v>297</v>
      </c>
      <c r="K460" s="4" t="s">
        <v>298</v>
      </c>
      <c r="L460" s="4" t="s">
        <v>299</v>
      </c>
      <c r="M460" s="4" t="s">
        <v>300</v>
      </c>
      <c r="N460" s="4" t="s">
        <v>11198</v>
      </c>
      <c r="O460" s="5">
        <v>526.53099999999995</v>
      </c>
      <c r="P460" s="6">
        <v>1</v>
      </c>
      <c r="Q460" s="7">
        <v>9.25</v>
      </c>
      <c r="R460" s="7">
        <v>12</v>
      </c>
      <c r="S460" s="4" t="s">
        <v>301</v>
      </c>
      <c r="T460" s="4" t="s">
        <v>302</v>
      </c>
      <c r="U460" s="5">
        <v>668.61099999999999</v>
      </c>
      <c r="V460" s="6">
        <v>0.45</v>
      </c>
      <c r="W460" s="7">
        <v>1.5</v>
      </c>
      <c r="X460" s="5">
        <v>241.89500000000001</v>
      </c>
      <c r="Y460" s="4" t="s">
        <v>292</v>
      </c>
      <c r="Z460" s="6">
        <v>1</v>
      </c>
      <c r="AA460" s="6">
        <v>1</v>
      </c>
      <c r="AB460" s="5">
        <v>241.89500000000001</v>
      </c>
      <c r="AC460" s="6">
        <v>1</v>
      </c>
      <c r="AD460" s="6">
        <v>1</v>
      </c>
      <c r="AE460" s="5">
        <v>241.89500000000001</v>
      </c>
      <c r="AF460" s="7">
        <v>10</v>
      </c>
      <c r="AG460" s="7">
        <v>12</v>
      </c>
      <c r="AH460" s="7">
        <v>9.25</v>
      </c>
      <c r="AI460" s="7">
        <v>0</v>
      </c>
      <c r="AJ460" s="7">
        <v>0</v>
      </c>
      <c r="AK460" s="8">
        <v>44115.52065972222</v>
      </c>
      <c r="AL460" s="7">
        <v>30.09</v>
      </c>
      <c r="AM460" s="7">
        <v>100</v>
      </c>
      <c r="AN460" s="7">
        <v>0</v>
      </c>
      <c r="AO460" s="7">
        <v>36.11</v>
      </c>
      <c r="AP460" s="7">
        <v>27.83</v>
      </c>
      <c r="AQ460" s="7">
        <v>0</v>
      </c>
      <c r="AR460" s="7">
        <v>4.96</v>
      </c>
      <c r="AS460" s="4" t="s">
        <v>303</v>
      </c>
      <c r="AT460" s="7">
        <v>0</v>
      </c>
      <c r="AU460" s="4" t="s">
        <v>576</v>
      </c>
      <c r="AV460" s="4" t="s">
        <v>305</v>
      </c>
      <c r="AW460" s="4" t="s">
        <v>292</v>
      </c>
    </row>
    <row r="461" spans="1:49" s="4" customFormat="1" x14ac:dyDescent="0.25">
      <c r="A461" s="4" t="s">
        <v>11199</v>
      </c>
      <c r="B461" s="4" t="s">
        <v>293</v>
      </c>
      <c r="C461" s="4" t="s">
        <v>574</v>
      </c>
      <c r="D461" s="4" t="s">
        <v>575</v>
      </c>
      <c r="F461" s="4" t="s">
        <v>11462</v>
      </c>
      <c r="G461" s="4" t="s">
        <v>11463</v>
      </c>
      <c r="I461" s="4" t="s">
        <v>296</v>
      </c>
      <c r="J461" s="4" t="s">
        <v>297</v>
      </c>
      <c r="K461" s="4" t="s">
        <v>298</v>
      </c>
      <c r="L461" s="4" t="s">
        <v>299</v>
      </c>
      <c r="M461" s="4" t="s">
        <v>300</v>
      </c>
      <c r="N461" s="4" t="s">
        <v>11198</v>
      </c>
      <c r="O461" s="5">
        <v>526.52800000000002</v>
      </c>
      <c r="P461" s="6">
        <v>1</v>
      </c>
      <c r="Q461" s="7">
        <v>9.25</v>
      </c>
      <c r="R461" s="7">
        <v>7</v>
      </c>
      <c r="S461" s="4" t="s">
        <v>301</v>
      </c>
      <c r="T461" s="4" t="s">
        <v>302</v>
      </c>
      <c r="U461" s="5">
        <v>628.69000000000005</v>
      </c>
      <c r="V461" s="6">
        <v>0.45</v>
      </c>
      <c r="W461" s="7">
        <v>2</v>
      </c>
      <c r="X461" s="5">
        <v>243.161</v>
      </c>
      <c r="Y461" s="4" t="s">
        <v>292</v>
      </c>
      <c r="Z461" s="6">
        <v>1</v>
      </c>
      <c r="AA461" s="6">
        <v>1</v>
      </c>
      <c r="AB461" s="5">
        <v>243.161</v>
      </c>
      <c r="AC461" s="6">
        <v>1</v>
      </c>
      <c r="AD461" s="6">
        <v>1</v>
      </c>
      <c r="AE461" s="5">
        <v>243.161</v>
      </c>
      <c r="AF461" s="7">
        <v>10</v>
      </c>
      <c r="AG461" s="7">
        <v>7</v>
      </c>
      <c r="AH461" s="7">
        <v>9.25</v>
      </c>
      <c r="AI461" s="7">
        <v>0</v>
      </c>
      <c r="AJ461" s="7">
        <v>0</v>
      </c>
      <c r="AK461" s="8">
        <v>44115.529444444444</v>
      </c>
      <c r="AL461" s="7">
        <v>28.29</v>
      </c>
      <c r="AM461" s="7">
        <v>100</v>
      </c>
      <c r="AN461" s="7">
        <v>0</v>
      </c>
      <c r="AO461" s="7">
        <v>19.8</v>
      </c>
      <c r="AP461" s="7">
        <v>26.17</v>
      </c>
      <c r="AQ461" s="7">
        <v>0</v>
      </c>
      <c r="AR461" s="7">
        <v>6.22</v>
      </c>
      <c r="AS461" s="4" t="s">
        <v>303</v>
      </c>
      <c r="AT461" s="7">
        <v>0</v>
      </c>
      <c r="AU461" s="4" t="s">
        <v>576</v>
      </c>
      <c r="AV461" s="4" t="s">
        <v>305</v>
      </c>
      <c r="AW461" s="4" t="s">
        <v>292</v>
      </c>
    </row>
    <row r="462" spans="1:49" s="4" customFormat="1" x14ac:dyDescent="0.25">
      <c r="A462" s="4" t="s">
        <v>395</v>
      </c>
      <c r="B462" s="4" t="s">
        <v>293</v>
      </c>
      <c r="C462" s="4" t="s">
        <v>574</v>
      </c>
      <c r="D462" s="4" t="s">
        <v>575</v>
      </c>
      <c r="F462" s="4" t="s">
        <v>11462</v>
      </c>
      <c r="G462" s="4" t="s">
        <v>11463</v>
      </c>
      <c r="I462" s="4" t="s">
        <v>296</v>
      </c>
      <c r="J462" s="4" t="s">
        <v>297</v>
      </c>
      <c r="K462" s="4" t="s">
        <v>298</v>
      </c>
      <c r="L462" s="4" t="s">
        <v>299</v>
      </c>
      <c r="M462" s="4" t="s">
        <v>300</v>
      </c>
      <c r="N462" s="4" t="s">
        <v>447</v>
      </c>
      <c r="O462" s="5">
        <v>526.52800000000002</v>
      </c>
      <c r="P462" s="6">
        <v>1</v>
      </c>
      <c r="Q462" s="7">
        <v>9.25</v>
      </c>
      <c r="R462" s="7">
        <v>7</v>
      </c>
      <c r="S462" s="4" t="s">
        <v>301</v>
      </c>
      <c r="T462" s="4" t="s">
        <v>302</v>
      </c>
      <c r="U462" s="5">
        <v>628.69000000000005</v>
      </c>
      <c r="V462" s="6">
        <v>0.45</v>
      </c>
      <c r="W462" s="7">
        <v>4</v>
      </c>
      <c r="X462" s="5">
        <v>331.34100000000001</v>
      </c>
      <c r="Y462" s="4" t="s">
        <v>292</v>
      </c>
      <c r="Z462" s="6">
        <v>1</v>
      </c>
      <c r="AA462" s="6">
        <v>0.75267200000000001</v>
      </c>
      <c r="AB462" s="5">
        <v>331.34100000000001</v>
      </c>
      <c r="AC462" s="6">
        <v>1</v>
      </c>
      <c r="AD462" s="6">
        <v>0.75267200000000001</v>
      </c>
      <c r="AE462" s="5">
        <v>331.34100000000001</v>
      </c>
      <c r="AF462" s="7">
        <v>10</v>
      </c>
      <c r="AG462" s="7">
        <v>7</v>
      </c>
      <c r="AH462" s="7">
        <v>9.25</v>
      </c>
      <c r="AI462" s="7">
        <v>17</v>
      </c>
      <c r="AJ462" s="7">
        <v>0</v>
      </c>
      <c r="AK462" s="8">
        <v>44115.529467592591</v>
      </c>
      <c r="AL462" s="7">
        <v>28.29</v>
      </c>
      <c r="AM462" s="7">
        <v>100</v>
      </c>
      <c r="AN462" s="7">
        <v>0</v>
      </c>
      <c r="AO462" s="7">
        <v>19.8</v>
      </c>
      <c r="AP462" s="7">
        <v>26.17</v>
      </c>
      <c r="AQ462" s="7">
        <v>59.76</v>
      </c>
      <c r="AR462" s="7">
        <v>14.84</v>
      </c>
      <c r="AS462" s="4" t="s">
        <v>303</v>
      </c>
      <c r="AT462" s="7">
        <v>0</v>
      </c>
      <c r="AU462" s="4" t="s">
        <v>576</v>
      </c>
      <c r="AV462" s="4" t="s">
        <v>305</v>
      </c>
      <c r="AW462" s="4" t="s">
        <v>292</v>
      </c>
    </row>
    <row r="463" spans="1:49" s="4" customFormat="1" x14ac:dyDescent="0.25">
      <c r="A463" s="4" t="s">
        <v>11200</v>
      </c>
      <c r="B463" s="4" t="s">
        <v>293</v>
      </c>
      <c r="C463" s="4" t="s">
        <v>574</v>
      </c>
      <c r="D463" s="4" t="s">
        <v>575</v>
      </c>
      <c r="F463" s="4" t="s">
        <v>11462</v>
      </c>
      <c r="G463" s="4" t="s">
        <v>11463</v>
      </c>
      <c r="I463" s="4" t="s">
        <v>296</v>
      </c>
      <c r="J463" s="4" t="s">
        <v>297</v>
      </c>
      <c r="K463" s="4" t="s">
        <v>298</v>
      </c>
      <c r="L463" s="4" t="s">
        <v>299</v>
      </c>
      <c r="M463" s="4" t="s">
        <v>300</v>
      </c>
      <c r="N463" s="4" t="s">
        <v>11198</v>
      </c>
      <c r="O463" s="5">
        <v>526.52800000000002</v>
      </c>
      <c r="P463" s="6">
        <v>1</v>
      </c>
      <c r="Q463" s="7">
        <v>9.25</v>
      </c>
      <c r="R463" s="7">
        <v>18</v>
      </c>
      <c r="S463" s="4" t="s">
        <v>301</v>
      </c>
      <c r="T463" s="4" t="s">
        <v>302</v>
      </c>
      <c r="U463" s="5">
        <v>723.75</v>
      </c>
      <c r="V463" s="6">
        <v>0.45</v>
      </c>
      <c r="W463" s="7">
        <v>1.5</v>
      </c>
      <c r="X463" s="5">
        <v>242.30799999999999</v>
      </c>
      <c r="Y463" s="4" t="s">
        <v>292</v>
      </c>
      <c r="Z463" s="6">
        <v>1</v>
      </c>
      <c r="AA463" s="6">
        <v>1</v>
      </c>
      <c r="AB463" s="5">
        <v>242.30799999999999</v>
      </c>
      <c r="AC463" s="6">
        <v>1</v>
      </c>
      <c r="AD463" s="6">
        <v>1</v>
      </c>
      <c r="AE463" s="5">
        <v>242.30799999999999</v>
      </c>
      <c r="AF463" s="7">
        <v>10</v>
      </c>
      <c r="AG463" s="7">
        <v>18</v>
      </c>
      <c r="AH463" s="7">
        <v>9.25</v>
      </c>
      <c r="AI463" s="7">
        <v>0</v>
      </c>
      <c r="AJ463" s="7">
        <v>0</v>
      </c>
      <c r="AK463" s="8">
        <v>44115.513321759259</v>
      </c>
      <c r="AL463" s="7">
        <v>32.57</v>
      </c>
      <c r="AM463" s="7">
        <v>100</v>
      </c>
      <c r="AN463" s="7">
        <v>0</v>
      </c>
      <c r="AO463" s="7">
        <v>58.63</v>
      </c>
      <c r="AP463" s="7">
        <v>30.12</v>
      </c>
      <c r="AQ463" s="7">
        <v>0</v>
      </c>
      <c r="AR463" s="7">
        <v>5.37</v>
      </c>
      <c r="AS463" s="4" t="s">
        <v>303</v>
      </c>
      <c r="AT463" s="7">
        <v>0</v>
      </c>
      <c r="AU463" s="4" t="s">
        <v>576</v>
      </c>
      <c r="AV463" s="4" t="s">
        <v>305</v>
      </c>
      <c r="AW463" s="4" t="s">
        <v>292</v>
      </c>
    </row>
    <row r="464" spans="1:49" s="4" customFormat="1" x14ac:dyDescent="0.25">
      <c r="A464" s="4" t="s">
        <v>11207</v>
      </c>
      <c r="B464" s="4" t="s">
        <v>293</v>
      </c>
      <c r="C464" s="4" t="s">
        <v>574</v>
      </c>
      <c r="D464" s="4" t="s">
        <v>575</v>
      </c>
      <c r="F464" s="4" t="s">
        <v>11236</v>
      </c>
      <c r="G464" s="4" t="s">
        <v>11237</v>
      </c>
      <c r="I464" s="4" t="s">
        <v>296</v>
      </c>
      <c r="J464" s="4" t="s">
        <v>297</v>
      </c>
      <c r="K464" s="4" t="s">
        <v>298</v>
      </c>
      <c r="L464" s="4" t="s">
        <v>299</v>
      </c>
      <c r="M464" s="4" t="s">
        <v>300</v>
      </c>
      <c r="N464" s="4" t="s">
        <v>11238</v>
      </c>
      <c r="O464" s="5">
        <v>242.31</v>
      </c>
      <c r="P464" s="6">
        <v>1</v>
      </c>
      <c r="Q464" s="7">
        <v>9.25</v>
      </c>
      <c r="R464" s="7">
        <v>7</v>
      </c>
      <c r="S464" s="4" t="s">
        <v>301</v>
      </c>
      <c r="T464" s="4" t="s">
        <v>302</v>
      </c>
      <c r="U464" s="5">
        <v>289.32499999999999</v>
      </c>
      <c r="V464" s="6">
        <v>0.25</v>
      </c>
      <c r="W464" s="7">
        <v>3</v>
      </c>
      <c r="X464" s="5">
        <v>97.350999999999999</v>
      </c>
      <c r="Y464" s="4" t="s">
        <v>292</v>
      </c>
      <c r="Z464" s="6">
        <v>4</v>
      </c>
      <c r="AA464" s="6">
        <v>1</v>
      </c>
      <c r="AB464" s="5">
        <v>389.404</v>
      </c>
      <c r="AC464" s="6">
        <v>1</v>
      </c>
      <c r="AD464" s="6">
        <v>1</v>
      </c>
      <c r="AE464" s="5">
        <v>389.404</v>
      </c>
      <c r="AF464" s="5">
        <v>389.404</v>
      </c>
      <c r="AG464" s="7">
        <v>7</v>
      </c>
      <c r="AH464" s="7">
        <v>0</v>
      </c>
      <c r="AI464" s="7">
        <v>17</v>
      </c>
      <c r="AJ464" s="7">
        <v>0</v>
      </c>
      <c r="AK464" s="8">
        <v>44115.540196759262</v>
      </c>
      <c r="AL464" s="7">
        <v>7.23</v>
      </c>
      <c r="AM464" s="7">
        <v>100</v>
      </c>
      <c r="AN464" s="7">
        <v>0</v>
      </c>
      <c r="AO464" s="7">
        <v>5.0599999999999996</v>
      </c>
      <c r="AP464" s="7">
        <v>0</v>
      </c>
      <c r="AQ464" s="7">
        <v>14.95</v>
      </c>
      <c r="AR464" s="7">
        <v>2.84</v>
      </c>
      <c r="AS464" s="4" t="s">
        <v>303</v>
      </c>
      <c r="AT464" s="7">
        <v>0</v>
      </c>
      <c r="AU464" s="4" t="s">
        <v>576</v>
      </c>
      <c r="AV464" s="4" t="s">
        <v>305</v>
      </c>
    </row>
    <row r="465" spans="1:49" s="4" customFormat="1" x14ac:dyDescent="0.25">
      <c r="A465" s="4" t="s">
        <v>11201</v>
      </c>
      <c r="B465" s="4" t="s">
        <v>293</v>
      </c>
      <c r="C465" s="4" t="s">
        <v>577</v>
      </c>
      <c r="D465" s="4" t="s">
        <v>578</v>
      </c>
      <c r="F465" s="4" t="s">
        <v>11462</v>
      </c>
      <c r="G465" s="4" t="s">
        <v>11463</v>
      </c>
      <c r="I465" s="4" t="s">
        <v>296</v>
      </c>
      <c r="J465" s="4" t="s">
        <v>297</v>
      </c>
      <c r="K465" s="4" t="s">
        <v>298</v>
      </c>
      <c r="L465" s="4" t="s">
        <v>299</v>
      </c>
      <c r="M465" s="4" t="s">
        <v>300</v>
      </c>
      <c r="N465" s="4" t="s">
        <v>11198</v>
      </c>
      <c r="O465" s="5">
        <v>133.12</v>
      </c>
      <c r="P465" s="6">
        <v>1</v>
      </c>
      <c r="Q465" s="7">
        <v>9.25</v>
      </c>
      <c r="R465" s="7">
        <v>12</v>
      </c>
      <c r="S465" s="4" t="s">
        <v>301</v>
      </c>
      <c r="T465" s="4" t="s">
        <v>302</v>
      </c>
      <c r="U465" s="5">
        <v>169.041</v>
      </c>
      <c r="V465" s="6">
        <v>0.45</v>
      </c>
      <c r="W465" s="7">
        <v>1.5</v>
      </c>
      <c r="X465" s="5">
        <v>61.158000000000001</v>
      </c>
      <c r="Y465" s="4" t="s">
        <v>292</v>
      </c>
      <c r="Z465" s="6">
        <v>1</v>
      </c>
      <c r="AA465" s="6">
        <v>1</v>
      </c>
      <c r="AB465" s="5">
        <v>61.158000000000001</v>
      </c>
      <c r="AC465" s="6">
        <v>1</v>
      </c>
      <c r="AD465" s="6">
        <v>1</v>
      </c>
      <c r="AE465" s="5">
        <v>61.158000000000001</v>
      </c>
      <c r="AF465" s="7">
        <v>10</v>
      </c>
      <c r="AG465" s="7">
        <v>12</v>
      </c>
      <c r="AH465" s="7">
        <v>9.25</v>
      </c>
      <c r="AI465" s="7">
        <v>0</v>
      </c>
      <c r="AJ465" s="7">
        <v>0</v>
      </c>
      <c r="AK465" s="8">
        <v>44115.520682870374</v>
      </c>
      <c r="AL465" s="7">
        <v>7.61</v>
      </c>
      <c r="AM465" s="7">
        <v>100</v>
      </c>
      <c r="AN465" s="7">
        <v>0</v>
      </c>
      <c r="AO465" s="7">
        <v>9.1300000000000008</v>
      </c>
      <c r="AP465" s="7">
        <v>7.04</v>
      </c>
      <c r="AQ465" s="7">
        <v>0</v>
      </c>
      <c r="AR465" s="7">
        <v>1.26</v>
      </c>
      <c r="AS465" s="4" t="s">
        <v>303</v>
      </c>
      <c r="AT465" s="7">
        <v>0</v>
      </c>
      <c r="AU465" s="4" t="s">
        <v>579</v>
      </c>
      <c r="AV465" s="4" t="s">
        <v>305</v>
      </c>
      <c r="AW465" s="4" t="s">
        <v>292</v>
      </c>
    </row>
    <row r="466" spans="1:49" s="4" customFormat="1" x14ac:dyDescent="0.25">
      <c r="A466" s="4" t="s">
        <v>11199</v>
      </c>
      <c r="B466" s="4" t="s">
        <v>293</v>
      </c>
      <c r="C466" s="4" t="s">
        <v>577</v>
      </c>
      <c r="D466" s="4" t="s">
        <v>578</v>
      </c>
      <c r="F466" s="4" t="s">
        <v>11462</v>
      </c>
      <c r="G466" s="4" t="s">
        <v>11463</v>
      </c>
      <c r="I466" s="4" t="s">
        <v>296</v>
      </c>
      <c r="J466" s="4" t="s">
        <v>297</v>
      </c>
      <c r="K466" s="4" t="s">
        <v>298</v>
      </c>
      <c r="L466" s="4" t="s">
        <v>299</v>
      </c>
      <c r="M466" s="4" t="s">
        <v>300</v>
      </c>
      <c r="N466" s="4" t="s">
        <v>11198</v>
      </c>
      <c r="O466" s="5">
        <v>133.11799999999999</v>
      </c>
      <c r="P466" s="6">
        <v>1</v>
      </c>
      <c r="Q466" s="7">
        <v>9.25</v>
      </c>
      <c r="R466" s="7">
        <v>7</v>
      </c>
      <c r="S466" s="4" t="s">
        <v>301</v>
      </c>
      <c r="T466" s="4" t="s">
        <v>302</v>
      </c>
      <c r="U466" s="5">
        <v>158.947</v>
      </c>
      <c r="V466" s="6">
        <v>0.45</v>
      </c>
      <c r="W466" s="7">
        <v>2</v>
      </c>
      <c r="X466" s="5">
        <v>61.466000000000001</v>
      </c>
      <c r="Y466" s="4" t="s">
        <v>292</v>
      </c>
      <c r="Z466" s="6">
        <v>1</v>
      </c>
      <c r="AA466" s="6">
        <v>1</v>
      </c>
      <c r="AB466" s="5">
        <v>61.466000000000001</v>
      </c>
      <c r="AC466" s="6">
        <v>1</v>
      </c>
      <c r="AD466" s="6">
        <v>1</v>
      </c>
      <c r="AE466" s="5">
        <v>61.466000000000001</v>
      </c>
      <c r="AF466" s="7">
        <v>10</v>
      </c>
      <c r="AG466" s="7">
        <v>7</v>
      </c>
      <c r="AH466" s="7">
        <v>9.25</v>
      </c>
      <c r="AI466" s="7">
        <v>0</v>
      </c>
      <c r="AJ466" s="7">
        <v>0</v>
      </c>
      <c r="AK466" s="8">
        <v>44115.529467592591</v>
      </c>
      <c r="AL466" s="7">
        <v>7.15</v>
      </c>
      <c r="AM466" s="7">
        <v>100</v>
      </c>
      <c r="AN466" s="7">
        <v>0</v>
      </c>
      <c r="AO466" s="7">
        <v>5.01</v>
      </c>
      <c r="AP466" s="7">
        <v>6.62</v>
      </c>
      <c r="AQ466" s="7">
        <v>0</v>
      </c>
      <c r="AR466" s="7">
        <v>1.57</v>
      </c>
      <c r="AS466" s="4" t="s">
        <v>303</v>
      </c>
      <c r="AT466" s="7">
        <v>0</v>
      </c>
      <c r="AU466" s="4" t="s">
        <v>579</v>
      </c>
      <c r="AV466" s="4" t="s">
        <v>305</v>
      </c>
      <c r="AW466" s="4" t="s">
        <v>292</v>
      </c>
    </row>
    <row r="467" spans="1:49" s="4" customFormat="1" x14ac:dyDescent="0.25">
      <c r="A467" s="4" t="s">
        <v>395</v>
      </c>
      <c r="B467" s="4" t="s">
        <v>293</v>
      </c>
      <c r="C467" s="4" t="s">
        <v>577</v>
      </c>
      <c r="D467" s="4" t="s">
        <v>578</v>
      </c>
      <c r="F467" s="4" t="s">
        <v>11462</v>
      </c>
      <c r="G467" s="4" t="s">
        <v>11463</v>
      </c>
      <c r="I467" s="4" t="s">
        <v>296</v>
      </c>
      <c r="J467" s="4" t="s">
        <v>297</v>
      </c>
      <c r="K467" s="4" t="s">
        <v>298</v>
      </c>
      <c r="L467" s="4" t="s">
        <v>299</v>
      </c>
      <c r="M467" s="4" t="s">
        <v>300</v>
      </c>
      <c r="N467" s="4" t="s">
        <v>447</v>
      </c>
      <c r="O467" s="5">
        <v>133.11799999999999</v>
      </c>
      <c r="P467" s="6">
        <v>1</v>
      </c>
      <c r="Q467" s="7">
        <v>9.25</v>
      </c>
      <c r="R467" s="7">
        <v>7</v>
      </c>
      <c r="S467" s="4" t="s">
        <v>301</v>
      </c>
      <c r="T467" s="4" t="s">
        <v>302</v>
      </c>
      <c r="U467" s="5">
        <v>158.947</v>
      </c>
      <c r="V467" s="6">
        <v>0.45</v>
      </c>
      <c r="W467" s="7">
        <v>4</v>
      </c>
      <c r="X467" s="5">
        <v>83.766000000000005</v>
      </c>
      <c r="Y467" s="4" t="s">
        <v>292</v>
      </c>
      <c r="Z467" s="6">
        <v>1</v>
      </c>
      <c r="AA467" s="6">
        <v>0.75264399999999998</v>
      </c>
      <c r="AB467" s="5">
        <v>83.766000000000005</v>
      </c>
      <c r="AC467" s="6">
        <v>1</v>
      </c>
      <c r="AD467" s="6">
        <v>0.75264399999999998</v>
      </c>
      <c r="AE467" s="5">
        <v>83.766000000000005</v>
      </c>
      <c r="AF467" s="7">
        <v>10</v>
      </c>
      <c r="AG467" s="7">
        <v>7</v>
      </c>
      <c r="AH467" s="7">
        <v>9.25</v>
      </c>
      <c r="AI467" s="7">
        <v>17</v>
      </c>
      <c r="AJ467" s="7">
        <v>0</v>
      </c>
      <c r="AK467" s="8">
        <v>44115.529467592591</v>
      </c>
      <c r="AL467" s="7">
        <v>7.15</v>
      </c>
      <c r="AM467" s="7">
        <v>100</v>
      </c>
      <c r="AN467" s="7">
        <v>0</v>
      </c>
      <c r="AO467" s="7">
        <v>5.01</v>
      </c>
      <c r="AP467" s="7">
        <v>6.62</v>
      </c>
      <c r="AQ467" s="7">
        <v>15.11</v>
      </c>
      <c r="AR467" s="7">
        <v>3.75</v>
      </c>
      <c r="AS467" s="4" t="s">
        <v>303</v>
      </c>
      <c r="AT467" s="7">
        <v>0</v>
      </c>
      <c r="AU467" s="4" t="s">
        <v>579</v>
      </c>
      <c r="AV467" s="4" t="s">
        <v>305</v>
      </c>
      <c r="AW467" s="4" t="s">
        <v>292</v>
      </c>
    </row>
    <row r="468" spans="1:49" s="4" customFormat="1" x14ac:dyDescent="0.25">
      <c r="A468" s="4" t="s">
        <v>11200</v>
      </c>
      <c r="B468" s="4" t="s">
        <v>293</v>
      </c>
      <c r="C468" s="4" t="s">
        <v>577</v>
      </c>
      <c r="D468" s="4" t="s">
        <v>578</v>
      </c>
      <c r="F468" s="4" t="s">
        <v>11462</v>
      </c>
      <c r="G468" s="4" t="s">
        <v>11463</v>
      </c>
      <c r="I468" s="4" t="s">
        <v>296</v>
      </c>
      <c r="J468" s="4" t="s">
        <v>297</v>
      </c>
      <c r="K468" s="4" t="s">
        <v>298</v>
      </c>
      <c r="L468" s="4" t="s">
        <v>299</v>
      </c>
      <c r="M468" s="4" t="s">
        <v>300</v>
      </c>
      <c r="N468" s="4" t="s">
        <v>11198</v>
      </c>
      <c r="O468" s="5">
        <v>133.11799999999999</v>
      </c>
      <c r="P468" s="6">
        <v>1</v>
      </c>
      <c r="Q468" s="7">
        <v>9.25</v>
      </c>
      <c r="R468" s="7">
        <v>18</v>
      </c>
      <c r="S468" s="4" t="s">
        <v>301</v>
      </c>
      <c r="T468" s="4" t="s">
        <v>302</v>
      </c>
      <c r="U468" s="5">
        <v>182.98</v>
      </c>
      <c r="V468" s="6">
        <v>0.45</v>
      </c>
      <c r="W468" s="7">
        <v>1.5</v>
      </c>
      <c r="X468" s="5">
        <v>61.261000000000003</v>
      </c>
      <c r="Y468" s="4" t="s">
        <v>292</v>
      </c>
      <c r="Z468" s="6">
        <v>1</v>
      </c>
      <c r="AA468" s="6">
        <v>1</v>
      </c>
      <c r="AB468" s="5">
        <v>61.261000000000003</v>
      </c>
      <c r="AC468" s="6">
        <v>1</v>
      </c>
      <c r="AD468" s="6">
        <v>1</v>
      </c>
      <c r="AE468" s="5">
        <v>61.261000000000003</v>
      </c>
      <c r="AF468" s="7">
        <v>10</v>
      </c>
      <c r="AG468" s="7">
        <v>18</v>
      </c>
      <c r="AH468" s="7">
        <v>9.25</v>
      </c>
      <c r="AI468" s="7">
        <v>0</v>
      </c>
      <c r="AJ468" s="7">
        <v>0</v>
      </c>
      <c r="AK468" s="8">
        <v>44115.513333333336</v>
      </c>
      <c r="AL468" s="7">
        <v>8.23</v>
      </c>
      <c r="AM468" s="7">
        <v>100</v>
      </c>
      <c r="AN468" s="7">
        <v>0</v>
      </c>
      <c r="AO468" s="7">
        <v>14.82</v>
      </c>
      <c r="AP468" s="7">
        <v>7.62</v>
      </c>
      <c r="AQ468" s="7">
        <v>0</v>
      </c>
      <c r="AR468" s="7">
        <v>1.36</v>
      </c>
      <c r="AS468" s="4" t="s">
        <v>303</v>
      </c>
      <c r="AT468" s="7">
        <v>0</v>
      </c>
      <c r="AU468" s="4" t="s">
        <v>579</v>
      </c>
      <c r="AV468" s="4" t="s">
        <v>305</v>
      </c>
      <c r="AW468" s="4" t="s">
        <v>292</v>
      </c>
    </row>
    <row r="469" spans="1:49" s="4" customFormat="1" x14ac:dyDescent="0.25">
      <c r="A469" s="4" t="s">
        <v>11207</v>
      </c>
      <c r="B469" s="4" t="s">
        <v>293</v>
      </c>
      <c r="C469" s="4" t="s">
        <v>577</v>
      </c>
      <c r="D469" s="4" t="s">
        <v>578</v>
      </c>
      <c r="F469" s="4" t="s">
        <v>11236</v>
      </c>
      <c r="G469" s="4" t="s">
        <v>11237</v>
      </c>
      <c r="I469" s="4" t="s">
        <v>296</v>
      </c>
      <c r="J469" s="4" t="s">
        <v>297</v>
      </c>
      <c r="K469" s="4" t="s">
        <v>298</v>
      </c>
      <c r="L469" s="4" t="s">
        <v>299</v>
      </c>
      <c r="M469" s="4" t="s">
        <v>300</v>
      </c>
      <c r="N469" s="4" t="s">
        <v>11238</v>
      </c>
      <c r="O469" s="5">
        <v>61.26</v>
      </c>
      <c r="P469" s="6">
        <v>1</v>
      </c>
      <c r="Q469" s="7">
        <v>9.25</v>
      </c>
      <c r="R469" s="7">
        <v>7</v>
      </c>
      <c r="S469" s="4" t="s">
        <v>301</v>
      </c>
      <c r="T469" s="4" t="s">
        <v>302</v>
      </c>
      <c r="U469" s="5">
        <v>73.146000000000001</v>
      </c>
      <c r="V469" s="6">
        <v>0.25</v>
      </c>
      <c r="W469" s="7">
        <v>3</v>
      </c>
      <c r="X469" s="5">
        <v>24.617000000000001</v>
      </c>
      <c r="Y469" s="4" t="s">
        <v>292</v>
      </c>
      <c r="Z469" s="6">
        <v>4</v>
      </c>
      <c r="AA469" s="6">
        <v>1</v>
      </c>
      <c r="AB469" s="5">
        <v>98.468000000000004</v>
      </c>
      <c r="AC469" s="6">
        <v>1</v>
      </c>
      <c r="AD469" s="6">
        <v>1</v>
      </c>
      <c r="AE469" s="5">
        <v>98.468000000000004</v>
      </c>
      <c r="AF469" s="5">
        <v>98.468000000000004</v>
      </c>
      <c r="AG469" s="7">
        <v>7</v>
      </c>
      <c r="AH469" s="7">
        <v>0</v>
      </c>
      <c r="AI469" s="7">
        <v>17</v>
      </c>
      <c r="AJ469" s="7">
        <v>0</v>
      </c>
      <c r="AK469" s="8">
        <v>44115.540231481478</v>
      </c>
      <c r="AL469" s="7">
        <v>1.83</v>
      </c>
      <c r="AM469" s="7">
        <v>100</v>
      </c>
      <c r="AN469" s="7">
        <v>0</v>
      </c>
      <c r="AO469" s="7">
        <v>1.28</v>
      </c>
      <c r="AP469" s="7">
        <v>0</v>
      </c>
      <c r="AQ469" s="7">
        <v>3.78</v>
      </c>
      <c r="AR469" s="7">
        <v>0.72</v>
      </c>
      <c r="AS469" s="4" t="s">
        <v>303</v>
      </c>
      <c r="AT469" s="7">
        <v>0</v>
      </c>
      <c r="AU469" s="4" t="s">
        <v>579</v>
      </c>
      <c r="AV469" s="4" t="s">
        <v>305</v>
      </c>
    </row>
    <row r="470" spans="1:49" s="4" customFormat="1" x14ac:dyDescent="0.25">
      <c r="A470" s="4" t="s">
        <v>11201</v>
      </c>
      <c r="B470" s="4" t="s">
        <v>293</v>
      </c>
      <c r="C470" s="4" t="s">
        <v>580</v>
      </c>
      <c r="D470" s="4" t="s">
        <v>581</v>
      </c>
      <c r="F470" s="4" t="s">
        <v>11462</v>
      </c>
      <c r="G470" s="4" t="s">
        <v>11463</v>
      </c>
      <c r="I470" s="4" t="s">
        <v>296</v>
      </c>
      <c r="J470" s="4" t="s">
        <v>297</v>
      </c>
      <c r="K470" s="4" t="s">
        <v>298</v>
      </c>
      <c r="L470" s="4" t="s">
        <v>299</v>
      </c>
      <c r="M470" s="4" t="s">
        <v>300</v>
      </c>
      <c r="N470" s="4" t="s">
        <v>11198</v>
      </c>
      <c r="O470" s="5">
        <v>123.289</v>
      </c>
      <c r="P470" s="6">
        <v>1</v>
      </c>
      <c r="Q470" s="7">
        <v>9.25</v>
      </c>
      <c r="R470" s="7">
        <v>12</v>
      </c>
      <c r="S470" s="4" t="s">
        <v>301</v>
      </c>
      <c r="T470" s="4" t="s">
        <v>302</v>
      </c>
      <c r="U470" s="5">
        <v>156.55699999999999</v>
      </c>
      <c r="V470" s="6">
        <v>0.45</v>
      </c>
      <c r="W470" s="7">
        <v>1.5</v>
      </c>
      <c r="X470" s="5">
        <v>56.651000000000003</v>
      </c>
      <c r="Y470" s="4" t="s">
        <v>292</v>
      </c>
      <c r="Z470" s="6">
        <v>1</v>
      </c>
      <c r="AA470" s="6">
        <v>1</v>
      </c>
      <c r="AB470" s="5">
        <v>56.651000000000003</v>
      </c>
      <c r="AC470" s="6">
        <v>1</v>
      </c>
      <c r="AD470" s="6">
        <v>1</v>
      </c>
      <c r="AE470" s="5">
        <v>56.651000000000003</v>
      </c>
      <c r="AF470" s="7">
        <v>10</v>
      </c>
      <c r="AG470" s="7">
        <v>12</v>
      </c>
      <c r="AH470" s="7">
        <v>9.25</v>
      </c>
      <c r="AI470" s="7">
        <v>0</v>
      </c>
      <c r="AJ470" s="7">
        <v>0</v>
      </c>
      <c r="AK470" s="8">
        <v>44115.52070601852</v>
      </c>
      <c r="AL470" s="7">
        <v>7.05</v>
      </c>
      <c r="AM470" s="7">
        <v>100</v>
      </c>
      <c r="AN470" s="7">
        <v>0</v>
      </c>
      <c r="AO470" s="7">
        <v>8.4499999999999993</v>
      </c>
      <c r="AP470" s="7">
        <v>6.51</v>
      </c>
      <c r="AQ470" s="7">
        <v>0</v>
      </c>
      <c r="AR470" s="7">
        <v>1.1599999999999999</v>
      </c>
      <c r="AS470" s="4" t="s">
        <v>303</v>
      </c>
      <c r="AT470" s="7">
        <v>0</v>
      </c>
      <c r="AU470" s="4" t="s">
        <v>582</v>
      </c>
      <c r="AV470" s="4" t="s">
        <v>305</v>
      </c>
      <c r="AW470" s="4" t="s">
        <v>292</v>
      </c>
    </row>
    <row r="471" spans="1:49" s="4" customFormat="1" x14ac:dyDescent="0.25">
      <c r="A471" s="4" t="s">
        <v>11199</v>
      </c>
      <c r="B471" s="4" t="s">
        <v>293</v>
      </c>
      <c r="C471" s="4" t="s">
        <v>580</v>
      </c>
      <c r="D471" s="4" t="s">
        <v>581</v>
      </c>
      <c r="F471" s="4" t="s">
        <v>11462</v>
      </c>
      <c r="G471" s="4" t="s">
        <v>11463</v>
      </c>
      <c r="I471" s="4" t="s">
        <v>296</v>
      </c>
      <c r="J471" s="4" t="s">
        <v>297</v>
      </c>
      <c r="K471" s="4" t="s">
        <v>298</v>
      </c>
      <c r="L471" s="4" t="s">
        <v>299</v>
      </c>
      <c r="M471" s="4" t="s">
        <v>300</v>
      </c>
      <c r="N471" s="4" t="s">
        <v>11198</v>
      </c>
      <c r="O471" s="5">
        <v>123.289</v>
      </c>
      <c r="P471" s="6">
        <v>1</v>
      </c>
      <c r="Q471" s="7">
        <v>9.25</v>
      </c>
      <c r="R471" s="7">
        <v>7</v>
      </c>
      <c r="S471" s="4" t="s">
        <v>301</v>
      </c>
      <c r="T471" s="4" t="s">
        <v>302</v>
      </c>
      <c r="U471" s="5">
        <v>147.21100000000001</v>
      </c>
      <c r="V471" s="6">
        <v>0.45</v>
      </c>
      <c r="W471" s="7">
        <v>2</v>
      </c>
      <c r="X471" s="5">
        <v>56.935000000000002</v>
      </c>
      <c r="Y471" s="4" t="s">
        <v>292</v>
      </c>
      <c r="Z471" s="6">
        <v>1</v>
      </c>
      <c r="AA471" s="6">
        <v>1</v>
      </c>
      <c r="AB471" s="5">
        <v>56.935000000000002</v>
      </c>
      <c r="AC471" s="6">
        <v>1</v>
      </c>
      <c r="AD471" s="6">
        <v>1</v>
      </c>
      <c r="AE471" s="5">
        <v>56.935000000000002</v>
      </c>
      <c r="AF471" s="7">
        <v>10</v>
      </c>
      <c r="AG471" s="7">
        <v>7</v>
      </c>
      <c r="AH471" s="7">
        <v>9.25</v>
      </c>
      <c r="AI471" s="7">
        <v>0</v>
      </c>
      <c r="AJ471" s="7">
        <v>0</v>
      </c>
      <c r="AK471" s="8">
        <v>44115.529467592591</v>
      </c>
      <c r="AL471" s="7">
        <v>6.63</v>
      </c>
      <c r="AM471" s="7">
        <v>100</v>
      </c>
      <c r="AN471" s="7">
        <v>0</v>
      </c>
      <c r="AO471" s="7">
        <v>4.6399999999999997</v>
      </c>
      <c r="AP471" s="7">
        <v>6.13</v>
      </c>
      <c r="AQ471" s="7">
        <v>0</v>
      </c>
      <c r="AR471" s="7">
        <v>1.46</v>
      </c>
      <c r="AS471" s="4" t="s">
        <v>303</v>
      </c>
      <c r="AT471" s="7">
        <v>0</v>
      </c>
      <c r="AU471" s="4" t="s">
        <v>582</v>
      </c>
      <c r="AV471" s="4" t="s">
        <v>305</v>
      </c>
      <c r="AW471" s="4" t="s">
        <v>292</v>
      </c>
    </row>
    <row r="472" spans="1:49" s="4" customFormat="1" x14ac:dyDescent="0.25">
      <c r="A472" s="4" t="s">
        <v>395</v>
      </c>
      <c r="B472" s="4" t="s">
        <v>293</v>
      </c>
      <c r="C472" s="4" t="s">
        <v>580</v>
      </c>
      <c r="D472" s="4" t="s">
        <v>581</v>
      </c>
      <c r="F472" s="4" t="s">
        <v>11462</v>
      </c>
      <c r="G472" s="4" t="s">
        <v>11463</v>
      </c>
      <c r="I472" s="4" t="s">
        <v>296</v>
      </c>
      <c r="J472" s="4" t="s">
        <v>297</v>
      </c>
      <c r="K472" s="4" t="s">
        <v>298</v>
      </c>
      <c r="L472" s="4" t="s">
        <v>299</v>
      </c>
      <c r="M472" s="4" t="s">
        <v>300</v>
      </c>
      <c r="N472" s="4" t="s">
        <v>447</v>
      </c>
      <c r="O472" s="5">
        <v>123.289</v>
      </c>
      <c r="P472" s="6">
        <v>1</v>
      </c>
      <c r="Q472" s="7">
        <v>9.25</v>
      </c>
      <c r="R472" s="7">
        <v>7</v>
      </c>
      <c r="S472" s="4" t="s">
        <v>301</v>
      </c>
      <c r="T472" s="4" t="s">
        <v>302</v>
      </c>
      <c r="U472" s="5">
        <v>147.21100000000001</v>
      </c>
      <c r="V472" s="6">
        <v>0.45</v>
      </c>
      <c r="W472" s="7">
        <v>4</v>
      </c>
      <c r="X472" s="5">
        <v>77.575000000000003</v>
      </c>
      <c r="Y472" s="4" t="s">
        <v>292</v>
      </c>
      <c r="Z472" s="6">
        <v>1</v>
      </c>
      <c r="AA472" s="6">
        <v>0.75275499999999995</v>
      </c>
      <c r="AB472" s="5">
        <v>77.575000000000003</v>
      </c>
      <c r="AC472" s="6">
        <v>1</v>
      </c>
      <c r="AD472" s="6">
        <v>0.75275499999999995</v>
      </c>
      <c r="AE472" s="5">
        <v>77.575000000000003</v>
      </c>
      <c r="AF472" s="7">
        <v>10</v>
      </c>
      <c r="AG472" s="7">
        <v>7</v>
      </c>
      <c r="AH472" s="7">
        <v>9.25</v>
      </c>
      <c r="AI472" s="7">
        <v>17</v>
      </c>
      <c r="AJ472" s="7">
        <v>0</v>
      </c>
      <c r="AK472" s="8">
        <v>44115.529479166667</v>
      </c>
      <c r="AL472" s="7">
        <v>6.63</v>
      </c>
      <c r="AM472" s="7">
        <v>100</v>
      </c>
      <c r="AN472" s="7">
        <v>0</v>
      </c>
      <c r="AO472" s="7">
        <v>4.6399999999999997</v>
      </c>
      <c r="AP472" s="7">
        <v>6.13</v>
      </c>
      <c r="AQ472" s="7">
        <v>13.99</v>
      </c>
      <c r="AR472" s="7">
        <v>3.47</v>
      </c>
      <c r="AS472" s="4" t="s">
        <v>303</v>
      </c>
      <c r="AT472" s="7">
        <v>0</v>
      </c>
      <c r="AU472" s="4" t="s">
        <v>582</v>
      </c>
      <c r="AV472" s="4" t="s">
        <v>305</v>
      </c>
      <c r="AW472" s="4" t="s">
        <v>292</v>
      </c>
    </row>
    <row r="473" spans="1:49" s="4" customFormat="1" x14ac:dyDescent="0.25">
      <c r="A473" s="4" t="s">
        <v>11206</v>
      </c>
      <c r="B473" s="4" t="s">
        <v>293</v>
      </c>
      <c r="C473" s="4" t="s">
        <v>580</v>
      </c>
      <c r="D473" s="4" t="s">
        <v>581</v>
      </c>
      <c r="F473" s="4" t="s">
        <v>11236</v>
      </c>
      <c r="G473" s="4" t="s">
        <v>11237</v>
      </c>
      <c r="I473" s="4" t="s">
        <v>292</v>
      </c>
      <c r="J473" s="4" t="s">
        <v>297</v>
      </c>
      <c r="K473" s="4" t="s">
        <v>298</v>
      </c>
      <c r="L473" s="4" t="s">
        <v>299</v>
      </c>
      <c r="M473" s="4" t="s">
        <v>300</v>
      </c>
      <c r="N473" s="4" t="s">
        <v>11247</v>
      </c>
      <c r="O473" s="5">
        <v>56.731000000000002</v>
      </c>
      <c r="P473" s="6">
        <v>1</v>
      </c>
      <c r="Q473" s="7">
        <v>9.25</v>
      </c>
      <c r="R473" s="7">
        <v>7</v>
      </c>
      <c r="S473" s="4" t="s">
        <v>301</v>
      </c>
      <c r="T473" s="4" t="s">
        <v>302</v>
      </c>
      <c r="U473" s="5">
        <v>67.739000000000004</v>
      </c>
      <c r="V473" s="6">
        <v>1</v>
      </c>
      <c r="W473" s="7">
        <v>7</v>
      </c>
      <c r="X473" s="5">
        <v>72.838999999999999</v>
      </c>
      <c r="Y473" s="4" t="s">
        <v>292</v>
      </c>
      <c r="Z473" s="6">
        <v>1</v>
      </c>
      <c r="AA473" s="6">
        <v>1</v>
      </c>
      <c r="AB473" s="5">
        <v>72.838999999999999</v>
      </c>
      <c r="AC473" s="6">
        <v>1</v>
      </c>
      <c r="AD473" s="6">
        <v>1</v>
      </c>
      <c r="AE473" s="5">
        <v>72.838999999999999</v>
      </c>
      <c r="AF473" s="5">
        <v>72.838999999999999</v>
      </c>
      <c r="AG473" s="7">
        <v>0</v>
      </c>
      <c r="AH473" s="7">
        <v>9.25</v>
      </c>
      <c r="AI473" s="7">
        <v>0</v>
      </c>
      <c r="AJ473" s="7">
        <v>0</v>
      </c>
      <c r="AK473" s="8">
        <v>44115.007615740738</v>
      </c>
      <c r="AL473" s="7">
        <v>6.77</v>
      </c>
      <c r="AM473" s="7">
        <v>100</v>
      </c>
      <c r="AN473" s="7">
        <v>0</v>
      </c>
      <c r="AO473" s="7">
        <v>0</v>
      </c>
      <c r="AP473" s="7">
        <v>6.89</v>
      </c>
      <c r="AQ473" s="7">
        <v>0</v>
      </c>
      <c r="AR473" s="7">
        <v>5.22</v>
      </c>
      <c r="AS473" s="4" t="s">
        <v>303</v>
      </c>
      <c r="AT473" s="7">
        <v>0</v>
      </c>
      <c r="AU473" s="4" t="s">
        <v>582</v>
      </c>
      <c r="AV473" s="4" t="s">
        <v>305</v>
      </c>
    </row>
    <row r="474" spans="1:49" s="4" customFormat="1" x14ac:dyDescent="0.25">
      <c r="A474" s="4" t="s">
        <v>11200</v>
      </c>
      <c r="B474" s="4" t="s">
        <v>293</v>
      </c>
      <c r="C474" s="4" t="s">
        <v>580</v>
      </c>
      <c r="D474" s="4" t="s">
        <v>581</v>
      </c>
      <c r="F474" s="4" t="s">
        <v>11462</v>
      </c>
      <c r="G474" s="4" t="s">
        <v>11463</v>
      </c>
      <c r="I474" s="4" t="s">
        <v>296</v>
      </c>
      <c r="J474" s="4" t="s">
        <v>297</v>
      </c>
      <c r="K474" s="4" t="s">
        <v>298</v>
      </c>
      <c r="L474" s="4" t="s">
        <v>299</v>
      </c>
      <c r="M474" s="4" t="s">
        <v>300</v>
      </c>
      <c r="N474" s="4" t="s">
        <v>11198</v>
      </c>
      <c r="O474" s="5">
        <v>123.289</v>
      </c>
      <c r="P474" s="6">
        <v>1</v>
      </c>
      <c r="Q474" s="7">
        <v>9.25</v>
      </c>
      <c r="R474" s="7">
        <v>18</v>
      </c>
      <c r="S474" s="4" t="s">
        <v>301</v>
      </c>
      <c r="T474" s="4" t="s">
        <v>302</v>
      </c>
      <c r="U474" s="5">
        <v>169.46899999999999</v>
      </c>
      <c r="V474" s="6">
        <v>0.45</v>
      </c>
      <c r="W474" s="7">
        <v>1.5</v>
      </c>
      <c r="X474" s="5">
        <v>56.731000000000002</v>
      </c>
      <c r="Y474" s="4" t="s">
        <v>292</v>
      </c>
      <c r="Z474" s="6">
        <v>1</v>
      </c>
      <c r="AA474" s="6">
        <v>1</v>
      </c>
      <c r="AB474" s="5">
        <v>56.731000000000002</v>
      </c>
      <c r="AC474" s="6">
        <v>1</v>
      </c>
      <c r="AD474" s="6">
        <v>1</v>
      </c>
      <c r="AE474" s="5">
        <v>56.731000000000002</v>
      </c>
      <c r="AF474" s="7">
        <v>10</v>
      </c>
      <c r="AG474" s="7">
        <v>18</v>
      </c>
      <c r="AH474" s="7">
        <v>9.25</v>
      </c>
      <c r="AI474" s="7">
        <v>0</v>
      </c>
      <c r="AJ474" s="7">
        <v>0</v>
      </c>
      <c r="AK474" s="8">
        <v>44115.513333333336</v>
      </c>
      <c r="AL474" s="7">
        <v>7.63</v>
      </c>
      <c r="AM474" s="7">
        <v>100</v>
      </c>
      <c r="AN474" s="7">
        <v>0</v>
      </c>
      <c r="AO474" s="7">
        <v>13.73</v>
      </c>
      <c r="AP474" s="7">
        <v>7.06</v>
      </c>
      <c r="AQ474" s="7">
        <v>0</v>
      </c>
      <c r="AR474" s="7">
        <v>1.26</v>
      </c>
      <c r="AS474" s="4" t="s">
        <v>303</v>
      </c>
      <c r="AT474" s="7">
        <v>0</v>
      </c>
      <c r="AU474" s="4" t="s">
        <v>582</v>
      </c>
      <c r="AV474" s="4" t="s">
        <v>305</v>
      </c>
      <c r="AW474" s="4" t="s">
        <v>292</v>
      </c>
    </row>
    <row r="475" spans="1:49" s="4" customFormat="1" x14ac:dyDescent="0.25">
      <c r="A475" s="4" t="s">
        <v>11207</v>
      </c>
      <c r="B475" s="4" t="s">
        <v>293</v>
      </c>
      <c r="C475" s="4" t="s">
        <v>580</v>
      </c>
      <c r="D475" s="4" t="s">
        <v>581</v>
      </c>
      <c r="F475" s="4" t="s">
        <v>11236</v>
      </c>
      <c r="G475" s="4" t="s">
        <v>11237</v>
      </c>
      <c r="I475" s="4" t="s">
        <v>296</v>
      </c>
      <c r="J475" s="4" t="s">
        <v>297</v>
      </c>
      <c r="K475" s="4" t="s">
        <v>298</v>
      </c>
      <c r="L475" s="4" t="s">
        <v>299</v>
      </c>
      <c r="M475" s="4" t="s">
        <v>300</v>
      </c>
      <c r="N475" s="4" t="s">
        <v>11238</v>
      </c>
      <c r="O475" s="5">
        <v>56.73</v>
      </c>
      <c r="P475" s="6">
        <v>1</v>
      </c>
      <c r="Q475" s="7">
        <v>9.25</v>
      </c>
      <c r="R475" s="7">
        <v>7</v>
      </c>
      <c r="S475" s="4" t="s">
        <v>301</v>
      </c>
      <c r="T475" s="4" t="s">
        <v>302</v>
      </c>
      <c r="U475" s="5">
        <v>67.736999999999995</v>
      </c>
      <c r="V475" s="6">
        <v>0.25</v>
      </c>
      <c r="W475" s="7">
        <v>3</v>
      </c>
      <c r="X475" s="5">
        <v>22.783999999999999</v>
      </c>
      <c r="Y475" s="4" t="s">
        <v>292</v>
      </c>
      <c r="Z475" s="6">
        <v>4</v>
      </c>
      <c r="AA475" s="6">
        <v>1</v>
      </c>
      <c r="AB475" s="5">
        <v>91.135999999999996</v>
      </c>
      <c r="AC475" s="6">
        <v>1</v>
      </c>
      <c r="AD475" s="6">
        <v>1</v>
      </c>
      <c r="AE475" s="5">
        <v>91.135999999999996</v>
      </c>
      <c r="AF475" s="5">
        <v>91.135999999999996</v>
      </c>
      <c r="AG475" s="7">
        <v>7</v>
      </c>
      <c r="AH475" s="7">
        <v>0</v>
      </c>
      <c r="AI475" s="7">
        <v>17</v>
      </c>
      <c r="AJ475" s="7">
        <v>0</v>
      </c>
      <c r="AK475" s="8">
        <v>44115.540243055555</v>
      </c>
      <c r="AL475" s="7">
        <v>1.69</v>
      </c>
      <c r="AM475" s="7">
        <v>100</v>
      </c>
      <c r="AN475" s="7">
        <v>0</v>
      </c>
      <c r="AO475" s="7">
        <v>1.18</v>
      </c>
      <c r="AP475" s="7">
        <v>0</v>
      </c>
      <c r="AQ475" s="7">
        <v>3.5</v>
      </c>
      <c r="AR475" s="7">
        <v>0.66</v>
      </c>
      <c r="AS475" s="4" t="s">
        <v>303</v>
      </c>
      <c r="AT475" s="7">
        <v>0</v>
      </c>
      <c r="AU475" s="4" t="s">
        <v>582</v>
      </c>
      <c r="AV475" s="4" t="s">
        <v>305</v>
      </c>
    </row>
    <row r="476" spans="1:49" s="4" customFormat="1" x14ac:dyDescent="0.25">
      <c r="A476" s="4" t="s">
        <v>11201</v>
      </c>
      <c r="B476" s="4" t="s">
        <v>293</v>
      </c>
      <c r="C476" s="4" t="s">
        <v>583</v>
      </c>
      <c r="D476" s="4" t="s">
        <v>584</v>
      </c>
      <c r="F476" s="4" t="s">
        <v>11462</v>
      </c>
      <c r="G476" s="4" t="s">
        <v>11463</v>
      </c>
      <c r="I476" s="4" t="s">
        <v>296</v>
      </c>
      <c r="J476" s="4" t="s">
        <v>297</v>
      </c>
      <c r="K476" s="4" t="s">
        <v>298</v>
      </c>
      <c r="L476" s="4" t="s">
        <v>299</v>
      </c>
      <c r="M476" s="4" t="s">
        <v>300</v>
      </c>
      <c r="N476" s="4" t="s">
        <v>11198</v>
      </c>
      <c r="O476" s="5">
        <v>133.38</v>
      </c>
      <c r="P476" s="6">
        <v>1</v>
      </c>
      <c r="Q476" s="7">
        <v>9.25</v>
      </c>
      <c r="R476" s="7">
        <v>12</v>
      </c>
      <c r="S476" s="4" t="s">
        <v>301</v>
      </c>
      <c r="T476" s="4" t="s">
        <v>302</v>
      </c>
      <c r="U476" s="5">
        <v>169.37100000000001</v>
      </c>
      <c r="V476" s="6">
        <v>0.45</v>
      </c>
      <c r="W476" s="7">
        <v>1.5</v>
      </c>
      <c r="X476" s="5">
        <v>61.277000000000001</v>
      </c>
      <c r="Y476" s="4" t="s">
        <v>292</v>
      </c>
      <c r="Z476" s="6">
        <v>1</v>
      </c>
      <c r="AA476" s="6">
        <v>1</v>
      </c>
      <c r="AB476" s="5">
        <v>61.277000000000001</v>
      </c>
      <c r="AC476" s="6">
        <v>1</v>
      </c>
      <c r="AD476" s="6">
        <v>1</v>
      </c>
      <c r="AE476" s="5">
        <v>61.277000000000001</v>
      </c>
      <c r="AF476" s="7">
        <v>10</v>
      </c>
      <c r="AG476" s="7">
        <v>12</v>
      </c>
      <c r="AH476" s="7">
        <v>9.25</v>
      </c>
      <c r="AI476" s="7">
        <v>0</v>
      </c>
      <c r="AJ476" s="7">
        <v>0</v>
      </c>
      <c r="AK476" s="8">
        <v>44115.52070601852</v>
      </c>
      <c r="AL476" s="7">
        <v>7.62</v>
      </c>
      <c r="AM476" s="7">
        <v>100</v>
      </c>
      <c r="AN476" s="7">
        <v>0</v>
      </c>
      <c r="AO476" s="7">
        <v>9.15</v>
      </c>
      <c r="AP476" s="7">
        <v>7.05</v>
      </c>
      <c r="AQ476" s="7">
        <v>0</v>
      </c>
      <c r="AR476" s="7">
        <v>1.26</v>
      </c>
      <c r="AS476" s="4" t="s">
        <v>303</v>
      </c>
      <c r="AT476" s="7">
        <v>0</v>
      </c>
      <c r="AU476" s="4" t="s">
        <v>585</v>
      </c>
      <c r="AV476" s="4" t="s">
        <v>305</v>
      </c>
      <c r="AW476" s="4" t="s">
        <v>292</v>
      </c>
    </row>
    <row r="477" spans="1:49" s="4" customFormat="1" x14ac:dyDescent="0.25">
      <c r="A477" s="4" t="s">
        <v>11199</v>
      </c>
      <c r="B477" s="4" t="s">
        <v>293</v>
      </c>
      <c r="C477" s="4" t="s">
        <v>583</v>
      </c>
      <c r="D477" s="4" t="s">
        <v>584</v>
      </c>
      <c r="F477" s="4" t="s">
        <v>11462</v>
      </c>
      <c r="G477" s="4" t="s">
        <v>11463</v>
      </c>
      <c r="I477" s="4" t="s">
        <v>296</v>
      </c>
      <c r="J477" s="4" t="s">
        <v>297</v>
      </c>
      <c r="K477" s="4" t="s">
        <v>298</v>
      </c>
      <c r="L477" s="4" t="s">
        <v>299</v>
      </c>
      <c r="M477" s="4" t="s">
        <v>300</v>
      </c>
      <c r="N477" s="4" t="s">
        <v>11198</v>
      </c>
      <c r="O477" s="5">
        <v>133.38</v>
      </c>
      <c r="P477" s="6">
        <v>1</v>
      </c>
      <c r="Q477" s="7">
        <v>9.25</v>
      </c>
      <c r="R477" s="7">
        <v>7</v>
      </c>
      <c r="S477" s="4" t="s">
        <v>301</v>
      </c>
      <c r="T477" s="4" t="s">
        <v>302</v>
      </c>
      <c r="U477" s="5">
        <v>159.26</v>
      </c>
      <c r="V477" s="6">
        <v>0.45</v>
      </c>
      <c r="W477" s="7">
        <v>2</v>
      </c>
      <c r="X477" s="5">
        <v>61.597000000000001</v>
      </c>
      <c r="Y477" s="4" t="s">
        <v>292</v>
      </c>
      <c r="Z477" s="6">
        <v>1</v>
      </c>
      <c r="AA477" s="6">
        <v>1</v>
      </c>
      <c r="AB477" s="5">
        <v>61.597000000000001</v>
      </c>
      <c r="AC477" s="6">
        <v>1</v>
      </c>
      <c r="AD477" s="6">
        <v>1</v>
      </c>
      <c r="AE477" s="5">
        <v>61.597000000000001</v>
      </c>
      <c r="AF477" s="7">
        <v>10</v>
      </c>
      <c r="AG477" s="7">
        <v>7</v>
      </c>
      <c r="AH477" s="7">
        <v>9.25</v>
      </c>
      <c r="AI477" s="7">
        <v>0</v>
      </c>
      <c r="AJ477" s="7">
        <v>0</v>
      </c>
      <c r="AK477" s="8">
        <v>44115.529513888891</v>
      </c>
      <c r="AL477" s="7">
        <v>7.17</v>
      </c>
      <c r="AM477" s="7">
        <v>100</v>
      </c>
      <c r="AN477" s="7">
        <v>0</v>
      </c>
      <c r="AO477" s="7">
        <v>5.0199999999999996</v>
      </c>
      <c r="AP477" s="7">
        <v>6.63</v>
      </c>
      <c r="AQ477" s="7">
        <v>0</v>
      </c>
      <c r="AR477" s="7">
        <v>1.58</v>
      </c>
      <c r="AS477" s="4" t="s">
        <v>303</v>
      </c>
      <c r="AT477" s="7">
        <v>0</v>
      </c>
      <c r="AU477" s="4" t="s">
        <v>585</v>
      </c>
      <c r="AV477" s="4" t="s">
        <v>305</v>
      </c>
      <c r="AW477" s="4" t="s">
        <v>292</v>
      </c>
    </row>
    <row r="478" spans="1:49" s="4" customFormat="1" x14ac:dyDescent="0.25">
      <c r="A478" s="4" t="s">
        <v>395</v>
      </c>
      <c r="B478" s="4" t="s">
        <v>293</v>
      </c>
      <c r="C478" s="4" t="s">
        <v>583</v>
      </c>
      <c r="D478" s="4" t="s">
        <v>584</v>
      </c>
      <c r="F478" s="4" t="s">
        <v>11462</v>
      </c>
      <c r="G478" s="4" t="s">
        <v>11463</v>
      </c>
      <c r="I478" s="4" t="s">
        <v>296</v>
      </c>
      <c r="J478" s="4" t="s">
        <v>297</v>
      </c>
      <c r="K478" s="4" t="s">
        <v>298</v>
      </c>
      <c r="L478" s="4" t="s">
        <v>299</v>
      </c>
      <c r="M478" s="4" t="s">
        <v>300</v>
      </c>
      <c r="N478" s="4" t="s">
        <v>447</v>
      </c>
      <c r="O478" s="5">
        <v>133.38</v>
      </c>
      <c r="P478" s="6">
        <v>1</v>
      </c>
      <c r="Q478" s="7">
        <v>9.25</v>
      </c>
      <c r="R478" s="7">
        <v>7</v>
      </c>
      <c r="S478" s="4" t="s">
        <v>301</v>
      </c>
      <c r="T478" s="4" t="s">
        <v>302</v>
      </c>
      <c r="U478" s="5">
        <v>159.26</v>
      </c>
      <c r="V478" s="6">
        <v>0.45</v>
      </c>
      <c r="W478" s="7">
        <v>4</v>
      </c>
      <c r="X478" s="5">
        <v>83.936999999999998</v>
      </c>
      <c r="Y478" s="4" t="s">
        <v>292</v>
      </c>
      <c r="Z478" s="6">
        <v>1</v>
      </c>
      <c r="AA478" s="6">
        <v>0.75255300000000003</v>
      </c>
      <c r="AB478" s="5">
        <v>83.936999999999998</v>
      </c>
      <c r="AC478" s="6">
        <v>1</v>
      </c>
      <c r="AD478" s="6">
        <v>0.75255300000000003</v>
      </c>
      <c r="AE478" s="5">
        <v>83.936999999999998</v>
      </c>
      <c r="AF478" s="7">
        <v>10</v>
      </c>
      <c r="AG478" s="7">
        <v>7</v>
      </c>
      <c r="AH478" s="7">
        <v>9.25</v>
      </c>
      <c r="AI478" s="7">
        <v>17</v>
      </c>
      <c r="AJ478" s="7">
        <v>0</v>
      </c>
      <c r="AK478" s="8">
        <v>44115.529513888891</v>
      </c>
      <c r="AL478" s="7">
        <v>7.17</v>
      </c>
      <c r="AM478" s="7">
        <v>100</v>
      </c>
      <c r="AN478" s="7">
        <v>0</v>
      </c>
      <c r="AO478" s="7">
        <v>5.0199999999999996</v>
      </c>
      <c r="AP478" s="7">
        <v>6.63</v>
      </c>
      <c r="AQ478" s="7">
        <v>15.14</v>
      </c>
      <c r="AR478" s="7">
        <v>3.76</v>
      </c>
      <c r="AS478" s="4" t="s">
        <v>303</v>
      </c>
      <c r="AT478" s="7">
        <v>0</v>
      </c>
      <c r="AU478" s="4" t="s">
        <v>585</v>
      </c>
      <c r="AV478" s="4" t="s">
        <v>305</v>
      </c>
      <c r="AW478" s="4" t="s">
        <v>292</v>
      </c>
    </row>
    <row r="479" spans="1:49" s="4" customFormat="1" x14ac:dyDescent="0.25">
      <c r="A479" s="4" t="s">
        <v>11200</v>
      </c>
      <c r="B479" s="4" t="s">
        <v>293</v>
      </c>
      <c r="C479" s="4" t="s">
        <v>583</v>
      </c>
      <c r="D479" s="4" t="s">
        <v>584</v>
      </c>
      <c r="F479" s="4" t="s">
        <v>11462</v>
      </c>
      <c r="G479" s="4" t="s">
        <v>11463</v>
      </c>
      <c r="I479" s="4" t="s">
        <v>296</v>
      </c>
      <c r="J479" s="4" t="s">
        <v>297</v>
      </c>
      <c r="K479" s="4" t="s">
        <v>298</v>
      </c>
      <c r="L479" s="4" t="s">
        <v>299</v>
      </c>
      <c r="M479" s="4" t="s">
        <v>300</v>
      </c>
      <c r="N479" s="4" t="s">
        <v>11198</v>
      </c>
      <c r="O479" s="5">
        <v>133.38</v>
      </c>
      <c r="P479" s="6">
        <v>1</v>
      </c>
      <c r="Q479" s="7">
        <v>9.25</v>
      </c>
      <c r="R479" s="7">
        <v>18</v>
      </c>
      <c r="S479" s="4" t="s">
        <v>301</v>
      </c>
      <c r="T479" s="4" t="s">
        <v>302</v>
      </c>
      <c r="U479" s="5">
        <v>183.34</v>
      </c>
      <c r="V479" s="6">
        <v>0.45</v>
      </c>
      <c r="W479" s="7">
        <v>1.5</v>
      </c>
      <c r="X479" s="5">
        <v>61.383000000000003</v>
      </c>
      <c r="Y479" s="4" t="s">
        <v>292</v>
      </c>
      <c r="Z479" s="6">
        <v>1</v>
      </c>
      <c r="AA479" s="6">
        <v>1</v>
      </c>
      <c r="AB479" s="5">
        <v>61.383000000000003</v>
      </c>
      <c r="AC479" s="6">
        <v>1</v>
      </c>
      <c r="AD479" s="6">
        <v>1</v>
      </c>
      <c r="AE479" s="5">
        <v>61.383000000000003</v>
      </c>
      <c r="AF479" s="7">
        <v>10</v>
      </c>
      <c r="AG479" s="7">
        <v>18</v>
      </c>
      <c r="AH479" s="7">
        <v>9.25</v>
      </c>
      <c r="AI479" s="7">
        <v>0</v>
      </c>
      <c r="AJ479" s="7">
        <v>0</v>
      </c>
      <c r="AK479" s="8">
        <v>44115.513333333336</v>
      </c>
      <c r="AL479" s="7">
        <v>8.25</v>
      </c>
      <c r="AM479" s="7">
        <v>100</v>
      </c>
      <c r="AN479" s="7">
        <v>0</v>
      </c>
      <c r="AO479" s="7">
        <v>14.85</v>
      </c>
      <c r="AP479" s="7">
        <v>7.63</v>
      </c>
      <c r="AQ479" s="7">
        <v>0</v>
      </c>
      <c r="AR479" s="7">
        <v>1.36</v>
      </c>
      <c r="AS479" s="4" t="s">
        <v>303</v>
      </c>
      <c r="AT479" s="7">
        <v>0</v>
      </c>
      <c r="AU479" s="4" t="s">
        <v>585</v>
      </c>
      <c r="AV479" s="4" t="s">
        <v>305</v>
      </c>
      <c r="AW479" s="4" t="s">
        <v>292</v>
      </c>
    </row>
    <row r="480" spans="1:49" s="4" customFormat="1" x14ac:dyDescent="0.25">
      <c r="A480" s="4" t="s">
        <v>11207</v>
      </c>
      <c r="B480" s="4" t="s">
        <v>293</v>
      </c>
      <c r="C480" s="4" t="s">
        <v>583</v>
      </c>
      <c r="D480" s="4" t="s">
        <v>584</v>
      </c>
      <c r="F480" s="4" t="s">
        <v>11236</v>
      </c>
      <c r="G480" s="4" t="s">
        <v>11237</v>
      </c>
      <c r="I480" s="4" t="s">
        <v>296</v>
      </c>
      <c r="J480" s="4" t="s">
        <v>297</v>
      </c>
      <c r="K480" s="4" t="s">
        <v>298</v>
      </c>
      <c r="L480" s="4" t="s">
        <v>299</v>
      </c>
      <c r="M480" s="4" t="s">
        <v>300</v>
      </c>
      <c r="N480" s="4" t="s">
        <v>11238</v>
      </c>
      <c r="O480" s="5">
        <v>61.38</v>
      </c>
      <c r="P480" s="6">
        <v>1</v>
      </c>
      <c r="Q480" s="7">
        <v>9.25</v>
      </c>
      <c r="R480" s="7">
        <v>7</v>
      </c>
      <c r="S480" s="4" t="s">
        <v>301</v>
      </c>
      <c r="T480" s="4" t="s">
        <v>302</v>
      </c>
      <c r="U480" s="5">
        <v>73.290000000000006</v>
      </c>
      <c r="V480" s="6">
        <v>0.25</v>
      </c>
      <c r="W480" s="7">
        <v>3</v>
      </c>
      <c r="X480" s="5">
        <v>24.663</v>
      </c>
      <c r="Y480" s="4" t="s">
        <v>292</v>
      </c>
      <c r="Z480" s="6">
        <v>4</v>
      </c>
      <c r="AA480" s="6">
        <v>1</v>
      </c>
      <c r="AB480" s="5">
        <v>98.652000000000001</v>
      </c>
      <c r="AC480" s="6">
        <v>1</v>
      </c>
      <c r="AD480" s="6">
        <v>1</v>
      </c>
      <c r="AE480" s="5">
        <v>98.652000000000001</v>
      </c>
      <c r="AF480" s="5">
        <v>98.652000000000001</v>
      </c>
      <c r="AG480" s="7">
        <v>7</v>
      </c>
      <c r="AH480" s="7">
        <v>0</v>
      </c>
      <c r="AI480" s="7">
        <v>17</v>
      </c>
      <c r="AJ480" s="7">
        <v>0</v>
      </c>
      <c r="AK480" s="8">
        <v>44115.540254629632</v>
      </c>
      <c r="AL480" s="7">
        <v>1.83</v>
      </c>
      <c r="AM480" s="7">
        <v>100</v>
      </c>
      <c r="AN480" s="7">
        <v>0</v>
      </c>
      <c r="AO480" s="7">
        <v>1.28</v>
      </c>
      <c r="AP480" s="7">
        <v>0</v>
      </c>
      <c r="AQ480" s="7">
        <v>3.79</v>
      </c>
      <c r="AR480" s="7">
        <v>0.72</v>
      </c>
      <c r="AS480" s="4" t="s">
        <v>303</v>
      </c>
      <c r="AT480" s="7">
        <v>0</v>
      </c>
      <c r="AU480" s="4" t="s">
        <v>585</v>
      </c>
      <c r="AV480" s="4" t="s">
        <v>305</v>
      </c>
    </row>
    <row r="481" spans="1:49" s="4" customFormat="1" x14ac:dyDescent="0.25">
      <c r="A481" s="4" t="s">
        <v>11201</v>
      </c>
      <c r="B481" s="4" t="s">
        <v>293</v>
      </c>
      <c r="C481" s="4" t="s">
        <v>586</v>
      </c>
      <c r="D481" s="4" t="s">
        <v>587</v>
      </c>
      <c r="F481" s="4" t="s">
        <v>11462</v>
      </c>
      <c r="G481" s="4" t="s">
        <v>11463</v>
      </c>
      <c r="I481" s="4" t="s">
        <v>296</v>
      </c>
      <c r="J481" s="4" t="s">
        <v>297</v>
      </c>
      <c r="K481" s="4" t="s">
        <v>368</v>
      </c>
      <c r="L481" s="4" t="s">
        <v>299</v>
      </c>
      <c r="M481" s="4" t="s">
        <v>300</v>
      </c>
      <c r="N481" s="4" t="s">
        <v>11198</v>
      </c>
      <c r="O481" s="5">
        <v>105.175</v>
      </c>
      <c r="P481" s="6">
        <v>1</v>
      </c>
      <c r="Q481" s="7">
        <v>9.25</v>
      </c>
      <c r="R481" s="7">
        <v>12</v>
      </c>
      <c r="S481" s="4" t="s">
        <v>301</v>
      </c>
      <c r="T481" s="4" t="s">
        <v>302</v>
      </c>
      <c r="U481" s="5">
        <v>133.55600000000001</v>
      </c>
      <c r="V481" s="6">
        <v>0.45</v>
      </c>
      <c r="W481" s="7">
        <v>1.5</v>
      </c>
      <c r="X481" s="5">
        <v>48.32</v>
      </c>
      <c r="Y481" s="4" t="s">
        <v>292</v>
      </c>
      <c r="Z481" s="6">
        <v>1</v>
      </c>
      <c r="AA481" s="6">
        <v>1</v>
      </c>
      <c r="AB481" s="5">
        <v>48.32</v>
      </c>
      <c r="AC481" s="6">
        <v>1</v>
      </c>
      <c r="AD481" s="6">
        <v>1</v>
      </c>
      <c r="AE481" s="5">
        <v>48.32</v>
      </c>
      <c r="AF481" s="7">
        <v>10</v>
      </c>
      <c r="AG481" s="7">
        <v>12</v>
      </c>
      <c r="AH481" s="7">
        <v>9.25</v>
      </c>
      <c r="AI481" s="7">
        <v>0</v>
      </c>
      <c r="AJ481" s="7">
        <v>0</v>
      </c>
      <c r="AK481" s="8">
        <v>44115.013171296298</v>
      </c>
      <c r="AL481" s="7">
        <v>6.01</v>
      </c>
      <c r="AM481" s="7">
        <v>100</v>
      </c>
      <c r="AN481" s="7">
        <v>0</v>
      </c>
      <c r="AO481" s="7">
        <v>7.21</v>
      </c>
      <c r="AP481" s="7">
        <v>5.56</v>
      </c>
      <c r="AQ481" s="7">
        <v>0</v>
      </c>
      <c r="AR481" s="7">
        <v>0.99</v>
      </c>
      <c r="AS481" s="4" t="s">
        <v>303</v>
      </c>
      <c r="AT481" s="7">
        <v>0</v>
      </c>
      <c r="AU481" s="4" t="s">
        <v>588</v>
      </c>
      <c r="AV481" s="4" t="s">
        <v>305</v>
      </c>
      <c r="AW481" s="4" t="s">
        <v>296</v>
      </c>
    </row>
    <row r="482" spans="1:49" s="4" customFormat="1" x14ac:dyDescent="0.25">
      <c r="A482" s="4" t="s">
        <v>11199</v>
      </c>
      <c r="B482" s="4" t="s">
        <v>293</v>
      </c>
      <c r="C482" s="4" t="s">
        <v>586</v>
      </c>
      <c r="D482" s="4" t="s">
        <v>587</v>
      </c>
      <c r="F482" s="4" t="s">
        <v>11462</v>
      </c>
      <c r="G482" s="4" t="s">
        <v>11463</v>
      </c>
      <c r="I482" s="4" t="s">
        <v>296</v>
      </c>
      <c r="J482" s="4" t="s">
        <v>297</v>
      </c>
      <c r="K482" s="4" t="s">
        <v>368</v>
      </c>
      <c r="L482" s="4" t="s">
        <v>299</v>
      </c>
      <c r="M482" s="4" t="s">
        <v>300</v>
      </c>
      <c r="N482" s="4" t="s">
        <v>11198</v>
      </c>
      <c r="O482" s="5">
        <v>105.175</v>
      </c>
      <c r="P482" s="6">
        <v>1</v>
      </c>
      <c r="Q482" s="7">
        <v>9.25</v>
      </c>
      <c r="R482" s="7">
        <v>7</v>
      </c>
      <c r="S482" s="4" t="s">
        <v>301</v>
      </c>
      <c r="T482" s="4" t="s">
        <v>302</v>
      </c>
      <c r="U482" s="5">
        <v>125.58199999999999</v>
      </c>
      <c r="V482" s="6">
        <v>0.45</v>
      </c>
      <c r="W482" s="7">
        <v>2</v>
      </c>
      <c r="X482" s="5">
        <v>48.572000000000003</v>
      </c>
      <c r="Y482" s="4" t="s">
        <v>292</v>
      </c>
      <c r="Z482" s="6">
        <v>1</v>
      </c>
      <c r="AA482" s="6">
        <v>1</v>
      </c>
      <c r="AB482" s="5">
        <v>48.572000000000003</v>
      </c>
      <c r="AC482" s="6">
        <v>1</v>
      </c>
      <c r="AD482" s="6">
        <v>1</v>
      </c>
      <c r="AE482" s="5">
        <v>48.572000000000003</v>
      </c>
      <c r="AF482" s="7">
        <v>10</v>
      </c>
      <c r="AG482" s="7">
        <v>7</v>
      </c>
      <c r="AH482" s="7">
        <v>9.25</v>
      </c>
      <c r="AI482" s="7">
        <v>0</v>
      </c>
      <c r="AJ482" s="7">
        <v>0</v>
      </c>
      <c r="AK482" s="8">
        <v>44115.016863425924</v>
      </c>
      <c r="AL482" s="7">
        <v>5.65</v>
      </c>
      <c r="AM482" s="7">
        <v>100</v>
      </c>
      <c r="AN482" s="7">
        <v>0</v>
      </c>
      <c r="AO482" s="7">
        <v>3.96</v>
      </c>
      <c r="AP482" s="7">
        <v>5.22</v>
      </c>
      <c r="AQ482" s="7">
        <v>0</v>
      </c>
      <c r="AR482" s="7">
        <v>1.24</v>
      </c>
      <c r="AS482" s="4" t="s">
        <v>303</v>
      </c>
      <c r="AT482" s="7">
        <v>0</v>
      </c>
      <c r="AU482" s="4" t="s">
        <v>588</v>
      </c>
      <c r="AV482" s="4" t="s">
        <v>305</v>
      </c>
      <c r="AW482" s="4" t="s">
        <v>296</v>
      </c>
    </row>
    <row r="483" spans="1:49" s="4" customFormat="1" x14ac:dyDescent="0.25">
      <c r="A483" s="4" t="s">
        <v>395</v>
      </c>
      <c r="B483" s="4" t="s">
        <v>293</v>
      </c>
      <c r="C483" s="4" t="s">
        <v>586</v>
      </c>
      <c r="D483" s="4" t="s">
        <v>587</v>
      </c>
      <c r="F483" s="4" t="s">
        <v>11239</v>
      </c>
      <c r="G483" s="4" t="s">
        <v>11240</v>
      </c>
      <c r="I483" s="4" t="s">
        <v>292</v>
      </c>
      <c r="J483" s="4" t="s">
        <v>297</v>
      </c>
      <c r="K483" s="4" t="s">
        <v>368</v>
      </c>
      <c r="L483" s="4" t="s">
        <v>299</v>
      </c>
      <c r="M483" s="4" t="s">
        <v>300</v>
      </c>
      <c r="N483" s="4" t="s">
        <v>11241</v>
      </c>
      <c r="O483" s="5">
        <v>48.57</v>
      </c>
      <c r="P483" s="6">
        <v>1</v>
      </c>
      <c r="Q483" s="7">
        <v>0</v>
      </c>
      <c r="R483" s="7">
        <v>12</v>
      </c>
      <c r="S483" s="4" t="s">
        <v>301</v>
      </c>
      <c r="T483" s="4" t="s">
        <v>302</v>
      </c>
      <c r="U483" s="5">
        <v>55.192999999999998</v>
      </c>
      <c r="V483" s="6">
        <v>1</v>
      </c>
      <c r="W483" s="7">
        <v>4</v>
      </c>
      <c r="X483" s="5">
        <v>66.873000000000005</v>
      </c>
      <c r="Y483" s="4" t="s">
        <v>292</v>
      </c>
      <c r="Z483" s="6">
        <v>1</v>
      </c>
      <c r="AA483" s="6">
        <v>0.76268400000000003</v>
      </c>
      <c r="AB483" s="5">
        <v>66.873000000000005</v>
      </c>
      <c r="AC483" s="6">
        <v>1</v>
      </c>
      <c r="AD483" s="6">
        <v>0.76268400000000003</v>
      </c>
      <c r="AE483" s="5">
        <v>66.873000000000005</v>
      </c>
      <c r="AF483" s="5">
        <v>66.873000000000005</v>
      </c>
      <c r="AG483" s="7">
        <v>12</v>
      </c>
      <c r="AH483" s="7">
        <v>0</v>
      </c>
      <c r="AI483" s="7">
        <v>17</v>
      </c>
      <c r="AJ483" s="7">
        <v>0</v>
      </c>
      <c r="AK483" s="8">
        <v>44115.016863425924</v>
      </c>
      <c r="AL483" s="7">
        <v>5.52</v>
      </c>
      <c r="AM483" s="7">
        <v>100</v>
      </c>
      <c r="AN483" s="7">
        <v>0</v>
      </c>
      <c r="AO483" s="7">
        <v>6.62</v>
      </c>
      <c r="AP483" s="7">
        <v>0</v>
      </c>
      <c r="AQ483" s="7">
        <v>8.9</v>
      </c>
      <c r="AR483" s="7">
        <v>2.78</v>
      </c>
      <c r="AS483" s="4" t="s">
        <v>303</v>
      </c>
      <c r="AT483" s="7">
        <v>0</v>
      </c>
      <c r="AU483" s="4" t="s">
        <v>588</v>
      </c>
      <c r="AV483" s="4" t="s">
        <v>305</v>
      </c>
    </row>
    <row r="484" spans="1:49" s="4" customFormat="1" x14ac:dyDescent="0.25">
      <c r="A484" s="4" t="s">
        <v>395</v>
      </c>
      <c r="B484" s="4" t="s">
        <v>293</v>
      </c>
      <c r="C484" s="4" t="s">
        <v>586</v>
      </c>
      <c r="D484" s="4" t="s">
        <v>587</v>
      </c>
      <c r="F484" s="4" t="s">
        <v>11462</v>
      </c>
      <c r="G484" s="4" t="s">
        <v>11463</v>
      </c>
      <c r="I484" s="4" t="s">
        <v>296</v>
      </c>
      <c r="J484" s="4" t="s">
        <v>297</v>
      </c>
      <c r="K484" s="4" t="s">
        <v>368</v>
      </c>
      <c r="L484" s="4" t="s">
        <v>299</v>
      </c>
      <c r="M484" s="4" t="s">
        <v>300</v>
      </c>
      <c r="N484" s="4" t="s">
        <v>447</v>
      </c>
      <c r="O484" s="5">
        <v>105.175</v>
      </c>
      <c r="P484" s="6">
        <v>1</v>
      </c>
      <c r="Q484" s="7">
        <v>9.25</v>
      </c>
      <c r="R484" s="7">
        <v>7</v>
      </c>
      <c r="S484" s="4" t="s">
        <v>301</v>
      </c>
      <c r="T484" s="4" t="s">
        <v>302</v>
      </c>
      <c r="U484" s="5">
        <v>125.58199999999999</v>
      </c>
      <c r="V484" s="6">
        <v>0.45</v>
      </c>
      <c r="W484" s="7">
        <v>4</v>
      </c>
      <c r="X484" s="5">
        <v>66.191999999999993</v>
      </c>
      <c r="Y484" s="4" t="s">
        <v>292</v>
      </c>
      <c r="Z484" s="6">
        <v>1</v>
      </c>
      <c r="AA484" s="6">
        <v>0.75268900000000005</v>
      </c>
      <c r="AB484" s="5">
        <v>66.191999999999993</v>
      </c>
      <c r="AC484" s="6">
        <v>1</v>
      </c>
      <c r="AD484" s="6">
        <v>0.75268900000000005</v>
      </c>
      <c r="AE484" s="5">
        <v>66.191999999999993</v>
      </c>
      <c r="AF484" s="7">
        <v>10</v>
      </c>
      <c r="AG484" s="7">
        <v>7</v>
      </c>
      <c r="AH484" s="7">
        <v>9.25</v>
      </c>
      <c r="AI484" s="7">
        <v>17</v>
      </c>
      <c r="AJ484" s="7">
        <v>0</v>
      </c>
      <c r="AK484" s="8">
        <v>44115.52957175926</v>
      </c>
      <c r="AL484" s="7">
        <v>5.65</v>
      </c>
      <c r="AM484" s="7">
        <v>100</v>
      </c>
      <c r="AN484" s="7">
        <v>0</v>
      </c>
      <c r="AO484" s="7">
        <v>3.96</v>
      </c>
      <c r="AP484" s="7">
        <v>5.22</v>
      </c>
      <c r="AQ484" s="7">
        <v>11.94</v>
      </c>
      <c r="AR484" s="7">
        <v>2.96</v>
      </c>
      <c r="AS484" s="4" t="s">
        <v>303</v>
      </c>
      <c r="AT484" s="7">
        <v>0</v>
      </c>
      <c r="AU484" s="4" t="s">
        <v>588</v>
      </c>
      <c r="AV484" s="4" t="s">
        <v>305</v>
      </c>
      <c r="AW484" s="4" t="s">
        <v>292</v>
      </c>
    </row>
    <row r="485" spans="1:49" s="4" customFormat="1" x14ac:dyDescent="0.25">
      <c r="A485" s="4" t="s">
        <v>11200</v>
      </c>
      <c r="B485" s="4" t="s">
        <v>293</v>
      </c>
      <c r="C485" s="4" t="s">
        <v>586</v>
      </c>
      <c r="D485" s="4" t="s">
        <v>587</v>
      </c>
      <c r="F485" s="4" t="s">
        <v>11462</v>
      </c>
      <c r="G485" s="4" t="s">
        <v>11463</v>
      </c>
      <c r="I485" s="4" t="s">
        <v>296</v>
      </c>
      <c r="J485" s="4" t="s">
        <v>297</v>
      </c>
      <c r="K485" s="4" t="s">
        <v>368</v>
      </c>
      <c r="L485" s="4" t="s">
        <v>299</v>
      </c>
      <c r="M485" s="4" t="s">
        <v>300</v>
      </c>
      <c r="N485" s="4" t="s">
        <v>11198</v>
      </c>
      <c r="O485" s="5">
        <v>105.175</v>
      </c>
      <c r="P485" s="6">
        <v>1</v>
      </c>
      <c r="Q485" s="7">
        <v>9.25</v>
      </c>
      <c r="R485" s="7">
        <v>18</v>
      </c>
      <c r="S485" s="4" t="s">
        <v>301</v>
      </c>
      <c r="T485" s="4" t="s">
        <v>302</v>
      </c>
      <c r="U485" s="5">
        <v>144.57</v>
      </c>
      <c r="V485" s="6">
        <v>0.45</v>
      </c>
      <c r="W485" s="7">
        <v>1.5</v>
      </c>
      <c r="X485" s="5">
        <v>48.406999999999996</v>
      </c>
      <c r="Y485" s="4" t="s">
        <v>292</v>
      </c>
      <c r="Z485" s="6">
        <v>1</v>
      </c>
      <c r="AA485" s="6">
        <v>1</v>
      </c>
      <c r="AB485" s="5">
        <v>48.406999999999996</v>
      </c>
      <c r="AC485" s="6">
        <v>1</v>
      </c>
      <c r="AD485" s="6">
        <v>1</v>
      </c>
      <c r="AE485" s="5">
        <v>48.406999999999996</v>
      </c>
      <c r="AF485" s="7">
        <v>10</v>
      </c>
      <c r="AG485" s="7">
        <v>18</v>
      </c>
      <c r="AH485" s="7">
        <v>9.25</v>
      </c>
      <c r="AI485" s="7">
        <v>0</v>
      </c>
      <c r="AJ485" s="7">
        <v>0</v>
      </c>
      <c r="AK485" s="8">
        <v>44115.513368055559</v>
      </c>
      <c r="AL485" s="7">
        <v>6.51</v>
      </c>
      <c r="AM485" s="7">
        <v>100</v>
      </c>
      <c r="AN485" s="7">
        <v>0</v>
      </c>
      <c r="AO485" s="7">
        <v>11.71</v>
      </c>
      <c r="AP485" s="7">
        <v>6.01</v>
      </c>
      <c r="AQ485" s="7">
        <v>0</v>
      </c>
      <c r="AR485" s="7">
        <v>1.07</v>
      </c>
      <c r="AS485" s="4" t="s">
        <v>303</v>
      </c>
      <c r="AT485" s="7">
        <v>0</v>
      </c>
      <c r="AU485" s="4" t="s">
        <v>588</v>
      </c>
      <c r="AV485" s="4" t="s">
        <v>305</v>
      </c>
      <c r="AW485" s="4" t="s">
        <v>292</v>
      </c>
    </row>
    <row r="486" spans="1:49" s="4" customFormat="1" x14ac:dyDescent="0.25">
      <c r="A486" s="4" t="s">
        <v>11201</v>
      </c>
      <c r="B486" s="4" t="s">
        <v>293</v>
      </c>
      <c r="C486" s="4" t="s">
        <v>589</v>
      </c>
      <c r="D486" s="4" t="s">
        <v>590</v>
      </c>
      <c r="F486" s="4" t="s">
        <v>11462</v>
      </c>
      <c r="G486" s="4" t="s">
        <v>11463</v>
      </c>
      <c r="I486" s="4" t="s">
        <v>296</v>
      </c>
      <c r="J486" s="4" t="s">
        <v>297</v>
      </c>
      <c r="K486" s="4" t="s">
        <v>298</v>
      </c>
      <c r="L486" s="4" t="s">
        <v>299</v>
      </c>
      <c r="M486" s="4" t="s">
        <v>300</v>
      </c>
      <c r="N486" s="4" t="s">
        <v>11198</v>
      </c>
      <c r="O486" s="5">
        <v>138.22300000000001</v>
      </c>
      <c r="P486" s="6">
        <v>1</v>
      </c>
      <c r="Q486" s="7">
        <v>9.25</v>
      </c>
      <c r="R486" s="7">
        <v>12</v>
      </c>
      <c r="S486" s="4" t="s">
        <v>301</v>
      </c>
      <c r="T486" s="4" t="s">
        <v>302</v>
      </c>
      <c r="U486" s="5">
        <v>175.52099999999999</v>
      </c>
      <c r="V486" s="6">
        <v>0.45</v>
      </c>
      <c r="W486" s="7">
        <v>1.5</v>
      </c>
      <c r="X486" s="5">
        <v>63.503999999999998</v>
      </c>
      <c r="Y486" s="4" t="s">
        <v>292</v>
      </c>
      <c r="Z486" s="6">
        <v>1</v>
      </c>
      <c r="AA486" s="6">
        <v>1</v>
      </c>
      <c r="AB486" s="5">
        <v>63.503999999999998</v>
      </c>
      <c r="AC486" s="6">
        <v>1</v>
      </c>
      <c r="AD486" s="6">
        <v>1</v>
      </c>
      <c r="AE486" s="5">
        <v>63.503999999999998</v>
      </c>
      <c r="AF486" s="7">
        <v>10</v>
      </c>
      <c r="AG486" s="7">
        <v>12</v>
      </c>
      <c r="AH486" s="7">
        <v>9.25</v>
      </c>
      <c r="AI486" s="7">
        <v>0</v>
      </c>
      <c r="AJ486" s="7">
        <v>0</v>
      </c>
      <c r="AK486" s="8">
        <v>44115.52071759259</v>
      </c>
      <c r="AL486" s="7">
        <v>7.9</v>
      </c>
      <c r="AM486" s="7">
        <v>100</v>
      </c>
      <c r="AN486" s="7">
        <v>0</v>
      </c>
      <c r="AO486" s="7">
        <v>9.48</v>
      </c>
      <c r="AP486" s="7">
        <v>7.3</v>
      </c>
      <c r="AQ486" s="7">
        <v>0</v>
      </c>
      <c r="AR486" s="7">
        <v>1.3</v>
      </c>
      <c r="AS486" s="4" t="s">
        <v>303</v>
      </c>
      <c r="AT486" s="7">
        <v>0</v>
      </c>
      <c r="AU486" s="4" t="s">
        <v>591</v>
      </c>
      <c r="AV486" s="4" t="s">
        <v>305</v>
      </c>
      <c r="AW486" s="4" t="s">
        <v>292</v>
      </c>
    </row>
    <row r="487" spans="1:49" s="4" customFormat="1" x14ac:dyDescent="0.25">
      <c r="A487" s="4" t="s">
        <v>11199</v>
      </c>
      <c r="B487" s="4" t="s">
        <v>293</v>
      </c>
      <c r="C487" s="4" t="s">
        <v>589</v>
      </c>
      <c r="D487" s="4" t="s">
        <v>590</v>
      </c>
      <c r="F487" s="4" t="s">
        <v>11462</v>
      </c>
      <c r="G487" s="4" t="s">
        <v>11463</v>
      </c>
      <c r="I487" s="4" t="s">
        <v>296</v>
      </c>
      <c r="J487" s="4" t="s">
        <v>297</v>
      </c>
      <c r="K487" s="4" t="s">
        <v>298</v>
      </c>
      <c r="L487" s="4" t="s">
        <v>299</v>
      </c>
      <c r="M487" s="4" t="s">
        <v>300</v>
      </c>
      <c r="N487" s="4" t="s">
        <v>11198</v>
      </c>
      <c r="O487" s="5">
        <v>138.22499999999999</v>
      </c>
      <c r="P487" s="6">
        <v>1</v>
      </c>
      <c r="Q487" s="7">
        <v>9.25</v>
      </c>
      <c r="R487" s="7">
        <v>7</v>
      </c>
      <c r="S487" s="4" t="s">
        <v>301</v>
      </c>
      <c r="T487" s="4" t="s">
        <v>302</v>
      </c>
      <c r="U487" s="5">
        <v>165.04499999999999</v>
      </c>
      <c r="V487" s="6">
        <v>0.45</v>
      </c>
      <c r="W487" s="7">
        <v>2</v>
      </c>
      <c r="X487" s="5">
        <v>63.83</v>
      </c>
      <c r="Y487" s="4" t="s">
        <v>292</v>
      </c>
      <c r="Z487" s="6">
        <v>1</v>
      </c>
      <c r="AA487" s="6">
        <v>1</v>
      </c>
      <c r="AB487" s="5">
        <v>63.83</v>
      </c>
      <c r="AC487" s="6">
        <v>1</v>
      </c>
      <c r="AD487" s="6">
        <v>1</v>
      </c>
      <c r="AE487" s="5">
        <v>63.83</v>
      </c>
      <c r="AF487" s="7">
        <v>10</v>
      </c>
      <c r="AG487" s="7">
        <v>7</v>
      </c>
      <c r="AH487" s="7">
        <v>9.25</v>
      </c>
      <c r="AI487" s="7">
        <v>0</v>
      </c>
      <c r="AJ487" s="7">
        <v>0</v>
      </c>
      <c r="AK487" s="8">
        <v>44115.52957175926</v>
      </c>
      <c r="AL487" s="7">
        <v>7.43</v>
      </c>
      <c r="AM487" s="7">
        <v>100</v>
      </c>
      <c r="AN487" s="7">
        <v>0</v>
      </c>
      <c r="AO487" s="7">
        <v>5.2</v>
      </c>
      <c r="AP487" s="7">
        <v>6.87</v>
      </c>
      <c r="AQ487" s="7">
        <v>0</v>
      </c>
      <c r="AR487" s="7">
        <v>1.63</v>
      </c>
      <c r="AS487" s="4" t="s">
        <v>303</v>
      </c>
      <c r="AT487" s="7">
        <v>0</v>
      </c>
      <c r="AU487" s="4" t="s">
        <v>591</v>
      </c>
      <c r="AV487" s="4" t="s">
        <v>305</v>
      </c>
      <c r="AW487" s="4" t="s">
        <v>292</v>
      </c>
    </row>
    <row r="488" spans="1:49" s="4" customFormat="1" x14ac:dyDescent="0.25">
      <c r="A488" s="4" t="s">
        <v>395</v>
      </c>
      <c r="B488" s="4" t="s">
        <v>293</v>
      </c>
      <c r="C488" s="4" t="s">
        <v>589</v>
      </c>
      <c r="D488" s="4" t="s">
        <v>590</v>
      </c>
      <c r="F488" s="4" t="s">
        <v>11462</v>
      </c>
      <c r="G488" s="4" t="s">
        <v>11463</v>
      </c>
      <c r="I488" s="4" t="s">
        <v>296</v>
      </c>
      <c r="J488" s="4" t="s">
        <v>297</v>
      </c>
      <c r="K488" s="4" t="s">
        <v>298</v>
      </c>
      <c r="L488" s="4" t="s">
        <v>299</v>
      </c>
      <c r="M488" s="4" t="s">
        <v>300</v>
      </c>
      <c r="N488" s="4" t="s">
        <v>447</v>
      </c>
      <c r="O488" s="5">
        <v>138.22499999999999</v>
      </c>
      <c r="P488" s="6">
        <v>1</v>
      </c>
      <c r="Q488" s="7">
        <v>9.25</v>
      </c>
      <c r="R488" s="7">
        <v>7</v>
      </c>
      <c r="S488" s="4" t="s">
        <v>301</v>
      </c>
      <c r="T488" s="4" t="s">
        <v>302</v>
      </c>
      <c r="U488" s="5">
        <v>165.04499999999999</v>
      </c>
      <c r="V488" s="6">
        <v>0.45</v>
      </c>
      <c r="W488" s="7">
        <v>4</v>
      </c>
      <c r="X488" s="5">
        <v>86.99</v>
      </c>
      <c r="Y488" s="4" t="s">
        <v>292</v>
      </c>
      <c r="Z488" s="6">
        <v>1</v>
      </c>
      <c r="AA488" s="6">
        <v>0.75261500000000003</v>
      </c>
      <c r="AB488" s="5">
        <v>86.99</v>
      </c>
      <c r="AC488" s="6">
        <v>1</v>
      </c>
      <c r="AD488" s="6">
        <v>0.75261500000000003</v>
      </c>
      <c r="AE488" s="5">
        <v>86.99</v>
      </c>
      <c r="AF488" s="7">
        <v>10</v>
      </c>
      <c r="AG488" s="7">
        <v>7</v>
      </c>
      <c r="AH488" s="7">
        <v>9.25</v>
      </c>
      <c r="AI488" s="7">
        <v>17</v>
      </c>
      <c r="AJ488" s="7">
        <v>0</v>
      </c>
      <c r="AK488" s="8">
        <v>44115.52957175926</v>
      </c>
      <c r="AL488" s="7">
        <v>7.43</v>
      </c>
      <c r="AM488" s="7">
        <v>100</v>
      </c>
      <c r="AN488" s="7">
        <v>0</v>
      </c>
      <c r="AO488" s="7">
        <v>5.2</v>
      </c>
      <c r="AP488" s="7">
        <v>6.87</v>
      </c>
      <c r="AQ488" s="7">
        <v>15.69</v>
      </c>
      <c r="AR488" s="7">
        <v>3.9</v>
      </c>
      <c r="AS488" s="4" t="s">
        <v>303</v>
      </c>
      <c r="AT488" s="7">
        <v>0</v>
      </c>
      <c r="AU488" s="4" t="s">
        <v>591</v>
      </c>
      <c r="AV488" s="4" t="s">
        <v>305</v>
      </c>
      <c r="AW488" s="4" t="s">
        <v>292</v>
      </c>
    </row>
    <row r="489" spans="1:49" s="4" customFormat="1" x14ac:dyDescent="0.25">
      <c r="A489" s="4" t="s">
        <v>11200</v>
      </c>
      <c r="B489" s="4" t="s">
        <v>293</v>
      </c>
      <c r="C489" s="4" t="s">
        <v>589</v>
      </c>
      <c r="D489" s="4" t="s">
        <v>590</v>
      </c>
      <c r="F489" s="4" t="s">
        <v>11462</v>
      </c>
      <c r="G489" s="4" t="s">
        <v>11463</v>
      </c>
      <c r="I489" s="4" t="s">
        <v>296</v>
      </c>
      <c r="J489" s="4" t="s">
        <v>297</v>
      </c>
      <c r="K489" s="4" t="s">
        <v>298</v>
      </c>
      <c r="L489" s="4" t="s">
        <v>299</v>
      </c>
      <c r="M489" s="4" t="s">
        <v>300</v>
      </c>
      <c r="N489" s="4" t="s">
        <v>11198</v>
      </c>
      <c r="O489" s="5">
        <v>138.22499999999999</v>
      </c>
      <c r="P489" s="6">
        <v>1</v>
      </c>
      <c r="Q489" s="7">
        <v>9.25</v>
      </c>
      <c r="R489" s="7">
        <v>18</v>
      </c>
      <c r="S489" s="4" t="s">
        <v>301</v>
      </c>
      <c r="T489" s="4" t="s">
        <v>302</v>
      </c>
      <c r="U489" s="5">
        <v>190</v>
      </c>
      <c r="V489" s="6">
        <v>0.45</v>
      </c>
      <c r="W489" s="7">
        <v>1.5</v>
      </c>
      <c r="X489" s="5">
        <v>63.61</v>
      </c>
      <c r="Y489" s="4" t="s">
        <v>292</v>
      </c>
      <c r="Z489" s="6">
        <v>1</v>
      </c>
      <c r="AA489" s="6">
        <v>1</v>
      </c>
      <c r="AB489" s="5">
        <v>63.61</v>
      </c>
      <c r="AC489" s="6">
        <v>1</v>
      </c>
      <c r="AD489" s="6">
        <v>1</v>
      </c>
      <c r="AE489" s="5">
        <v>63.61</v>
      </c>
      <c r="AF489" s="7">
        <v>10</v>
      </c>
      <c r="AG489" s="7">
        <v>18</v>
      </c>
      <c r="AH489" s="7">
        <v>9.25</v>
      </c>
      <c r="AI489" s="7">
        <v>0</v>
      </c>
      <c r="AJ489" s="7">
        <v>0</v>
      </c>
      <c r="AK489" s="8">
        <v>44115.513368055559</v>
      </c>
      <c r="AL489" s="7">
        <v>8.5500000000000007</v>
      </c>
      <c r="AM489" s="7">
        <v>100</v>
      </c>
      <c r="AN489" s="7">
        <v>0</v>
      </c>
      <c r="AO489" s="7">
        <v>15.39</v>
      </c>
      <c r="AP489" s="7">
        <v>7.91</v>
      </c>
      <c r="AQ489" s="7">
        <v>0</v>
      </c>
      <c r="AR489" s="7">
        <v>1.41</v>
      </c>
      <c r="AS489" s="4" t="s">
        <v>303</v>
      </c>
      <c r="AT489" s="7">
        <v>0</v>
      </c>
      <c r="AU489" s="4" t="s">
        <v>591</v>
      </c>
      <c r="AV489" s="4" t="s">
        <v>305</v>
      </c>
      <c r="AW489" s="4" t="s">
        <v>292</v>
      </c>
    </row>
    <row r="490" spans="1:49" s="4" customFormat="1" x14ac:dyDescent="0.25">
      <c r="A490" s="4" t="s">
        <v>11207</v>
      </c>
      <c r="B490" s="4" t="s">
        <v>293</v>
      </c>
      <c r="C490" s="4" t="s">
        <v>589</v>
      </c>
      <c r="D490" s="4" t="s">
        <v>590</v>
      </c>
      <c r="F490" s="4" t="s">
        <v>11236</v>
      </c>
      <c r="G490" s="4" t="s">
        <v>11237</v>
      </c>
      <c r="I490" s="4" t="s">
        <v>296</v>
      </c>
      <c r="J490" s="4" t="s">
        <v>297</v>
      </c>
      <c r="K490" s="4" t="s">
        <v>298</v>
      </c>
      <c r="L490" s="4" t="s">
        <v>299</v>
      </c>
      <c r="M490" s="4" t="s">
        <v>300</v>
      </c>
      <c r="N490" s="4" t="s">
        <v>11238</v>
      </c>
      <c r="O490" s="5">
        <v>63.61</v>
      </c>
      <c r="P490" s="6">
        <v>1</v>
      </c>
      <c r="Q490" s="7">
        <v>9.25</v>
      </c>
      <c r="R490" s="7">
        <v>7</v>
      </c>
      <c r="S490" s="4" t="s">
        <v>301</v>
      </c>
      <c r="T490" s="4" t="s">
        <v>302</v>
      </c>
      <c r="U490" s="5">
        <v>75.951999999999998</v>
      </c>
      <c r="V490" s="6">
        <v>0.25</v>
      </c>
      <c r="W490" s="7">
        <v>3</v>
      </c>
      <c r="X490" s="5">
        <v>25.558</v>
      </c>
      <c r="Y490" s="4" t="s">
        <v>292</v>
      </c>
      <c r="Z490" s="6">
        <v>4</v>
      </c>
      <c r="AA490" s="6">
        <v>1</v>
      </c>
      <c r="AB490" s="5">
        <v>102.232</v>
      </c>
      <c r="AC490" s="6">
        <v>1</v>
      </c>
      <c r="AD490" s="6">
        <v>1</v>
      </c>
      <c r="AE490" s="5">
        <v>102.232</v>
      </c>
      <c r="AF490" s="5">
        <v>102.232</v>
      </c>
      <c r="AG490" s="7">
        <v>7</v>
      </c>
      <c r="AH490" s="7">
        <v>0</v>
      </c>
      <c r="AI490" s="7">
        <v>17</v>
      </c>
      <c r="AJ490" s="7">
        <v>0</v>
      </c>
      <c r="AK490" s="8">
        <v>44115.540277777778</v>
      </c>
      <c r="AL490" s="7">
        <v>1.9</v>
      </c>
      <c r="AM490" s="7">
        <v>100</v>
      </c>
      <c r="AN490" s="7">
        <v>0</v>
      </c>
      <c r="AO490" s="7">
        <v>1.33</v>
      </c>
      <c r="AP490" s="7">
        <v>0</v>
      </c>
      <c r="AQ490" s="7">
        <v>3.93</v>
      </c>
      <c r="AR490" s="7">
        <v>0.74</v>
      </c>
      <c r="AS490" s="4" t="s">
        <v>303</v>
      </c>
      <c r="AT490" s="7">
        <v>0</v>
      </c>
      <c r="AU490" s="4" t="s">
        <v>591</v>
      </c>
      <c r="AV490" s="4" t="s">
        <v>305</v>
      </c>
    </row>
    <row r="491" spans="1:49" s="4" customFormat="1" x14ac:dyDescent="0.25">
      <c r="A491" s="4" t="s">
        <v>11201</v>
      </c>
      <c r="B491" s="4" t="s">
        <v>293</v>
      </c>
      <c r="C491" s="4" t="s">
        <v>592</v>
      </c>
      <c r="D491" s="4" t="s">
        <v>593</v>
      </c>
      <c r="F491" s="4" t="s">
        <v>11462</v>
      </c>
      <c r="G491" s="4" t="s">
        <v>11463</v>
      </c>
      <c r="I491" s="4" t="s">
        <v>296</v>
      </c>
      <c r="J491" s="4" t="s">
        <v>297</v>
      </c>
      <c r="K491" s="4" t="s">
        <v>368</v>
      </c>
      <c r="L491" s="4" t="s">
        <v>299</v>
      </c>
      <c r="M491" s="4" t="s">
        <v>300</v>
      </c>
      <c r="N491" s="4" t="s">
        <v>11198</v>
      </c>
      <c r="O491" s="5">
        <v>207.25700000000001</v>
      </c>
      <c r="P491" s="6">
        <v>1</v>
      </c>
      <c r="Q491" s="7">
        <v>9.25</v>
      </c>
      <c r="R491" s="7">
        <v>12</v>
      </c>
      <c r="S491" s="4" t="s">
        <v>301</v>
      </c>
      <c r="T491" s="4" t="s">
        <v>302</v>
      </c>
      <c r="U491" s="5">
        <v>263.18299999999999</v>
      </c>
      <c r="V491" s="6">
        <v>0.45</v>
      </c>
      <c r="W491" s="7">
        <v>1.5</v>
      </c>
      <c r="X491" s="5">
        <v>95.221999999999994</v>
      </c>
      <c r="Y491" s="4" t="s">
        <v>292</v>
      </c>
      <c r="Z491" s="6">
        <v>1</v>
      </c>
      <c r="AA491" s="6">
        <v>1</v>
      </c>
      <c r="AB491" s="5">
        <v>95.221999999999994</v>
      </c>
      <c r="AC491" s="6">
        <v>1</v>
      </c>
      <c r="AD491" s="6">
        <v>1</v>
      </c>
      <c r="AE491" s="5">
        <v>95.221999999999994</v>
      </c>
      <c r="AF491" s="7">
        <v>10</v>
      </c>
      <c r="AG491" s="7">
        <v>12</v>
      </c>
      <c r="AH491" s="7">
        <v>9.25</v>
      </c>
      <c r="AI491" s="7">
        <v>0</v>
      </c>
      <c r="AJ491" s="7">
        <v>0</v>
      </c>
      <c r="AK491" s="8">
        <v>44115.52107638889</v>
      </c>
      <c r="AL491" s="7">
        <v>11.84</v>
      </c>
      <c r="AM491" s="7">
        <v>100</v>
      </c>
      <c r="AN491" s="7">
        <v>0</v>
      </c>
      <c r="AO491" s="7">
        <v>14.21</v>
      </c>
      <c r="AP491" s="7">
        <v>10.95</v>
      </c>
      <c r="AQ491" s="7">
        <v>0</v>
      </c>
      <c r="AR491" s="7">
        <v>1.95</v>
      </c>
      <c r="AS491" s="4" t="s">
        <v>303</v>
      </c>
      <c r="AT491" s="7">
        <v>0</v>
      </c>
      <c r="AU491" s="4" t="s">
        <v>594</v>
      </c>
      <c r="AV491" s="4" t="s">
        <v>305</v>
      </c>
      <c r="AW491" s="4" t="s">
        <v>292</v>
      </c>
    </row>
    <row r="492" spans="1:49" s="4" customFormat="1" x14ac:dyDescent="0.25">
      <c r="A492" s="4" t="s">
        <v>11199</v>
      </c>
      <c r="B492" s="4" t="s">
        <v>293</v>
      </c>
      <c r="C492" s="4" t="s">
        <v>592</v>
      </c>
      <c r="D492" s="4" t="s">
        <v>593</v>
      </c>
      <c r="F492" s="4" t="s">
        <v>11462</v>
      </c>
      <c r="G492" s="4" t="s">
        <v>11463</v>
      </c>
      <c r="I492" s="4" t="s">
        <v>296</v>
      </c>
      <c r="J492" s="4" t="s">
        <v>297</v>
      </c>
      <c r="K492" s="4" t="s">
        <v>368</v>
      </c>
      <c r="L492" s="4" t="s">
        <v>299</v>
      </c>
      <c r="M492" s="4" t="s">
        <v>300</v>
      </c>
      <c r="N492" s="4" t="s">
        <v>11198</v>
      </c>
      <c r="O492" s="5">
        <v>207.25700000000001</v>
      </c>
      <c r="P492" s="6">
        <v>1</v>
      </c>
      <c r="Q492" s="7">
        <v>9.25</v>
      </c>
      <c r="R492" s="7">
        <v>7</v>
      </c>
      <c r="S492" s="4" t="s">
        <v>301</v>
      </c>
      <c r="T492" s="4" t="s">
        <v>302</v>
      </c>
      <c r="U492" s="5">
        <v>247.471</v>
      </c>
      <c r="V492" s="6">
        <v>0.45</v>
      </c>
      <c r="W492" s="7">
        <v>2</v>
      </c>
      <c r="X492" s="5">
        <v>95.721999999999994</v>
      </c>
      <c r="Y492" s="4" t="s">
        <v>292</v>
      </c>
      <c r="Z492" s="6">
        <v>1</v>
      </c>
      <c r="AA492" s="6">
        <v>1</v>
      </c>
      <c r="AB492" s="5">
        <v>95.721999999999994</v>
      </c>
      <c r="AC492" s="6">
        <v>1</v>
      </c>
      <c r="AD492" s="6">
        <v>1</v>
      </c>
      <c r="AE492" s="5">
        <v>95.721999999999994</v>
      </c>
      <c r="AF492" s="7">
        <v>10</v>
      </c>
      <c r="AG492" s="7">
        <v>7</v>
      </c>
      <c r="AH492" s="7">
        <v>9.25</v>
      </c>
      <c r="AI492" s="7">
        <v>0</v>
      </c>
      <c r="AJ492" s="7">
        <v>0</v>
      </c>
      <c r="AK492" s="8">
        <v>44115.016886574071</v>
      </c>
      <c r="AL492" s="7">
        <v>11.14</v>
      </c>
      <c r="AM492" s="7">
        <v>100</v>
      </c>
      <c r="AN492" s="7">
        <v>0</v>
      </c>
      <c r="AO492" s="7">
        <v>7.79</v>
      </c>
      <c r="AP492" s="7">
        <v>10.3</v>
      </c>
      <c r="AQ492" s="7">
        <v>0</v>
      </c>
      <c r="AR492" s="7">
        <v>2.4500000000000002</v>
      </c>
      <c r="AS492" s="4" t="s">
        <v>303</v>
      </c>
      <c r="AT492" s="7">
        <v>0</v>
      </c>
      <c r="AU492" s="4" t="s">
        <v>594</v>
      </c>
      <c r="AV492" s="4" t="s">
        <v>305</v>
      </c>
      <c r="AW492" s="4" t="s">
        <v>296</v>
      </c>
    </row>
    <row r="493" spans="1:49" s="4" customFormat="1" x14ac:dyDescent="0.25">
      <c r="A493" s="4" t="s">
        <v>395</v>
      </c>
      <c r="B493" s="4" t="s">
        <v>293</v>
      </c>
      <c r="C493" s="4" t="s">
        <v>592</v>
      </c>
      <c r="D493" s="4" t="s">
        <v>593</v>
      </c>
      <c r="F493" s="4" t="s">
        <v>11243</v>
      </c>
      <c r="G493" s="4" t="s">
        <v>11244</v>
      </c>
      <c r="I493" s="4" t="s">
        <v>292</v>
      </c>
      <c r="J493" s="4" t="s">
        <v>297</v>
      </c>
      <c r="K493" s="4" t="s">
        <v>368</v>
      </c>
      <c r="L493" s="4" t="s">
        <v>299</v>
      </c>
      <c r="M493" s="4" t="s">
        <v>300</v>
      </c>
      <c r="N493" s="4" t="s">
        <v>11248</v>
      </c>
      <c r="O493" s="5">
        <v>114.657</v>
      </c>
      <c r="P493" s="6">
        <v>1</v>
      </c>
      <c r="Q493" s="7">
        <v>9.25</v>
      </c>
      <c r="R493" s="7">
        <v>1</v>
      </c>
      <c r="S493" s="4" t="s">
        <v>301</v>
      </c>
      <c r="T493" s="4" t="s">
        <v>302</v>
      </c>
      <c r="U493" s="5">
        <v>127.752</v>
      </c>
      <c r="V493" s="6">
        <v>1</v>
      </c>
      <c r="W493" s="7">
        <v>5</v>
      </c>
      <c r="X493" s="5">
        <v>143.952</v>
      </c>
      <c r="Y493" s="4" t="s">
        <v>292</v>
      </c>
      <c r="Z493" s="6">
        <v>1</v>
      </c>
      <c r="AA493" s="6">
        <v>0.74325300000000005</v>
      </c>
      <c r="AB493" s="5">
        <v>143.952</v>
      </c>
      <c r="AC493" s="6">
        <v>1</v>
      </c>
      <c r="AD493" s="6">
        <v>0.74325300000000005</v>
      </c>
      <c r="AE493" s="5">
        <v>143.952</v>
      </c>
      <c r="AF493" s="5">
        <v>143.952</v>
      </c>
      <c r="AG493" s="7">
        <v>12</v>
      </c>
      <c r="AH493" s="7">
        <v>9.25</v>
      </c>
      <c r="AI493" s="7">
        <v>17</v>
      </c>
      <c r="AJ493" s="7">
        <v>0</v>
      </c>
      <c r="AK493" s="8">
        <v>44115.529618055552</v>
      </c>
      <c r="AL493" s="7">
        <v>0</v>
      </c>
      <c r="AM493" s="7">
        <v>100</v>
      </c>
      <c r="AN493" s="7">
        <v>0</v>
      </c>
      <c r="AO493" s="7">
        <v>15.33</v>
      </c>
      <c r="AP493" s="7">
        <v>11.82</v>
      </c>
      <c r="AQ493" s="7">
        <v>20.6</v>
      </c>
      <c r="AR493" s="7">
        <v>7.42</v>
      </c>
      <c r="AS493" s="4" t="s">
        <v>303</v>
      </c>
      <c r="AT493" s="7">
        <v>0</v>
      </c>
      <c r="AU493" s="4" t="s">
        <v>594</v>
      </c>
      <c r="AV493" s="4" t="s">
        <v>305</v>
      </c>
    </row>
    <row r="494" spans="1:49" s="4" customFormat="1" x14ac:dyDescent="0.25">
      <c r="A494" s="4" t="s">
        <v>395</v>
      </c>
      <c r="B494" s="4" t="s">
        <v>293</v>
      </c>
      <c r="C494" s="4" t="s">
        <v>592</v>
      </c>
      <c r="D494" s="4" t="s">
        <v>593</v>
      </c>
      <c r="F494" s="4" t="s">
        <v>11462</v>
      </c>
      <c r="G494" s="4" t="s">
        <v>11463</v>
      </c>
      <c r="I494" s="4" t="s">
        <v>296</v>
      </c>
      <c r="J494" s="4" t="s">
        <v>297</v>
      </c>
      <c r="K494" s="4" t="s">
        <v>368</v>
      </c>
      <c r="L494" s="4" t="s">
        <v>299</v>
      </c>
      <c r="M494" s="4" t="s">
        <v>300</v>
      </c>
      <c r="N494" s="4" t="s">
        <v>447</v>
      </c>
      <c r="O494" s="5">
        <v>207.25700000000001</v>
      </c>
      <c r="P494" s="6">
        <v>1</v>
      </c>
      <c r="Q494" s="7">
        <v>9.25</v>
      </c>
      <c r="R494" s="7">
        <v>7</v>
      </c>
      <c r="S494" s="4" t="s">
        <v>301</v>
      </c>
      <c r="T494" s="4" t="s">
        <v>302</v>
      </c>
      <c r="U494" s="5">
        <v>247.471</v>
      </c>
      <c r="V494" s="6">
        <v>0.45</v>
      </c>
      <c r="W494" s="7">
        <v>4</v>
      </c>
      <c r="X494" s="5">
        <v>130.422</v>
      </c>
      <c r="Y494" s="4" t="s">
        <v>292</v>
      </c>
      <c r="Z494" s="6">
        <v>1</v>
      </c>
      <c r="AA494" s="6">
        <v>0.75272600000000001</v>
      </c>
      <c r="AB494" s="5">
        <v>130.422</v>
      </c>
      <c r="AC494" s="6">
        <v>1</v>
      </c>
      <c r="AD494" s="6">
        <v>0.75272600000000001</v>
      </c>
      <c r="AE494" s="5">
        <v>130.422</v>
      </c>
      <c r="AF494" s="7">
        <v>10</v>
      </c>
      <c r="AG494" s="7">
        <v>7</v>
      </c>
      <c r="AH494" s="7">
        <v>9.25</v>
      </c>
      <c r="AI494" s="7">
        <v>17</v>
      </c>
      <c r="AJ494" s="7">
        <v>0</v>
      </c>
      <c r="AK494" s="8">
        <v>44115.529618055552</v>
      </c>
      <c r="AL494" s="7">
        <v>11.14</v>
      </c>
      <c r="AM494" s="7">
        <v>100</v>
      </c>
      <c r="AN494" s="7">
        <v>0</v>
      </c>
      <c r="AO494" s="7">
        <v>7.79</v>
      </c>
      <c r="AP494" s="7">
        <v>10.3</v>
      </c>
      <c r="AQ494" s="7">
        <v>23.52</v>
      </c>
      <c r="AR494" s="7">
        <v>5.84</v>
      </c>
      <c r="AS494" s="4" t="s">
        <v>303</v>
      </c>
      <c r="AT494" s="7">
        <v>0</v>
      </c>
      <c r="AU494" s="4" t="s">
        <v>594</v>
      </c>
      <c r="AV494" s="4" t="s">
        <v>305</v>
      </c>
      <c r="AW494" s="4" t="s">
        <v>292</v>
      </c>
    </row>
    <row r="495" spans="1:49" s="4" customFormat="1" x14ac:dyDescent="0.25">
      <c r="A495" s="4" t="s">
        <v>11200</v>
      </c>
      <c r="B495" s="4" t="s">
        <v>293</v>
      </c>
      <c r="C495" s="4" t="s">
        <v>592</v>
      </c>
      <c r="D495" s="4" t="s">
        <v>593</v>
      </c>
      <c r="F495" s="4" t="s">
        <v>11462</v>
      </c>
      <c r="G495" s="4" t="s">
        <v>11463</v>
      </c>
      <c r="I495" s="4" t="s">
        <v>296</v>
      </c>
      <c r="J495" s="4" t="s">
        <v>297</v>
      </c>
      <c r="K495" s="4" t="s">
        <v>368</v>
      </c>
      <c r="L495" s="4" t="s">
        <v>299</v>
      </c>
      <c r="M495" s="4" t="s">
        <v>300</v>
      </c>
      <c r="N495" s="4" t="s">
        <v>11198</v>
      </c>
      <c r="O495" s="5">
        <v>207.25700000000001</v>
      </c>
      <c r="P495" s="6">
        <v>1</v>
      </c>
      <c r="Q495" s="7">
        <v>9.25</v>
      </c>
      <c r="R495" s="7">
        <v>18</v>
      </c>
      <c r="S495" s="4" t="s">
        <v>301</v>
      </c>
      <c r="T495" s="4" t="s">
        <v>302</v>
      </c>
      <c r="U495" s="5">
        <v>284.88900000000001</v>
      </c>
      <c r="V495" s="6">
        <v>0.45</v>
      </c>
      <c r="W495" s="7">
        <v>1.5</v>
      </c>
      <c r="X495" s="5">
        <v>95.38</v>
      </c>
      <c r="Y495" s="4" t="s">
        <v>292</v>
      </c>
      <c r="Z495" s="6">
        <v>1</v>
      </c>
      <c r="AA495" s="6">
        <v>1</v>
      </c>
      <c r="AB495" s="5">
        <v>95.38</v>
      </c>
      <c r="AC495" s="6">
        <v>1</v>
      </c>
      <c r="AD495" s="6">
        <v>1</v>
      </c>
      <c r="AE495" s="5">
        <v>95.38</v>
      </c>
      <c r="AF495" s="7">
        <v>10</v>
      </c>
      <c r="AG495" s="7">
        <v>18</v>
      </c>
      <c r="AH495" s="7">
        <v>9.25</v>
      </c>
      <c r="AI495" s="7">
        <v>0</v>
      </c>
      <c r="AJ495" s="7">
        <v>0</v>
      </c>
      <c r="AK495" s="8">
        <v>44115.004988425928</v>
      </c>
      <c r="AL495" s="7">
        <v>12.82</v>
      </c>
      <c r="AM495" s="7">
        <v>100</v>
      </c>
      <c r="AN495" s="7">
        <v>0</v>
      </c>
      <c r="AO495" s="7">
        <v>23.08</v>
      </c>
      <c r="AP495" s="7">
        <v>11.86</v>
      </c>
      <c r="AQ495" s="7">
        <v>0</v>
      </c>
      <c r="AR495" s="7">
        <v>2.12</v>
      </c>
      <c r="AS495" s="4" t="s">
        <v>303</v>
      </c>
      <c r="AT495" s="7">
        <v>0</v>
      </c>
      <c r="AU495" s="4" t="s">
        <v>594</v>
      </c>
      <c r="AV495" s="4" t="s">
        <v>305</v>
      </c>
      <c r="AW495" s="4" t="s">
        <v>296</v>
      </c>
    </row>
    <row r="496" spans="1:49" s="4" customFormat="1" x14ac:dyDescent="0.25">
      <c r="A496" s="4" t="s">
        <v>11201</v>
      </c>
      <c r="B496" s="4" t="s">
        <v>293</v>
      </c>
      <c r="C496" s="4" t="s">
        <v>595</v>
      </c>
      <c r="D496" s="4" t="s">
        <v>596</v>
      </c>
      <c r="F496" s="4" t="s">
        <v>11462</v>
      </c>
      <c r="G496" s="4" t="s">
        <v>11463</v>
      </c>
      <c r="I496" s="4" t="s">
        <v>296</v>
      </c>
      <c r="J496" s="4" t="s">
        <v>297</v>
      </c>
      <c r="K496" s="4" t="s">
        <v>298</v>
      </c>
      <c r="L496" s="4" t="s">
        <v>299</v>
      </c>
      <c r="M496" s="4" t="s">
        <v>300</v>
      </c>
      <c r="N496" s="4" t="s">
        <v>11198</v>
      </c>
      <c r="O496" s="5">
        <v>262.108</v>
      </c>
      <c r="P496" s="6">
        <v>1</v>
      </c>
      <c r="Q496" s="7">
        <v>9.25</v>
      </c>
      <c r="R496" s="7">
        <v>12</v>
      </c>
      <c r="S496" s="4" t="s">
        <v>301</v>
      </c>
      <c r="T496" s="4" t="s">
        <v>302</v>
      </c>
      <c r="U496" s="5">
        <v>332.83600000000001</v>
      </c>
      <c r="V496" s="6">
        <v>0.45</v>
      </c>
      <c r="W496" s="7">
        <v>1.5</v>
      </c>
      <c r="X496" s="5">
        <v>120.426</v>
      </c>
      <c r="Y496" s="4" t="s">
        <v>292</v>
      </c>
      <c r="Z496" s="6">
        <v>1</v>
      </c>
      <c r="AA496" s="6">
        <v>1</v>
      </c>
      <c r="AB496" s="5">
        <v>120.426</v>
      </c>
      <c r="AC496" s="6">
        <v>1</v>
      </c>
      <c r="AD496" s="6">
        <v>1</v>
      </c>
      <c r="AE496" s="5">
        <v>120.426</v>
      </c>
      <c r="AF496" s="7">
        <v>10</v>
      </c>
      <c r="AG496" s="7">
        <v>12</v>
      </c>
      <c r="AH496" s="7">
        <v>9.25</v>
      </c>
      <c r="AI496" s="7">
        <v>0</v>
      </c>
      <c r="AJ496" s="7">
        <v>0</v>
      </c>
      <c r="AK496" s="8">
        <v>44115.52107638889</v>
      </c>
      <c r="AL496" s="7">
        <v>14.98</v>
      </c>
      <c r="AM496" s="7">
        <v>100</v>
      </c>
      <c r="AN496" s="7">
        <v>0</v>
      </c>
      <c r="AO496" s="7">
        <v>17.97</v>
      </c>
      <c r="AP496" s="7">
        <v>13.85</v>
      </c>
      <c r="AQ496" s="7">
        <v>0</v>
      </c>
      <c r="AR496" s="7">
        <v>2.4700000000000002</v>
      </c>
      <c r="AS496" s="4" t="s">
        <v>303</v>
      </c>
      <c r="AT496" s="7">
        <v>0</v>
      </c>
      <c r="AU496" s="4" t="s">
        <v>597</v>
      </c>
      <c r="AV496" s="4" t="s">
        <v>305</v>
      </c>
      <c r="AW496" s="4" t="s">
        <v>292</v>
      </c>
    </row>
    <row r="497" spans="1:49" s="4" customFormat="1" x14ac:dyDescent="0.25">
      <c r="A497" s="4" t="s">
        <v>11199</v>
      </c>
      <c r="B497" s="4" t="s">
        <v>293</v>
      </c>
      <c r="C497" s="4" t="s">
        <v>595</v>
      </c>
      <c r="D497" s="4" t="s">
        <v>596</v>
      </c>
      <c r="F497" s="4" t="s">
        <v>11462</v>
      </c>
      <c r="G497" s="4" t="s">
        <v>11463</v>
      </c>
      <c r="I497" s="4" t="s">
        <v>296</v>
      </c>
      <c r="J497" s="4" t="s">
        <v>297</v>
      </c>
      <c r="K497" s="4" t="s">
        <v>298</v>
      </c>
      <c r="L497" s="4" t="s">
        <v>299</v>
      </c>
      <c r="M497" s="4" t="s">
        <v>300</v>
      </c>
      <c r="N497" s="4" t="s">
        <v>11198</v>
      </c>
      <c r="O497" s="5">
        <v>262.11099999999999</v>
      </c>
      <c r="P497" s="6">
        <v>1</v>
      </c>
      <c r="Q497" s="7">
        <v>9.25</v>
      </c>
      <c r="R497" s="7">
        <v>7</v>
      </c>
      <c r="S497" s="4" t="s">
        <v>301</v>
      </c>
      <c r="T497" s="4" t="s">
        <v>302</v>
      </c>
      <c r="U497" s="5">
        <v>312.96800000000002</v>
      </c>
      <c r="V497" s="6">
        <v>0.45</v>
      </c>
      <c r="W497" s="7">
        <v>2</v>
      </c>
      <c r="X497" s="5">
        <v>121.056</v>
      </c>
      <c r="Y497" s="4" t="s">
        <v>292</v>
      </c>
      <c r="Z497" s="6">
        <v>1</v>
      </c>
      <c r="AA497" s="6">
        <v>1</v>
      </c>
      <c r="AB497" s="5">
        <v>121.056</v>
      </c>
      <c r="AC497" s="6">
        <v>1</v>
      </c>
      <c r="AD497" s="6">
        <v>1</v>
      </c>
      <c r="AE497" s="5">
        <v>121.056</v>
      </c>
      <c r="AF497" s="7">
        <v>10</v>
      </c>
      <c r="AG497" s="7">
        <v>7</v>
      </c>
      <c r="AH497" s="7">
        <v>9.25</v>
      </c>
      <c r="AI497" s="7">
        <v>0</v>
      </c>
      <c r="AJ497" s="7">
        <v>0</v>
      </c>
      <c r="AK497" s="8">
        <v>44115.529618055552</v>
      </c>
      <c r="AL497" s="7">
        <v>14.08</v>
      </c>
      <c r="AM497" s="7">
        <v>100</v>
      </c>
      <c r="AN497" s="7">
        <v>0</v>
      </c>
      <c r="AO497" s="7">
        <v>9.86</v>
      </c>
      <c r="AP497" s="7">
        <v>13.02</v>
      </c>
      <c r="AQ497" s="7">
        <v>0</v>
      </c>
      <c r="AR497" s="7">
        <v>3.1</v>
      </c>
      <c r="AS497" s="4" t="s">
        <v>303</v>
      </c>
      <c r="AT497" s="7">
        <v>0</v>
      </c>
      <c r="AU497" s="4" t="s">
        <v>597</v>
      </c>
      <c r="AV497" s="4" t="s">
        <v>305</v>
      </c>
      <c r="AW497" s="4" t="s">
        <v>292</v>
      </c>
    </row>
    <row r="498" spans="1:49" s="4" customFormat="1" x14ac:dyDescent="0.25">
      <c r="A498" s="4" t="s">
        <v>395</v>
      </c>
      <c r="B498" s="4" t="s">
        <v>293</v>
      </c>
      <c r="C498" s="4" t="s">
        <v>595</v>
      </c>
      <c r="D498" s="4" t="s">
        <v>596</v>
      </c>
      <c r="F498" s="4" t="s">
        <v>11462</v>
      </c>
      <c r="G498" s="4" t="s">
        <v>11463</v>
      </c>
      <c r="I498" s="4" t="s">
        <v>296</v>
      </c>
      <c r="J498" s="4" t="s">
        <v>297</v>
      </c>
      <c r="K498" s="4" t="s">
        <v>298</v>
      </c>
      <c r="L498" s="4" t="s">
        <v>299</v>
      </c>
      <c r="M498" s="4" t="s">
        <v>300</v>
      </c>
      <c r="N498" s="4" t="s">
        <v>447</v>
      </c>
      <c r="O498" s="5">
        <v>262.11099999999999</v>
      </c>
      <c r="P498" s="6">
        <v>1</v>
      </c>
      <c r="Q498" s="7">
        <v>9.25</v>
      </c>
      <c r="R498" s="7">
        <v>7</v>
      </c>
      <c r="S498" s="4" t="s">
        <v>301</v>
      </c>
      <c r="T498" s="4" t="s">
        <v>302</v>
      </c>
      <c r="U498" s="5">
        <v>312.96800000000002</v>
      </c>
      <c r="V498" s="6">
        <v>0.45</v>
      </c>
      <c r="W498" s="7">
        <v>4</v>
      </c>
      <c r="X498" s="5">
        <v>164.95599999999999</v>
      </c>
      <c r="Y498" s="4" t="s">
        <v>292</v>
      </c>
      <c r="Z498" s="6">
        <v>1</v>
      </c>
      <c r="AA498" s="6">
        <v>0.75266100000000002</v>
      </c>
      <c r="AB498" s="5">
        <v>164.95599999999999</v>
      </c>
      <c r="AC498" s="6">
        <v>1</v>
      </c>
      <c r="AD498" s="6">
        <v>0.75266100000000002</v>
      </c>
      <c r="AE498" s="5">
        <v>164.95599999999999</v>
      </c>
      <c r="AF498" s="7">
        <v>10</v>
      </c>
      <c r="AG498" s="7">
        <v>7</v>
      </c>
      <c r="AH498" s="7">
        <v>9.25</v>
      </c>
      <c r="AI498" s="7">
        <v>17</v>
      </c>
      <c r="AJ498" s="7">
        <v>0</v>
      </c>
      <c r="AK498" s="8">
        <v>44115.529618055552</v>
      </c>
      <c r="AL498" s="7">
        <v>14.08</v>
      </c>
      <c r="AM498" s="7">
        <v>100</v>
      </c>
      <c r="AN498" s="7">
        <v>0</v>
      </c>
      <c r="AO498" s="7">
        <v>9.86</v>
      </c>
      <c r="AP498" s="7">
        <v>13.02</v>
      </c>
      <c r="AQ498" s="7">
        <v>29.75</v>
      </c>
      <c r="AR498" s="7">
        <v>7.39</v>
      </c>
      <c r="AS498" s="4" t="s">
        <v>303</v>
      </c>
      <c r="AT498" s="7">
        <v>0</v>
      </c>
      <c r="AU498" s="4" t="s">
        <v>597</v>
      </c>
      <c r="AV498" s="4" t="s">
        <v>305</v>
      </c>
      <c r="AW498" s="4" t="s">
        <v>292</v>
      </c>
    </row>
    <row r="499" spans="1:49" s="4" customFormat="1" x14ac:dyDescent="0.25">
      <c r="A499" s="4" t="s">
        <v>11200</v>
      </c>
      <c r="B499" s="4" t="s">
        <v>293</v>
      </c>
      <c r="C499" s="4" t="s">
        <v>595</v>
      </c>
      <c r="D499" s="4" t="s">
        <v>596</v>
      </c>
      <c r="F499" s="4" t="s">
        <v>11462</v>
      </c>
      <c r="G499" s="4" t="s">
        <v>11463</v>
      </c>
      <c r="I499" s="4" t="s">
        <v>296</v>
      </c>
      <c r="J499" s="4" t="s">
        <v>297</v>
      </c>
      <c r="K499" s="4" t="s">
        <v>298</v>
      </c>
      <c r="L499" s="4" t="s">
        <v>299</v>
      </c>
      <c r="M499" s="4" t="s">
        <v>300</v>
      </c>
      <c r="N499" s="4" t="s">
        <v>11198</v>
      </c>
      <c r="O499" s="5">
        <v>262.11099999999999</v>
      </c>
      <c r="P499" s="6">
        <v>1</v>
      </c>
      <c r="Q499" s="7">
        <v>9.25</v>
      </c>
      <c r="R499" s="7">
        <v>18</v>
      </c>
      <c r="S499" s="4" t="s">
        <v>301</v>
      </c>
      <c r="T499" s="4" t="s">
        <v>302</v>
      </c>
      <c r="U499" s="5">
        <v>360.29</v>
      </c>
      <c r="V499" s="6">
        <v>0.45</v>
      </c>
      <c r="W499" s="7">
        <v>1.5</v>
      </c>
      <c r="X499" s="5">
        <v>120.631</v>
      </c>
      <c r="Y499" s="4" t="s">
        <v>292</v>
      </c>
      <c r="Z499" s="6">
        <v>1</v>
      </c>
      <c r="AA499" s="6">
        <v>1</v>
      </c>
      <c r="AB499" s="5">
        <v>120.631</v>
      </c>
      <c r="AC499" s="6">
        <v>1</v>
      </c>
      <c r="AD499" s="6">
        <v>1</v>
      </c>
      <c r="AE499" s="5">
        <v>120.631</v>
      </c>
      <c r="AF499" s="7">
        <v>10</v>
      </c>
      <c r="AG499" s="7">
        <v>18</v>
      </c>
      <c r="AH499" s="7">
        <v>9.25</v>
      </c>
      <c r="AI499" s="7">
        <v>0</v>
      </c>
      <c r="AJ499" s="7">
        <v>0</v>
      </c>
      <c r="AK499" s="8">
        <v>44115.513379629629</v>
      </c>
      <c r="AL499" s="7">
        <v>16.21</v>
      </c>
      <c r="AM499" s="7">
        <v>100</v>
      </c>
      <c r="AN499" s="7">
        <v>0</v>
      </c>
      <c r="AO499" s="7">
        <v>29.18</v>
      </c>
      <c r="AP499" s="7">
        <v>15</v>
      </c>
      <c r="AQ499" s="7">
        <v>0</v>
      </c>
      <c r="AR499" s="7">
        <v>2.68</v>
      </c>
      <c r="AS499" s="4" t="s">
        <v>303</v>
      </c>
      <c r="AT499" s="7">
        <v>0</v>
      </c>
      <c r="AU499" s="4" t="s">
        <v>597</v>
      </c>
      <c r="AV499" s="4" t="s">
        <v>305</v>
      </c>
      <c r="AW499" s="4" t="s">
        <v>292</v>
      </c>
    </row>
    <row r="500" spans="1:49" s="4" customFormat="1" x14ac:dyDescent="0.25">
      <c r="A500" s="4" t="s">
        <v>11207</v>
      </c>
      <c r="B500" s="4" t="s">
        <v>293</v>
      </c>
      <c r="C500" s="4" t="s">
        <v>595</v>
      </c>
      <c r="D500" s="4" t="s">
        <v>596</v>
      </c>
      <c r="F500" s="4" t="s">
        <v>11236</v>
      </c>
      <c r="G500" s="4" t="s">
        <v>11237</v>
      </c>
      <c r="I500" s="4" t="s">
        <v>296</v>
      </c>
      <c r="J500" s="4" t="s">
        <v>297</v>
      </c>
      <c r="K500" s="4" t="s">
        <v>298</v>
      </c>
      <c r="L500" s="4" t="s">
        <v>299</v>
      </c>
      <c r="M500" s="4" t="s">
        <v>300</v>
      </c>
      <c r="N500" s="4" t="s">
        <v>11238</v>
      </c>
      <c r="O500" s="5">
        <v>120.63</v>
      </c>
      <c r="P500" s="6">
        <v>1</v>
      </c>
      <c r="Q500" s="7">
        <v>9.25</v>
      </c>
      <c r="R500" s="7">
        <v>7</v>
      </c>
      <c r="S500" s="4" t="s">
        <v>301</v>
      </c>
      <c r="T500" s="4" t="s">
        <v>302</v>
      </c>
      <c r="U500" s="5">
        <v>144.036</v>
      </c>
      <c r="V500" s="6">
        <v>0.25</v>
      </c>
      <c r="W500" s="7">
        <v>3</v>
      </c>
      <c r="X500" s="5">
        <v>48.469000000000001</v>
      </c>
      <c r="Y500" s="4" t="s">
        <v>292</v>
      </c>
      <c r="Z500" s="6">
        <v>4</v>
      </c>
      <c r="AA500" s="6">
        <v>1</v>
      </c>
      <c r="AB500" s="5">
        <v>193.876</v>
      </c>
      <c r="AC500" s="6">
        <v>1</v>
      </c>
      <c r="AD500" s="6">
        <v>1</v>
      </c>
      <c r="AE500" s="5">
        <v>193.876</v>
      </c>
      <c r="AF500" s="5">
        <v>193.876</v>
      </c>
      <c r="AG500" s="7">
        <v>7</v>
      </c>
      <c r="AH500" s="7">
        <v>0</v>
      </c>
      <c r="AI500" s="7">
        <v>17</v>
      </c>
      <c r="AJ500" s="7">
        <v>0</v>
      </c>
      <c r="AK500" s="8">
        <v>44115.540277777778</v>
      </c>
      <c r="AL500" s="7">
        <v>3.6</v>
      </c>
      <c r="AM500" s="7">
        <v>100</v>
      </c>
      <c r="AN500" s="7">
        <v>0</v>
      </c>
      <c r="AO500" s="7">
        <v>2.52</v>
      </c>
      <c r="AP500" s="7">
        <v>0</v>
      </c>
      <c r="AQ500" s="7">
        <v>7.45</v>
      </c>
      <c r="AR500" s="7">
        <v>1.41</v>
      </c>
      <c r="AS500" s="4" t="s">
        <v>303</v>
      </c>
      <c r="AT500" s="7">
        <v>0</v>
      </c>
      <c r="AU500" s="4" t="s">
        <v>597</v>
      </c>
      <c r="AV500" s="4" t="s">
        <v>305</v>
      </c>
    </row>
    <row r="501" spans="1:49" s="4" customFormat="1" x14ac:dyDescent="0.25">
      <c r="A501" s="4" t="s">
        <v>11201</v>
      </c>
      <c r="B501" s="4" t="s">
        <v>293</v>
      </c>
      <c r="C501" s="4" t="s">
        <v>598</v>
      </c>
      <c r="D501" s="4" t="s">
        <v>599</v>
      </c>
      <c r="F501" s="4" t="s">
        <v>11462</v>
      </c>
      <c r="G501" s="4" t="s">
        <v>11463</v>
      </c>
      <c r="I501" s="4" t="s">
        <v>296</v>
      </c>
      <c r="J501" s="4" t="s">
        <v>297</v>
      </c>
      <c r="K501" s="4" t="s">
        <v>298</v>
      </c>
      <c r="L501" s="4" t="s">
        <v>299</v>
      </c>
      <c r="M501" s="4" t="s">
        <v>300</v>
      </c>
      <c r="N501" s="4" t="s">
        <v>11198</v>
      </c>
      <c r="O501" s="5">
        <v>287.88900000000001</v>
      </c>
      <c r="P501" s="6">
        <v>1</v>
      </c>
      <c r="Q501" s="7">
        <v>9.25</v>
      </c>
      <c r="R501" s="7">
        <v>12</v>
      </c>
      <c r="S501" s="4" t="s">
        <v>301</v>
      </c>
      <c r="T501" s="4" t="s">
        <v>302</v>
      </c>
      <c r="U501" s="5">
        <v>365.57299999999998</v>
      </c>
      <c r="V501" s="6">
        <v>0.45</v>
      </c>
      <c r="W501" s="7">
        <v>1.5</v>
      </c>
      <c r="X501" s="5">
        <v>132.268</v>
      </c>
      <c r="Y501" s="4" t="s">
        <v>292</v>
      </c>
      <c r="Z501" s="6">
        <v>1</v>
      </c>
      <c r="AA501" s="6">
        <v>1</v>
      </c>
      <c r="AB501" s="5">
        <v>132.268</v>
      </c>
      <c r="AC501" s="6">
        <v>1</v>
      </c>
      <c r="AD501" s="6">
        <v>1</v>
      </c>
      <c r="AE501" s="5">
        <v>132.268</v>
      </c>
      <c r="AF501" s="7">
        <v>10</v>
      </c>
      <c r="AG501" s="7">
        <v>12</v>
      </c>
      <c r="AH501" s="7">
        <v>9.25</v>
      </c>
      <c r="AI501" s="7">
        <v>0</v>
      </c>
      <c r="AJ501" s="7">
        <v>0</v>
      </c>
      <c r="AK501" s="8">
        <v>44115.521145833336</v>
      </c>
      <c r="AL501" s="7">
        <v>16.45</v>
      </c>
      <c r="AM501" s="7">
        <v>100</v>
      </c>
      <c r="AN501" s="7">
        <v>0</v>
      </c>
      <c r="AO501" s="7">
        <v>19.739999999999998</v>
      </c>
      <c r="AP501" s="7">
        <v>15.21</v>
      </c>
      <c r="AQ501" s="7">
        <v>0</v>
      </c>
      <c r="AR501" s="7">
        <v>2.71</v>
      </c>
      <c r="AS501" s="4" t="s">
        <v>303</v>
      </c>
      <c r="AT501" s="7">
        <v>0</v>
      </c>
      <c r="AU501" s="4" t="s">
        <v>600</v>
      </c>
      <c r="AV501" s="4" t="s">
        <v>305</v>
      </c>
      <c r="AW501" s="4" t="s">
        <v>292</v>
      </c>
    </row>
    <row r="502" spans="1:49" s="4" customFormat="1" x14ac:dyDescent="0.25">
      <c r="A502" s="4" t="s">
        <v>11199</v>
      </c>
      <c r="B502" s="4" t="s">
        <v>293</v>
      </c>
      <c r="C502" s="4" t="s">
        <v>598</v>
      </c>
      <c r="D502" s="4" t="s">
        <v>599</v>
      </c>
      <c r="F502" s="4" t="s">
        <v>11462</v>
      </c>
      <c r="G502" s="4" t="s">
        <v>11463</v>
      </c>
      <c r="I502" s="4" t="s">
        <v>296</v>
      </c>
      <c r="J502" s="4" t="s">
        <v>297</v>
      </c>
      <c r="K502" s="4" t="s">
        <v>298</v>
      </c>
      <c r="L502" s="4" t="s">
        <v>299</v>
      </c>
      <c r="M502" s="4" t="s">
        <v>300</v>
      </c>
      <c r="N502" s="4" t="s">
        <v>11198</v>
      </c>
      <c r="O502" s="5">
        <v>287.88600000000002</v>
      </c>
      <c r="P502" s="6">
        <v>1</v>
      </c>
      <c r="Q502" s="7">
        <v>9.25</v>
      </c>
      <c r="R502" s="7">
        <v>7</v>
      </c>
      <c r="S502" s="4" t="s">
        <v>301</v>
      </c>
      <c r="T502" s="4" t="s">
        <v>302</v>
      </c>
      <c r="U502" s="5">
        <v>343.74400000000003</v>
      </c>
      <c r="V502" s="6">
        <v>0.45</v>
      </c>
      <c r="W502" s="7">
        <v>2</v>
      </c>
      <c r="X502" s="5">
        <v>132.94499999999999</v>
      </c>
      <c r="Y502" s="4" t="s">
        <v>292</v>
      </c>
      <c r="Z502" s="6">
        <v>1</v>
      </c>
      <c r="AA502" s="6">
        <v>1</v>
      </c>
      <c r="AB502" s="5">
        <v>132.94499999999999</v>
      </c>
      <c r="AC502" s="6">
        <v>1</v>
      </c>
      <c r="AD502" s="6">
        <v>1</v>
      </c>
      <c r="AE502" s="5">
        <v>132.94499999999999</v>
      </c>
      <c r="AF502" s="7">
        <v>10</v>
      </c>
      <c r="AG502" s="7">
        <v>7</v>
      </c>
      <c r="AH502" s="7">
        <v>9.25</v>
      </c>
      <c r="AI502" s="7">
        <v>0</v>
      </c>
      <c r="AJ502" s="7">
        <v>0</v>
      </c>
      <c r="AK502" s="8">
        <v>44115.529733796298</v>
      </c>
      <c r="AL502" s="7">
        <v>15.47</v>
      </c>
      <c r="AM502" s="7">
        <v>100</v>
      </c>
      <c r="AN502" s="7">
        <v>0</v>
      </c>
      <c r="AO502" s="7">
        <v>10.83</v>
      </c>
      <c r="AP502" s="7">
        <v>14.31</v>
      </c>
      <c r="AQ502" s="7">
        <v>0</v>
      </c>
      <c r="AR502" s="7">
        <v>3.4</v>
      </c>
      <c r="AS502" s="4" t="s">
        <v>303</v>
      </c>
      <c r="AT502" s="7">
        <v>0</v>
      </c>
      <c r="AU502" s="4" t="s">
        <v>600</v>
      </c>
      <c r="AV502" s="4" t="s">
        <v>305</v>
      </c>
      <c r="AW502" s="4" t="s">
        <v>292</v>
      </c>
    </row>
    <row r="503" spans="1:49" s="4" customFormat="1" x14ac:dyDescent="0.25">
      <c r="A503" s="4" t="s">
        <v>395</v>
      </c>
      <c r="B503" s="4" t="s">
        <v>293</v>
      </c>
      <c r="C503" s="4" t="s">
        <v>598</v>
      </c>
      <c r="D503" s="4" t="s">
        <v>599</v>
      </c>
      <c r="F503" s="4" t="s">
        <v>11462</v>
      </c>
      <c r="G503" s="4" t="s">
        <v>11463</v>
      </c>
      <c r="I503" s="4" t="s">
        <v>296</v>
      </c>
      <c r="J503" s="4" t="s">
        <v>297</v>
      </c>
      <c r="K503" s="4" t="s">
        <v>298</v>
      </c>
      <c r="L503" s="4" t="s">
        <v>299</v>
      </c>
      <c r="M503" s="4" t="s">
        <v>300</v>
      </c>
      <c r="N503" s="4" t="s">
        <v>447</v>
      </c>
      <c r="O503" s="5">
        <v>287.88600000000002</v>
      </c>
      <c r="P503" s="6">
        <v>1</v>
      </c>
      <c r="Q503" s="7">
        <v>9.25</v>
      </c>
      <c r="R503" s="7">
        <v>7</v>
      </c>
      <c r="S503" s="4" t="s">
        <v>301</v>
      </c>
      <c r="T503" s="4" t="s">
        <v>302</v>
      </c>
      <c r="U503" s="5">
        <v>343.74400000000003</v>
      </c>
      <c r="V503" s="6">
        <v>0.45</v>
      </c>
      <c r="W503" s="7">
        <v>4</v>
      </c>
      <c r="X503" s="5">
        <v>181.16499999999999</v>
      </c>
      <c r="Y503" s="4" t="s">
        <v>292</v>
      </c>
      <c r="Z503" s="6">
        <v>1</v>
      </c>
      <c r="AA503" s="6">
        <v>0.75265599999999999</v>
      </c>
      <c r="AB503" s="5">
        <v>181.16499999999999</v>
      </c>
      <c r="AC503" s="6">
        <v>1</v>
      </c>
      <c r="AD503" s="6">
        <v>0.75265599999999999</v>
      </c>
      <c r="AE503" s="5">
        <v>181.16499999999999</v>
      </c>
      <c r="AF503" s="7">
        <v>10</v>
      </c>
      <c r="AG503" s="7">
        <v>7</v>
      </c>
      <c r="AH503" s="7">
        <v>9.25</v>
      </c>
      <c r="AI503" s="7">
        <v>17</v>
      </c>
      <c r="AJ503" s="7">
        <v>0</v>
      </c>
      <c r="AK503" s="8">
        <v>44115.529733796298</v>
      </c>
      <c r="AL503" s="7">
        <v>15.47</v>
      </c>
      <c r="AM503" s="7">
        <v>100</v>
      </c>
      <c r="AN503" s="7">
        <v>0</v>
      </c>
      <c r="AO503" s="7">
        <v>10.83</v>
      </c>
      <c r="AP503" s="7">
        <v>14.31</v>
      </c>
      <c r="AQ503" s="7">
        <v>32.68</v>
      </c>
      <c r="AR503" s="7">
        <v>8.11</v>
      </c>
      <c r="AS503" s="4" t="s">
        <v>303</v>
      </c>
      <c r="AT503" s="7">
        <v>0</v>
      </c>
      <c r="AU503" s="4" t="s">
        <v>600</v>
      </c>
      <c r="AV503" s="4" t="s">
        <v>305</v>
      </c>
      <c r="AW503" s="4" t="s">
        <v>292</v>
      </c>
    </row>
    <row r="504" spans="1:49" s="4" customFormat="1" x14ac:dyDescent="0.25">
      <c r="A504" s="4" t="s">
        <v>11200</v>
      </c>
      <c r="B504" s="4" t="s">
        <v>293</v>
      </c>
      <c r="C504" s="4" t="s">
        <v>598</v>
      </c>
      <c r="D504" s="4" t="s">
        <v>599</v>
      </c>
      <c r="F504" s="4" t="s">
        <v>11462</v>
      </c>
      <c r="G504" s="4" t="s">
        <v>11463</v>
      </c>
      <c r="I504" s="4" t="s">
        <v>296</v>
      </c>
      <c r="J504" s="4" t="s">
        <v>297</v>
      </c>
      <c r="K504" s="4" t="s">
        <v>298</v>
      </c>
      <c r="L504" s="4" t="s">
        <v>299</v>
      </c>
      <c r="M504" s="4" t="s">
        <v>300</v>
      </c>
      <c r="N504" s="4" t="s">
        <v>11198</v>
      </c>
      <c r="O504" s="5">
        <v>287.88600000000002</v>
      </c>
      <c r="P504" s="6">
        <v>1</v>
      </c>
      <c r="Q504" s="7">
        <v>9.25</v>
      </c>
      <c r="R504" s="7">
        <v>18</v>
      </c>
      <c r="S504" s="4" t="s">
        <v>301</v>
      </c>
      <c r="T504" s="4" t="s">
        <v>302</v>
      </c>
      <c r="U504" s="5">
        <v>395.72</v>
      </c>
      <c r="V504" s="6">
        <v>0.45</v>
      </c>
      <c r="W504" s="7">
        <v>1.5</v>
      </c>
      <c r="X504" s="5">
        <v>132.494</v>
      </c>
      <c r="Y504" s="4" t="s">
        <v>292</v>
      </c>
      <c r="Z504" s="6">
        <v>1</v>
      </c>
      <c r="AA504" s="6">
        <v>1</v>
      </c>
      <c r="AB504" s="5">
        <v>132.494</v>
      </c>
      <c r="AC504" s="6">
        <v>1</v>
      </c>
      <c r="AD504" s="6">
        <v>1</v>
      </c>
      <c r="AE504" s="5">
        <v>132.494</v>
      </c>
      <c r="AF504" s="7">
        <v>10</v>
      </c>
      <c r="AG504" s="7">
        <v>18</v>
      </c>
      <c r="AH504" s="7">
        <v>9.25</v>
      </c>
      <c r="AI504" s="7">
        <v>0</v>
      </c>
      <c r="AJ504" s="7">
        <v>0</v>
      </c>
      <c r="AK504" s="8">
        <v>44115.513414351852</v>
      </c>
      <c r="AL504" s="7">
        <v>17.809999999999999</v>
      </c>
      <c r="AM504" s="7">
        <v>100</v>
      </c>
      <c r="AN504" s="7">
        <v>0</v>
      </c>
      <c r="AO504" s="7">
        <v>32.049999999999997</v>
      </c>
      <c r="AP504" s="7">
        <v>16.47</v>
      </c>
      <c r="AQ504" s="7">
        <v>0</v>
      </c>
      <c r="AR504" s="7">
        <v>2.94</v>
      </c>
      <c r="AS504" s="4" t="s">
        <v>303</v>
      </c>
      <c r="AT504" s="7">
        <v>0</v>
      </c>
      <c r="AU504" s="4" t="s">
        <v>600</v>
      </c>
      <c r="AV504" s="4" t="s">
        <v>305</v>
      </c>
      <c r="AW504" s="4" t="s">
        <v>292</v>
      </c>
    </row>
    <row r="505" spans="1:49" s="4" customFormat="1" x14ac:dyDescent="0.25">
      <c r="A505" s="4" t="s">
        <v>11207</v>
      </c>
      <c r="B505" s="4" t="s">
        <v>293</v>
      </c>
      <c r="C505" s="4" t="s">
        <v>598</v>
      </c>
      <c r="D505" s="4" t="s">
        <v>599</v>
      </c>
      <c r="F505" s="4" t="s">
        <v>11236</v>
      </c>
      <c r="G505" s="4" t="s">
        <v>11237</v>
      </c>
      <c r="I505" s="4" t="s">
        <v>296</v>
      </c>
      <c r="J505" s="4" t="s">
        <v>297</v>
      </c>
      <c r="K505" s="4" t="s">
        <v>298</v>
      </c>
      <c r="L505" s="4" t="s">
        <v>299</v>
      </c>
      <c r="M505" s="4" t="s">
        <v>300</v>
      </c>
      <c r="N505" s="4" t="s">
        <v>11238</v>
      </c>
      <c r="O505" s="5">
        <v>132.49</v>
      </c>
      <c r="P505" s="6">
        <v>1</v>
      </c>
      <c r="Q505" s="7">
        <v>9.25</v>
      </c>
      <c r="R505" s="7">
        <v>7</v>
      </c>
      <c r="S505" s="4" t="s">
        <v>301</v>
      </c>
      <c r="T505" s="4" t="s">
        <v>302</v>
      </c>
      <c r="U505" s="5">
        <v>158.197</v>
      </c>
      <c r="V505" s="6">
        <v>0.25</v>
      </c>
      <c r="W505" s="7">
        <v>3</v>
      </c>
      <c r="X505" s="5">
        <v>53.238999999999997</v>
      </c>
      <c r="Y505" s="4" t="s">
        <v>292</v>
      </c>
      <c r="Z505" s="6">
        <v>4</v>
      </c>
      <c r="AA505" s="6">
        <v>1</v>
      </c>
      <c r="AB505" s="5">
        <v>212.95599999999999</v>
      </c>
      <c r="AC505" s="6">
        <v>1</v>
      </c>
      <c r="AD505" s="6">
        <v>1</v>
      </c>
      <c r="AE505" s="5">
        <v>212.95599999999999</v>
      </c>
      <c r="AF505" s="5">
        <v>212.95599999999999</v>
      </c>
      <c r="AG505" s="7">
        <v>7</v>
      </c>
      <c r="AH505" s="7">
        <v>0</v>
      </c>
      <c r="AI505" s="7">
        <v>17</v>
      </c>
      <c r="AJ505" s="7">
        <v>0</v>
      </c>
      <c r="AK505" s="8">
        <v>44115.540532407409</v>
      </c>
      <c r="AL505" s="7">
        <v>3.96</v>
      </c>
      <c r="AM505" s="7">
        <v>100</v>
      </c>
      <c r="AN505" s="7">
        <v>0</v>
      </c>
      <c r="AO505" s="7">
        <v>2.77</v>
      </c>
      <c r="AP505" s="7">
        <v>0</v>
      </c>
      <c r="AQ505" s="7">
        <v>8.18</v>
      </c>
      <c r="AR505" s="7">
        <v>1.55</v>
      </c>
      <c r="AS505" s="4" t="s">
        <v>303</v>
      </c>
      <c r="AT505" s="7">
        <v>0</v>
      </c>
      <c r="AU505" s="4" t="s">
        <v>600</v>
      </c>
      <c r="AV505" s="4" t="s">
        <v>305</v>
      </c>
    </row>
    <row r="506" spans="1:49" s="4" customFormat="1" x14ac:dyDescent="0.25">
      <c r="A506" s="4" t="s">
        <v>11201</v>
      </c>
      <c r="B506" s="4" t="s">
        <v>293</v>
      </c>
      <c r="C506" s="4" t="s">
        <v>601</v>
      </c>
      <c r="D506" s="4" t="s">
        <v>602</v>
      </c>
      <c r="F506" s="4" t="s">
        <v>11462</v>
      </c>
      <c r="G506" s="4" t="s">
        <v>11463</v>
      </c>
      <c r="I506" s="4" t="s">
        <v>296</v>
      </c>
      <c r="J506" s="4" t="s">
        <v>297</v>
      </c>
      <c r="K506" s="4" t="s">
        <v>298</v>
      </c>
      <c r="L506" s="4" t="s">
        <v>322</v>
      </c>
      <c r="M506" s="4" t="s">
        <v>300</v>
      </c>
      <c r="N506" s="4" t="s">
        <v>11198</v>
      </c>
      <c r="O506" s="5">
        <v>354.20100000000002</v>
      </c>
      <c r="P506" s="6">
        <v>1</v>
      </c>
      <c r="Q506" s="7">
        <v>9.25</v>
      </c>
      <c r="R506" s="7">
        <v>12</v>
      </c>
      <c r="S506" s="4" t="s">
        <v>301</v>
      </c>
      <c r="T506" s="4" t="s">
        <v>302</v>
      </c>
      <c r="U506" s="5">
        <v>449.779</v>
      </c>
      <c r="V506" s="6">
        <v>0.45</v>
      </c>
      <c r="W506" s="7">
        <v>1.5</v>
      </c>
      <c r="X506" s="5">
        <v>162.73099999999999</v>
      </c>
      <c r="Y506" s="4" t="s">
        <v>292</v>
      </c>
      <c r="Z506" s="6">
        <v>1</v>
      </c>
      <c r="AA506" s="6">
        <v>1</v>
      </c>
      <c r="AB506" s="5">
        <v>162.73099999999999</v>
      </c>
      <c r="AC506" s="6">
        <v>1</v>
      </c>
      <c r="AD506" s="6">
        <v>1</v>
      </c>
      <c r="AE506" s="5">
        <v>162.73099999999999</v>
      </c>
      <c r="AF506" s="7">
        <v>10</v>
      </c>
      <c r="AG506" s="7">
        <v>12</v>
      </c>
      <c r="AH506" s="7">
        <v>9.25</v>
      </c>
      <c r="AI506" s="7">
        <v>0</v>
      </c>
      <c r="AJ506" s="7">
        <v>0</v>
      </c>
      <c r="AK506" s="8">
        <v>44115.521192129629</v>
      </c>
      <c r="AL506" s="7">
        <v>20.239999999999998</v>
      </c>
      <c r="AM506" s="7">
        <v>100</v>
      </c>
      <c r="AN506" s="7">
        <v>0</v>
      </c>
      <c r="AO506" s="7">
        <v>24.29</v>
      </c>
      <c r="AP506" s="7">
        <v>18.72</v>
      </c>
      <c r="AQ506" s="7">
        <v>0</v>
      </c>
      <c r="AR506" s="7">
        <v>3.34</v>
      </c>
      <c r="AS506" s="4" t="s">
        <v>303</v>
      </c>
      <c r="AT506" s="7">
        <v>0</v>
      </c>
      <c r="AU506" s="4" t="s">
        <v>603</v>
      </c>
      <c r="AV506" s="4" t="s">
        <v>305</v>
      </c>
      <c r="AW506" s="4" t="s">
        <v>292</v>
      </c>
    </row>
    <row r="507" spans="1:49" s="4" customFormat="1" x14ac:dyDescent="0.25">
      <c r="A507" s="4" t="s">
        <v>11199</v>
      </c>
      <c r="B507" s="4" t="s">
        <v>293</v>
      </c>
      <c r="C507" s="4" t="s">
        <v>601</v>
      </c>
      <c r="D507" s="4" t="s">
        <v>602</v>
      </c>
      <c r="F507" s="4" t="s">
        <v>11462</v>
      </c>
      <c r="G507" s="4" t="s">
        <v>11463</v>
      </c>
      <c r="I507" s="4" t="s">
        <v>296</v>
      </c>
      <c r="J507" s="4" t="s">
        <v>297</v>
      </c>
      <c r="K507" s="4" t="s">
        <v>298</v>
      </c>
      <c r="L507" s="4" t="s">
        <v>322</v>
      </c>
      <c r="M507" s="4" t="s">
        <v>300</v>
      </c>
      <c r="N507" s="4" t="s">
        <v>11198</v>
      </c>
      <c r="O507" s="5">
        <v>354.19799999999998</v>
      </c>
      <c r="P507" s="6">
        <v>1</v>
      </c>
      <c r="Q507" s="7">
        <v>9.25</v>
      </c>
      <c r="R507" s="7">
        <v>7</v>
      </c>
      <c r="S507" s="4" t="s">
        <v>301</v>
      </c>
      <c r="T507" s="4" t="s">
        <v>302</v>
      </c>
      <c r="U507" s="5">
        <v>422.923</v>
      </c>
      <c r="V507" s="6">
        <v>0.45</v>
      </c>
      <c r="W507" s="7">
        <v>2</v>
      </c>
      <c r="X507" s="5">
        <v>163.58500000000001</v>
      </c>
      <c r="Y507" s="4" t="s">
        <v>292</v>
      </c>
      <c r="Z507" s="6">
        <v>1</v>
      </c>
      <c r="AA507" s="6">
        <v>1</v>
      </c>
      <c r="AB507" s="5">
        <v>163.58500000000001</v>
      </c>
      <c r="AC507" s="6">
        <v>1</v>
      </c>
      <c r="AD507" s="6">
        <v>1</v>
      </c>
      <c r="AE507" s="5">
        <v>163.58500000000001</v>
      </c>
      <c r="AF507" s="7">
        <v>10</v>
      </c>
      <c r="AG507" s="7">
        <v>7</v>
      </c>
      <c r="AH507" s="7">
        <v>9.25</v>
      </c>
      <c r="AI507" s="7">
        <v>0</v>
      </c>
      <c r="AJ507" s="7">
        <v>0</v>
      </c>
      <c r="AK507" s="8">
        <v>44115.529756944445</v>
      </c>
      <c r="AL507" s="7">
        <v>19.03</v>
      </c>
      <c r="AM507" s="7">
        <v>100</v>
      </c>
      <c r="AN507" s="7">
        <v>0</v>
      </c>
      <c r="AO507" s="7">
        <v>13.32</v>
      </c>
      <c r="AP507" s="7">
        <v>17.600000000000001</v>
      </c>
      <c r="AQ507" s="7">
        <v>0</v>
      </c>
      <c r="AR507" s="7">
        <v>4.1900000000000004</v>
      </c>
      <c r="AS507" s="4" t="s">
        <v>303</v>
      </c>
      <c r="AT507" s="7">
        <v>0</v>
      </c>
      <c r="AU507" s="4" t="s">
        <v>603</v>
      </c>
      <c r="AV507" s="4" t="s">
        <v>305</v>
      </c>
      <c r="AW507" s="4" t="s">
        <v>292</v>
      </c>
    </row>
    <row r="508" spans="1:49" s="4" customFormat="1" x14ac:dyDescent="0.25">
      <c r="A508" s="4" t="s">
        <v>395</v>
      </c>
      <c r="B508" s="4" t="s">
        <v>293</v>
      </c>
      <c r="C508" s="4" t="s">
        <v>601</v>
      </c>
      <c r="D508" s="4" t="s">
        <v>602</v>
      </c>
      <c r="F508" s="4" t="s">
        <v>11462</v>
      </c>
      <c r="G508" s="4" t="s">
        <v>11463</v>
      </c>
      <c r="I508" s="4" t="s">
        <v>296</v>
      </c>
      <c r="J508" s="4" t="s">
        <v>297</v>
      </c>
      <c r="K508" s="4" t="s">
        <v>298</v>
      </c>
      <c r="L508" s="4" t="s">
        <v>322</v>
      </c>
      <c r="M508" s="4" t="s">
        <v>300</v>
      </c>
      <c r="N508" s="4" t="s">
        <v>447</v>
      </c>
      <c r="O508" s="5">
        <v>354.19799999999998</v>
      </c>
      <c r="P508" s="6">
        <v>1</v>
      </c>
      <c r="Q508" s="7">
        <v>9.25</v>
      </c>
      <c r="R508" s="7">
        <v>7</v>
      </c>
      <c r="S508" s="4" t="s">
        <v>301</v>
      </c>
      <c r="T508" s="4" t="s">
        <v>302</v>
      </c>
      <c r="U508" s="5">
        <v>422.923</v>
      </c>
      <c r="V508" s="6">
        <v>0.45</v>
      </c>
      <c r="W508" s="7">
        <v>4</v>
      </c>
      <c r="X508" s="5">
        <v>222.89500000000001</v>
      </c>
      <c r="Y508" s="4" t="s">
        <v>292</v>
      </c>
      <c r="Z508" s="6">
        <v>1</v>
      </c>
      <c r="AA508" s="6">
        <v>0.752664</v>
      </c>
      <c r="AB508" s="5">
        <v>222.89500000000001</v>
      </c>
      <c r="AC508" s="6">
        <v>1</v>
      </c>
      <c r="AD508" s="6">
        <v>0.752664</v>
      </c>
      <c r="AE508" s="5">
        <v>222.89500000000001</v>
      </c>
      <c r="AF508" s="7">
        <v>10</v>
      </c>
      <c r="AG508" s="7">
        <v>7</v>
      </c>
      <c r="AH508" s="7">
        <v>9.25</v>
      </c>
      <c r="AI508" s="7">
        <v>17</v>
      </c>
      <c r="AJ508" s="7">
        <v>0</v>
      </c>
      <c r="AK508" s="8">
        <v>44115.529768518521</v>
      </c>
      <c r="AL508" s="7">
        <v>19.03</v>
      </c>
      <c r="AM508" s="7">
        <v>100</v>
      </c>
      <c r="AN508" s="7">
        <v>0</v>
      </c>
      <c r="AO508" s="7">
        <v>13.32</v>
      </c>
      <c r="AP508" s="7">
        <v>17.600000000000001</v>
      </c>
      <c r="AQ508" s="7">
        <v>40.200000000000003</v>
      </c>
      <c r="AR508" s="7">
        <v>9.98</v>
      </c>
      <c r="AS508" s="4" t="s">
        <v>303</v>
      </c>
      <c r="AT508" s="7">
        <v>0</v>
      </c>
      <c r="AU508" s="4" t="s">
        <v>603</v>
      </c>
      <c r="AV508" s="4" t="s">
        <v>305</v>
      </c>
      <c r="AW508" s="4" t="s">
        <v>292</v>
      </c>
    </row>
    <row r="509" spans="1:49" s="4" customFormat="1" x14ac:dyDescent="0.25">
      <c r="A509" s="4" t="s">
        <v>11200</v>
      </c>
      <c r="B509" s="4" t="s">
        <v>293</v>
      </c>
      <c r="C509" s="4" t="s">
        <v>601</v>
      </c>
      <c r="D509" s="4" t="s">
        <v>602</v>
      </c>
      <c r="F509" s="4" t="s">
        <v>11462</v>
      </c>
      <c r="G509" s="4" t="s">
        <v>11463</v>
      </c>
      <c r="I509" s="4" t="s">
        <v>296</v>
      </c>
      <c r="J509" s="4" t="s">
        <v>297</v>
      </c>
      <c r="K509" s="4" t="s">
        <v>298</v>
      </c>
      <c r="L509" s="4" t="s">
        <v>322</v>
      </c>
      <c r="M509" s="4" t="s">
        <v>300</v>
      </c>
      <c r="N509" s="4" t="s">
        <v>11198</v>
      </c>
      <c r="O509" s="5">
        <v>354.19799999999998</v>
      </c>
      <c r="P509" s="6">
        <v>1</v>
      </c>
      <c r="Q509" s="7">
        <v>9.25</v>
      </c>
      <c r="R509" s="7">
        <v>18</v>
      </c>
      <c r="S509" s="4" t="s">
        <v>301</v>
      </c>
      <c r="T509" s="4" t="s">
        <v>302</v>
      </c>
      <c r="U509" s="5">
        <v>486.87</v>
      </c>
      <c r="V509" s="6">
        <v>0.45</v>
      </c>
      <c r="W509" s="7">
        <v>1.5</v>
      </c>
      <c r="X509" s="5">
        <v>163.012</v>
      </c>
      <c r="Y509" s="4" t="s">
        <v>292</v>
      </c>
      <c r="Z509" s="6">
        <v>1</v>
      </c>
      <c r="AA509" s="6">
        <v>1</v>
      </c>
      <c r="AB509" s="5">
        <v>163.012</v>
      </c>
      <c r="AC509" s="6">
        <v>1</v>
      </c>
      <c r="AD509" s="6">
        <v>1</v>
      </c>
      <c r="AE509" s="5">
        <v>163.012</v>
      </c>
      <c r="AF509" s="7">
        <v>10</v>
      </c>
      <c r="AG509" s="7">
        <v>18</v>
      </c>
      <c r="AH509" s="7">
        <v>9.25</v>
      </c>
      <c r="AI509" s="7">
        <v>0</v>
      </c>
      <c r="AJ509" s="7">
        <v>0</v>
      </c>
      <c r="AK509" s="8">
        <v>44115.513425925928</v>
      </c>
      <c r="AL509" s="7">
        <v>21.91</v>
      </c>
      <c r="AM509" s="7">
        <v>100</v>
      </c>
      <c r="AN509" s="7">
        <v>0</v>
      </c>
      <c r="AO509" s="7">
        <v>39.44</v>
      </c>
      <c r="AP509" s="7">
        <v>20.260000000000002</v>
      </c>
      <c r="AQ509" s="7">
        <v>0</v>
      </c>
      <c r="AR509" s="7">
        <v>3.62</v>
      </c>
      <c r="AS509" s="4" t="s">
        <v>303</v>
      </c>
      <c r="AT509" s="7">
        <v>0</v>
      </c>
      <c r="AU509" s="4" t="s">
        <v>603</v>
      </c>
      <c r="AV509" s="4" t="s">
        <v>305</v>
      </c>
      <c r="AW509" s="4" t="s">
        <v>292</v>
      </c>
    </row>
    <row r="510" spans="1:49" s="4" customFormat="1" x14ac:dyDescent="0.25">
      <c r="A510" s="4" t="s">
        <v>11207</v>
      </c>
      <c r="B510" s="4" t="s">
        <v>293</v>
      </c>
      <c r="C510" s="4" t="s">
        <v>601</v>
      </c>
      <c r="D510" s="4" t="s">
        <v>602</v>
      </c>
      <c r="F510" s="4" t="s">
        <v>11236</v>
      </c>
      <c r="G510" s="4" t="s">
        <v>11237</v>
      </c>
      <c r="I510" s="4" t="s">
        <v>296</v>
      </c>
      <c r="J510" s="4" t="s">
        <v>297</v>
      </c>
      <c r="K510" s="4" t="s">
        <v>298</v>
      </c>
      <c r="L510" s="4" t="s">
        <v>322</v>
      </c>
      <c r="M510" s="4" t="s">
        <v>300</v>
      </c>
      <c r="N510" s="4" t="s">
        <v>11238</v>
      </c>
      <c r="O510" s="5">
        <v>163.01</v>
      </c>
      <c r="P510" s="6">
        <v>1</v>
      </c>
      <c r="Q510" s="7">
        <v>9.25</v>
      </c>
      <c r="R510" s="7">
        <v>7</v>
      </c>
      <c r="S510" s="4" t="s">
        <v>301</v>
      </c>
      <c r="T510" s="4" t="s">
        <v>302</v>
      </c>
      <c r="U510" s="5">
        <v>194.63900000000001</v>
      </c>
      <c r="V510" s="6">
        <v>0.25</v>
      </c>
      <c r="W510" s="7">
        <v>3</v>
      </c>
      <c r="X510" s="5">
        <v>65.5</v>
      </c>
      <c r="Y510" s="4" t="s">
        <v>292</v>
      </c>
      <c r="Z510" s="6">
        <v>4</v>
      </c>
      <c r="AA510" s="6">
        <v>1</v>
      </c>
      <c r="AB510" s="5">
        <v>262</v>
      </c>
      <c r="AC510" s="6">
        <v>1</v>
      </c>
      <c r="AD510" s="6">
        <v>1</v>
      </c>
      <c r="AE510" s="5">
        <v>262</v>
      </c>
      <c r="AF510" s="5">
        <v>262</v>
      </c>
      <c r="AG510" s="7">
        <v>7</v>
      </c>
      <c r="AH510" s="7">
        <v>0</v>
      </c>
      <c r="AI510" s="7">
        <v>17</v>
      </c>
      <c r="AJ510" s="7">
        <v>0</v>
      </c>
      <c r="AK510" s="8">
        <v>44115.540532407409</v>
      </c>
      <c r="AL510" s="7">
        <v>4.87</v>
      </c>
      <c r="AM510" s="7">
        <v>100</v>
      </c>
      <c r="AN510" s="7">
        <v>0</v>
      </c>
      <c r="AO510" s="7">
        <v>3.41</v>
      </c>
      <c r="AP510" s="7">
        <v>0</v>
      </c>
      <c r="AQ510" s="7">
        <v>10.06</v>
      </c>
      <c r="AR510" s="7">
        <v>1.91</v>
      </c>
      <c r="AS510" s="4" t="s">
        <v>303</v>
      </c>
      <c r="AT510" s="7">
        <v>0</v>
      </c>
      <c r="AU510" s="4" t="s">
        <v>603</v>
      </c>
      <c r="AV510" s="4" t="s">
        <v>305</v>
      </c>
    </row>
    <row r="511" spans="1:49" s="4" customFormat="1" x14ac:dyDescent="0.25">
      <c r="A511" s="4" t="s">
        <v>11201</v>
      </c>
      <c r="B511" s="4" t="s">
        <v>293</v>
      </c>
      <c r="C511" s="4" t="s">
        <v>604</v>
      </c>
      <c r="D511" s="4" t="s">
        <v>605</v>
      </c>
      <c r="F511" s="4" t="s">
        <v>11462</v>
      </c>
      <c r="G511" s="4" t="s">
        <v>11463</v>
      </c>
      <c r="I511" s="4" t="s">
        <v>296</v>
      </c>
      <c r="J511" s="4" t="s">
        <v>297</v>
      </c>
      <c r="K511" s="4" t="s">
        <v>298</v>
      </c>
      <c r="L511" s="4" t="s">
        <v>322</v>
      </c>
      <c r="M511" s="4" t="s">
        <v>300</v>
      </c>
      <c r="N511" s="4" t="s">
        <v>11198</v>
      </c>
      <c r="O511" s="5">
        <v>650.75300000000004</v>
      </c>
      <c r="P511" s="6">
        <v>1</v>
      </c>
      <c r="Q511" s="7">
        <v>9.25</v>
      </c>
      <c r="R511" s="7">
        <v>12</v>
      </c>
      <c r="S511" s="4" t="s">
        <v>301</v>
      </c>
      <c r="T511" s="4" t="s">
        <v>302</v>
      </c>
      <c r="U511" s="5">
        <v>826.35299999999995</v>
      </c>
      <c r="V511" s="6">
        <v>0.45</v>
      </c>
      <c r="W511" s="7">
        <v>1.5</v>
      </c>
      <c r="X511" s="5">
        <v>298.97899999999998</v>
      </c>
      <c r="Y511" s="4" t="s">
        <v>292</v>
      </c>
      <c r="Z511" s="6">
        <v>1</v>
      </c>
      <c r="AA511" s="6">
        <v>1</v>
      </c>
      <c r="AB511" s="5">
        <v>298.97899999999998</v>
      </c>
      <c r="AC511" s="6">
        <v>1</v>
      </c>
      <c r="AD511" s="6">
        <v>1</v>
      </c>
      <c r="AE511" s="5">
        <v>298.97899999999998</v>
      </c>
      <c r="AF511" s="7">
        <v>10</v>
      </c>
      <c r="AG511" s="7">
        <v>12</v>
      </c>
      <c r="AH511" s="7">
        <v>9.25</v>
      </c>
      <c r="AI511" s="7">
        <v>0</v>
      </c>
      <c r="AJ511" s="7">
        <v>0</v>
      </c>
      <c r="AK511" s="8">
        <v>44115.521192129629</v>
      </c>
      <c r="AL511" s="7">
        <v>37.19</v>
      </c>
      <c r="AM511" s="7">
        <v>100</v>
      </c>
      <c r="AN511" s="7">
        <v>0</v>
      </c>
      <c r="AO511" s="7">
        <v>44.62</v>
      </c>
      <c r="AP511" s="7">
        <v>34.4</v>
      </c>
      <c r="AQ511" s="7">
        <v>0</v>
      </c>
      <c r="AR511" s="7">
        <v>6.14</v>
      </c>
      <c r="AS511" s="4" t="s">
        <v>303</v>
      </c>
      <c r="AT511" s="7">
        <v>0</v>
      </c>
      <c r="AU511" s="4" t="s">
        <v>606</v>
      </c>
      <c r="AV511" s="4" t="s">
        <v>305</v>
      </c>
      <c r="AW511" s="4" t="s">
        <v>292</v>
      </c>
    </row>
    <row r="512" spans="1:49" s="4" customFormat="1" x14ac:dyDescent="0.25">
      <c r="A512" s="4" t="s">
        <v>11199</v>
      </c>
      <c r="B512" s="4" t="s">
        <v>293</v>
      </c>
      <c r="C512" s="4" t="s">
        <v>604</v>
      </c>
      <c r="D512" s="4" t="s">
        <v>605</v>
      </c>
      <c r="F512" s="4" t="s">
        <v>11462</v>
      </c>
      <c r="G512" s="4" t="s">
        <v>11463</v>
      </c>
      <c r="I512" s="4" t="s">
        <v>296</v>
      </c>
      <c r="J512" s="4" t="s">
        <v>297</v>
      </c>
      <c r="K512" s="4" t="s">
        <v>298</v>
      </c>
      <c r="L512" s="4" t="s">
        <v>322</v>
      </c>
      <c r="M512" s="4" t="s">
        <v>300</v>
      </c>
      <c r="N512" s="4" t="s">
        <v>11198</v>
      </c>
      <c r="O512" s="5">
        <v>650.75599999999997</v>
      </c>
      <c r="P512" s="6">
        <v>1</v>
      </c>
      <c r="Q512" s="7">
        <v>9.25</v>
      </c>
      <c r="R512" s="7">
        <v>7</v>
      </c>
      <c r="S512" s="4" t="s">
        <v>301</v>
      </c>
      <c r="T512" s="4" t="s">
        <v>302</v>
      </c>
      <c r="U512" s="5">
        <v>777.02200000000005</v>
      </c>
      <c r="V512" s="6">
        <v>0.45</v>
      </c>
      <c r="W512" s="7">
        <v>2</v>
      </c>
      <c r="X512" s="5">
        <v>300.52999999999997</v>
      </c>
      <c r="Y512" s="4" t="s">
        <v>292</v>
      </c>
      <c r="Z512" s="6">
        <v>1</v>
      </c>
      <c r="AA512" s="6">
        <v>1</v>
      </c>
      <c r="AB512" s="5">
        <v>300.52999999999997</v>
      </c>
      <c r="AC512" s="6">
        <v>1</v>
      </c>
      <c r="AD512" s="6">
        <v>1</v>
      </c>
      <c r="AE512" s="5">
        <v>300.52999999999997</v>
      </c>
      <c r="AF512" s="7">
        <v>10</v>
      </c>
      <c r="AG512" s="7">
        <v>7</v>
      </c>
      <c r="AH512" s="7">
        <v>9.25</v>
      </c>
      <c r="AI512" s="7">
        <v>0</v>
      </c>
      <c r="AJ512" s="7">
        <v>0</v>
      </c>
      <c r="AK512" s="8">
        <v>44115.529768518521</v>
      </c>
      <c r="AL512" s="7">
        <v>34.97</v>
      </c>
      <c r="AM512" s="7">
        <v>100</v>
      </c>
      <c r="AN512" s="7">
        <v>0</v>
      </c>
      <c r="AO512" s="7">
        <v>24.48</v>
      </c>
      <c r="AP512" s="7">
        <v>32.340000000000003</v>
      </c>
      <c r="AQ512" s="7">
        <v>0</v>
      </c>
      <c r="AR512" s="7">
        <v>7.69</v>
      </c>
      <c r="AS512" s="4" t="s">
        <v>303</v>
      </c>
      <c r="AT512" s="7">
        <v>0</v>
      </c>
      <c r="AU512" s="4" t="s">
        <v>606</v>
      </c>
      <c r="AV512" s="4" t="s">
        <v>305</v>
      </c>
      <c r="AW512" s="4" t="s">
        <v>292</v>
      </c>
    </row>
    <row r="513" spans="1:49" s="4" customFormat="1" x14ac:dyDescent="0.25">
      <c r="A513" s="4" t="s">
        <v>395</v>
      </c>
      <c r="B513" s="4" t="s">
        <v>293</v>
      </c>
      <c r="C513" s="4" t="s">
        <v>604</v>
      </c>
      <c r="D513" s="4" t="s">
        <v>605</v>
      </c>
      <c r="F513" s="4" t="s">
        <v>11462</v>
      </c>
      <c r="G513" s="4" t="s">
        <v>11463</v>
      </c>
      <c r="I513" s="4" t="s">
        <v>296</v>
      </c>
      <c r="J513" s="4" t="s">
        <v>297</v>
      </c>
      <c r="K513" s="4" t="s">
        <v>298</v>
      </c>
      <c r="L513" s="4" t="s">
        <v>322</v>
      </c>
      <c r="M513" s="4" t="s">
        <v>300</v>
      </c>
      <c r="N513" s="4" t="s">
        <v>447</v>
      </c>
      <c r="O513" s="5">
        <v>650.75599999999997</v>
      </c>
      <c r="P513" s="6">
        <v>1</v>
      </c>
      <c r="Q513" s="7">
        <v>9.25</v>
      </c>
      <c r="R513" s="7">
        <v>7</v>
      </c>
      <c r="S513" s="4" t="s">
        <v>301</v>
      </c>
      <c r="T513" s="4" t="s">
        <v>302</v>
      </c>
      <c r="U513" s="5">
        <v>777.02200000000005</v>
      </c>
      <c r="V513" s="6">
        <v>0.45</v>
      </c>
      <c r="W513" s="7">
        <v>4</v>
      </c>
      <c r="X513" s="5">
        <v>409.52</v>
      </c>
      <c r="Y513" s="4" t="s">
        <v>292</v>
      </c>
      <c r="Z513" s="6">
        <v>1</v>
      </c>
      <c r="AA513" s="6">
        <v>0.75266200000000005</v>
      </c>
      <c r="AB513" s="5">
        <v>409.52</v>
      </c>
      <c r="AC513" s="6">
        <v>1</v>
      </c>
      <c r="AD513" s="6">
        <v>0.75266200000000005</v>
      </c>
      <c r="AE513" s="5">
        <v>409.52</v>
      </c>
      <c r="AF513" s="7">
        <v>10</v>
      </c>
      <c r="AG513" s="7">
        <v>7</v>
      </c>
      <c r="AH513" s="7">
        <v>9.25</v>
      </c>
      <c r="AI513" s="7">
        <v>17</v>
      </c>
      <c r="AJ513" s="7">
        <v>0</v>
      </c>
      <c r="AK513" s="8">
        <v>44115.529768518521</v>
      </c>
      <c r="AL513" s="7">
        <v>34.97</v>
      </c>
      <c r="AM513" s="7">
        <v>100</v>
      </c>
      <c r="AN513" s="7">
        <v>0</v>
      </c>
      <c r="AO513" s="7">
        <v>24.48</v>
      </c>
      <c r="AP513" s="7">
        <v>32.340000000000003</v>
      </c>
      <c r="AQ513" s="7">
        <v>73.86</v>
      </c>
      <c r="AR513" s="7">
        <v>18.34</v>
      </c>
      <c r="AS513" s="4" t="s">
        <v>303</v>
      </c>
      <c r="AT513" s="7">
        <v>0</v>
      </c>
      <c r="AU513" s="4" t="s">
        <v>606</v>
      </c>
      <c r="AV513" s="4" t="s">
        <v>305</v>
      </c>
      <c r="AW513" s="4" t="s">
        <v>292</v>
      </c>
    </row>
    <row r="514" spans="1:49" s="4" customFormat="1" x14ac:dyDescent="0.25">
      <c r="A514" s="4" t="s">
        <v>11200</v>
      </c>
      <c r="B514" s="4" t="s">
        <v>293</v>
      </c>
      <c r="C514" s="4" t="s">
        <v>604</v>
      </c>
      <c r="D514" s="4" t="s">
        <v>605</v>
      </c>
      <c r="F514" s="4" t="s">
        <v>11462</v>
      </c>
      <c r="G514" s="4" t="s">
        <v>11463</v>
      </c>
      <c r="I514" s="4" t="s">
        <v>296</v>
      </c>
      <c r="J514" s="4" t="s">
        <v>297</v>
      </c>
      <c r="K514" s="4" t="s">
        <v>298</v>
      </c>
      <c r="L514" s="4" t="s">
        <v>322</v>
      </c>
      <c r="M514" s="4" t="s">
        <v>300</v>
      </c>
      <c r="N514" s="4" t="s">
        <v>11198</v>
      </c>
      <c r="O514" s="5">
        <v>650.75599999999997</v>
      </c>
      <c r="P514" s="6">
        <v>1</v>
      </c>
      <c r="Q514" s="7">
        <v>9.25</v>
      </c>
      <c r="R514" s="7">
        <v>18</v>
      </c>
      <c r="S514" s="4" t="s">
        <v>301</v>
      </c>
      <c r="T514" s="4" t="s">
        <v>302</v>
      </c>
      <c r="U514" s="5">
        <v>894.51</v>
      </c>
      <c r="V514" s="6">
        <v>0.45</v>
      </c>
      <c r="W514" s="7">
        <v>1.5</v>
      </c>
      <c r="X514" s="5">
        <v>299.49</v>
      </c>
      <c r="Y514" s="4" t="s">
        <v>292</v>
      </c>
      <c r="Z514" s="6">
        <v>1</v>
      </c>
      <c r="AA514" s="6">
        <v>1</v>
      </c>
      <c r="AB514" s="5">
        <v>299.49</v>
      </c>
      <c r="AC514" s="6">
        <v>1</v>
      </c>
      <c r="AD514" s="6">
        <v>1</v>
      </c>
      <c r="AE514" s="5">
        <v>299.49</v>
      </c>
      <c r="AF514" s="7">
        <v>10</v>
      </c>
      <c r="AG514" s="7">
        <v>18</v>
      </c>
      <c r="AH514" s="7">
        <v>9.25</v>
      </c>
      <c r="AI514" s="7">
        <v>0</v>
      </c>
      <c r="AJ514" s="7">
        <v>0</v>
      </c>
      <c r="AK514" s="8">
        <v>44115.513425925928</v>
      </c>
      <c r="AL514" s="7">
        <v>40.25</v>
      </c>
      <c r="AM514" s="7">
        <v>100</v>
      </c>
      <c r="AN514" s="7">
        <v>0</v>
      </c>
      <c r="AO514" s="7">
        <v>72.45</v>
      </c>
      <c r="AP514" s="7">
        <v>37.229999999999997</v>
      </c>
      <c r="AQ514" s="7">
        <v>0</v>
      </c>
      <c r="AR514" s="7">
        <v>6.64</v>
      </c>
      <c r="AS514" s="4" t="s">
        <v>303</v>
      </c>
      <c r="AT514" s="7">
        <v>0</v>
      </c>
      <c r="AU514" s="4" t="s">
        <v>606</v>
      </c>
      <c r="AV514" s="4" t="s">
        <v>305</v>
      </c>
      <c r="AW514" s="4" t="s">
        <v>292</v>
      </c>
    </row>
    <row r="515" spans="1:49" s="4" customFormat="1" x14ac:dyDescent="0.25">
      <c r="A515" s="4" t="s">
        <v>11207</v>
      </c>
      <c r="B515" s="4" t="s">
        <v>293</v>
      </c>
      <c r="C515" s="4" t="s">
        <v>604</v>
      </c>
      <c r="D515" s="4" t="s">
        <v>605</v>
      </c>
      <c r="F515" s="4" t="s">
        <v>11236</v>
      </c>
      <c r="G515" s="4" t="s">
        <v>11237</v>
      </c>
      <c r="I515" s="4" t="s">
        <v>296</v>
      </c>
      <c r="J515" s="4" t="s">
        <v>297</v>
      </c>
      <c r="K515" s="4" t="s">
        <v>298</v>
      </c>
      <c r="L515" s="4" t="s">
        <v>322</v>
      </c>
      <c r="M515" s="4" t="s">
        <v>300</v>
      </c>
      <c r="N515" s="4" t="s">
        <v>11238</v>
      </c>
      <c r="O515" s="5">
        <v>299.49</v>
      </c>
      <c r="P515" s="6">
        <v>1</v>
      </c>
      <c r="Q515" s="7">
        <v>9.25</v>
      </c>
      <c r="R515" s="7">
        <v>7</v>
      </c>
      <c r="S515" s="4" t="s">
        <v>301</v>
      </c>
      <c r="T515" s="4" t="s">
        <v>302</v>
      </c>
      <c r="U515" s="5">
        <v>357.6</v>
      </c>
      <c r="V515" s="6">
        <v>0.25</v>
      </c>
      <c r="W515" s="7">
        <v>3</v>
      </c>
      <c r="X515" s="5">
        <v>120.32</v>
      </c>
      <c r="Y515" s="4" t="s">
        <v>292</v>
      </c>
      <c r="Z515" s="6">
        <v>4</v>
      </c>
      <c r="AA515" s="6">
        <v>1</v>
      </c>
      <c r="AB515" s="5">
        <v>481.28</v>
      </c>
      <c r="AC515" s="6">
        <v>1</v>
      </c>
      <c r="AD515" s="6">
        <v>1</v>
      </c>
      <c r="AE515" s="5">
        <v>481.28</v>
      </c>
      <c r="AF515" s="5">
        <v>481.28</v>
      </c>
      <c r="AG515" s="7">
        <v>7</v>
      </c>
      <c r="AH515" s="7">
        <v>0</v>
      </c>
      <c r="AI515" s="7">
        <v>17</v>
      </c>
      <c r="AJ515" s="7">
        <v>0</v>
      </c>
      <c r="AK515" s="8">
        <v>44115.540532407409</v>
      </c>
      <c r="AL515" s="7">
        <v>8.94</v>
      </c>
      <c r="AM515" s="7">
        <v>100</v>
      </c>
      <c r="AN515" s="7">
        <v>0</v>
      </c>
      <c r="AO515" s="7">
        <v>6.26</v>
      </c>
      <c r="AP515" s="7">
        <v>0</v>
      </c>
      <c r="AQ515" s="7">
        <v>18.48</v>
      </c>
      <c r="AR515" s="7">
        <v>3.5</v>
      </c>
      <c r="AS515" s="4" t="s">
        <v>303</v>
      </c>
      <c r="AT515" s="7">
        <v>0</v>
      </c>
      <c r="AU515" s="4" t="s">
        <v>606</v>
      </c>
      <c r="AV515" s="4" t="s">
        <v>305</v>
      </c>
    </row>
    <row r="516" spans="1:49" s="4" customFormat="1" x14ac:dyDescent="0.25">
      <c r="A516" s="4" t="s">
        <v>11201</v>
      </c>
      <c r="B516" s="4" t="s">
        <v>293</v>
      </c>
      <c r="C516" s="4" t="s">
        <v>607</v>
      </c>
      <c r="D516" s="4" t="s">
        <v>608</v>
      </c>
      <c r="F516" s="4" t="s">
        <v>11462</v>
      </c>
      <c r="G516" s="4" t="s">
        <v>11463</v>
      </c>
      <c r="I516" s="4" t="s">
        <v>296</v>
      </c>
      <c r="J516" s="4" t="s">
        <v>297</v>
      </c>
      <c r="K516" s="4" t="s">
        <v>298</v>
      </c>
      <c r="L516" s="4" t="s">
        <v>299</v>
      </c>
      <c r="M516" s="4" t="s">
        <v>300</v>
      </c>
      <c r="N516" s="4" t="s">
        <v>11198</v>
      </c>
      <c r="O516" s="5">
        <v>141.416</v>
      </c>
      <c r="P516" s="6">
        <v>1</v>
      </c>
      <c r="Q516" s="7">
        <v>9.25</v>
      </c>
      <c r="R516" s="7">
        <v>12</v>
      </c>
      <c r="S516" s="4" t="s">
        <v>301</v>
      </c>
      <c r="T516" s="4" t="s">
        <v>302</v>
      </c>
      <c r="U516" s="5">
        <v>179.57599999999999</v>
      </c>
      <c r="V516" s="6">
        <v>0.45</v>
      </c>
      <c r="W516" s="7">
        <v>1.5</v>
      </c>
      <c r="X516" s="5">
        <v>64.968999999999994</v>
      </c>
      <c r="Y516" s="4" t="s">
        <v>292</v>
      </c>
      <c r="Z516" s="6">
        <v>1</v>
      </c>
      <c r="AA516" s="6">
        <v>1</v>
      </c>
      <c r="AB516" s="5">
        <v>64.968999999999994</v>
      </c>
      <c r="AC516" s="6">
        <v>1</v>
      </c>
      <c r="AD516" s="6">
        <v>1</v>
      </c>
      <c r="AE516" s="5">
        <v>64.968999999999994</v>
      </c>
      <c r="AF516" s="7">
        <v>10</v>
      </c>
      <c r="AG516" s="7">
        <v>12</v>
      </c>
      <c r="AH516" s="7">
        <v>9.25</v>
      </c>
      <c r="AI516" s="7">
        <v>0</v>
      </c>
      <c r="AJ516" s="7">
        <v>0</v>
      </c>
      <c r="AK516" s="8">
        <v>44115.521249999998</v>
      </c>
      <c r="AL516" s="7">
        <v>8.08</v>
      </c>
      <c r="AM516" s="7">
        <v>100</v>
      </c>
      <c r="AN516" s="7">
        <v>0</v>
      </c>
      <c r="AO516" s="7">
        <v>9.6999999999999993</v>
      </c>
      <c r="AP516" s="7">
        <v>7.47</v>
      </c>
      <c r="AQ516" s="7">
        <v>0</v>
      </c>
      <c r="AR516" s="7">
        <v>1.33</v>
      </c>
      <c r="AS516" s="4" t="s">
        <v>303</v>
      </c>
      <c r="AT516" s="7">
        <v>0</v>
      </c>
      <c r="AU516" s="4" t="s">
        <v>609</v>
      </c>
      <c r="AV516" s="4" t="s">
        <v>305</v>
      </c>
      <c r="AW516" s="4" t="s">
        <v>292</v>
      </c>
    </row>
    <row r="517" spans="1:49" s="4" customFormat="1" x14ac:dyDescent="0.25">
      <c r="A517" s="4" t="s">
        <v>11199</v>
      </c>
      <c r="B517" s="4" t="s">
        <v>293</v>
      </c>
      <c r="C517" s="4" t="s">
        <v>607</v>
      </c>
      <c r="D517" s="4" t="s">
        <v>608</v>
      </c>
      <c r="F517" s="4" t="s">
        <v>11462</v>
      </c>
      <c r="G517" s="4" t="s">
        <v>11463</v>
      </c>
      <c r="I517" s="4" t="s">
        <v>296</v>
      </c>
      <c r="J517" s="4" t="s">
        <v>297</v>
      </c>
      <c r="K517" s="4" t="s">
        <v>298</v>
      </c>
      <c r="L517" s="4" t="s">
        <v>299</v>
      </c>
      <c r="M517" s="4" t="s">
        <v>300</v>
      </c>
      <c r="N517" s="4" t="s">
        <v>11198</v>
      </c>
      <c r="O517" s="5">
        <v>141.41900000000001</v>
      </c>
      <c r="P517" s="6">
        <v>1</v>
      </c>
      <c r="Q517" s="7">
        <v>9.25</v>
      </c>
      <c r="R517" s="7">
        <v>7</v>
      </c>
      <c r="S517" s="4" t="s">
        <v>301</v>
      </c>
      <c r="T517" s="4" t="s">
        <v>302</v>
      </c>
      <c r="U517" s="5">
        <v>168.85900000000001</v>
      </c>
      <c r="V517" s="6">
        <v>0.45</v>
      </c>
      <c r="W517" s="7">
        <v>2</v>
      </c>
      <c r="X517" s="5">
        <v>65.307000000000002</v>
      </c>
      <c r="Y517" s="4" t="s">
        <v>292</v>
      </c>
      <c r="Z517" s="6">
        <v>1</v>
      </c>
      <c r="AA517" s="6">
        <v>1</v>
      </c>
      <c r="AB517" s="5">
        <v>65.307000000000002</v>
      </c>
      <c r="AC517" s="6">
        <v>1</v>
      </c>
      <c r="AD517" s="6">
        <v>1</v>
      </c>
      <c r="AE517" s="5">
        <v>65.307000000000002</v>
      </c>
      <c r="AF517" s="7">
        <v>10</v>
      </c>
      <c r="AG517" s="7">
        <v>7</v>
      </c>
      <c r="AH517" s="7">
        <v>9.25</v>
      </c>
      <c r="AI517" s="7">
        <v>0</v>
      </c>
      <c r="AJ517" s="7">
        <v>0</v>
      </c>
      <c r="AK517" s="8">
        <v>44115.52983796296</v>
      </c>
      <c r="AL517" s="7">
        <v>7.6</v>
      </c>
      <c r="AM517" s="7">
        <v>100</v>
      </c>
      <c r="AN517" s="7">
        <v>0</v>
      </c>
      <c r="AO517" s="7">
        <v>5.32</v>
      </c>
      <c r="AP517" s="7">
        <v>7.03</v>
      </c>
      <c r="AQ517" s="7">
        <v>0</v>
      </c>
      <c r="AR517" s="7">
        <v>1.67</v>
      </c>
      <c r="AS517" s="4" t="s">
        <v>303</v>
      </c>
      <c r="AT517" s="7">
        <v>0</v>
      </c>
      <c r="AU517" s="4" t="s">
        <v>609</v>
      </c>
      <c r="AV517" s="4" t="s">
        <v>305</v>
      </c>
      <c r="AW517" s="4" t="s">
        <v>292</v>
      </c>
    </row>
    <row r="518" spans="1:49" s="4" customFormat="1" x14ac:dyDescent="0.25">
      <c r="A518" s="4" t="s">
        <v>395</v>
      </c>
      <c r="B518" s="4" t="s">
        <v>293</v>
      </c>
      <c r="C518" s="4" t="s">
        <v>607</v>
      </c>
      <c r="D518" s="4" t="s">
        <v>608</v>
      </c>
      <c r="F518" s="4" t="s">
        <v>11462</v>
      </c>
      <c r="G518" s="4" t="s">
        <v>11463</v>
      </c>
      <c r="I518" s="4" t="s">
        <v>296</v>
      </c>
      <c r="J518" s="4" t="s">
        <v>297</v>
      </c>
      <c r="K518" s="4" t="s">
        <v>298</v>
      </c>
      <c r="L518" s="4" t="s">
        <v>299</v>
      </c>
      <c r="M518" s="4" t="s">
        <v>300</v>
      </c>
      <c r="N518" s="4" t="s">
        <v>447</v>
      </c>
      <c r="O518" s="5">
        <v>141.41900000000001</v>
      </c>
      <c r="P518" s="6">
        <v>1</v>
      </c>
      <c r="Q518" s="7">
        <v>9.25</v>
      </c>
      <c r="R518" s="7">
        <v>7</v>
      </c>
      <c r="S518" s="4" t="s">
        <v>301</v>
      </c>
      <c r="T518" s="4" t="s">
        <v>302</v>
      </c>
      <c r="U518" s="5">
        <v>168.85900000000001</v>
      </c>
      <c r="V518" s="6">
        <v>0.45</v>
      </c>
      <c r="W518" s="7">
        <v>4</v>
      </c>
      <c r="X518" s="5">
        <v>88.997</v>
      </c>
      <c r="Y518" s="4" t="s">
        <v>292</v>
      </c>
      <c r="Z518" s="6">
        <v>1</v>
      </c>
      <c r="AA518" s="6">
        <v>0.75257600000000002</v>
      </c>
      <c r="AB518" s="5">
        <v>88.997</v>
      </c>
      <c r="AC518" s="6">
        <v>1</v>
      </c>
      <c r="AD518" s="6">
        <v>0.75257600000000002</v>
      </c>
      <c r="AE518" s="5">
        <v>88.997</v>
      </c>
      <c r="AF518" s="7">
        <v>10</v>
      </c>
      <c r="AG518" s="7">
        <v>7</v>
      </c>
      <c r="AH518" s="7">
        <v>9.25</v>
      </c>
      <c r="AI518" s="7">
        <v>17</v>
      </c>
      <c r="AJ518" s="7">
        <v>0</v>
      </c>
      <c r="AK518" s="8">
        <v>44115.52983796296</v>
      </c>
      <c r="AL518" s="7">
        <v>7.6</v>
      </c>
      <c r="AM518" s="7">
        <v>100</v>
      </c>
      <c r="AN518" s="7">
        <v>0</v>
      </c>
      <c r="AO518" s="7">
        <v>5.32</v>
      </c>
      <c r="AP518" s="7">
        <v>7.03</v>
      </c>
      <c r="AQ518" s="7">
        <v>16.05</v>
      </c>
      <c r="AR518" s="7">
        <v>3.99</v>
      </c>
      <c r="AS518" s="4" t="s">
        <v>303</v>
      </c>
      <c r="AT518" s="7">
        <v>0</v>
      </c>
      <c r="AU518" s="4" t="s">
        <v>609</v>
      </c>
      <c r="AV518" s="4" t="s">
        <v>305</v>
      </c>
      <c r="AW518" s="4" t="s">
        <v>292</v>
      </c>
    </row>
    <row r="519" spans="1:49" s="4" customFormat="1" x14ac:dyDescent="0.25">
      <c r="A519" s="4" t="s">
        <v>11200</v>
      </c>
      <c r="B519" s="4" t="s">
        <v>293</v>
      </c>
      <c r="C519" s="4" t="s">
        <v>607</v>
      </c>
      <c r="D519" s="4" t="s">
        <v>608</v>
      </c>
      <c r="F519" s="4" t="s">
        <v>11462</v>
      </c>
      <c r="G519" s="4" t="s">
        <v>11463</v>
      </c>
      <c r="I519" s="4" t="s">
        <v>296</v>
      </c>
      <c r="J519" s="4" t="s">
        <v>297</v>
      </c>
      <c r="K519" s="4" t="s">
        <v>298</v>
      </c>
      <c r="L519" s="4" t="s">
        <v>299</v>
      </c>
      <c r="M519" s="4" t="s">
        <v>300</v>
      </c>
      <c r="N519" s="4" t="s">
        <v>11198</v>
      </c>
      <c r="O519" s="5">
        <v>141.41900000000001</v>
      </c>
      <c r="P519" s="6">
        <v>1</v>
      </c>
      <c r="Q519" s="7">
        <v>9.25</v>
      </c>
      <c r="R519" s="7">
        <v>18</v>
      </c>
      <c r="S519" s="4" t="s">
        <v>301</v>
      </c>
      <c r="T519" s="4" t="s">
        <v>302</v>
      </c>
      <c r="U519" s="5">
        <v>194.39</v>
      </c>
      <c r="V519" s="6">
        <v>0.45</v>
      </c>
      <c r="W519" s="7">
        <v>1.5</v>
      </c>
      <c r="X519" s="5">
        <v>65.075999999999993</v>
      </c>
      <c r="Y519" s="4" t="s">
        <v>292</v>
      </c>
      <c r="Z519" s="6">
        <v>1</v>
      </c>
      <c r="AA519" s="6">
        <v>1</v>
      </c>
      <c r="AB519" s="5">
        <v>65.075999999999993</v>
      </c>
      <c r="AC519" s="6">
        <v>1</v>
      </c>
      <c r="AD519" s="6">
        <v>1</v>
      </c>
      <c r="AE519" s="5">
        <v>65.075999999999993</v>
      </c>
      <c r="AF519" s="7">
        <v>10</v>
      </c>
      <c r="AG519" s="7">
        <v>18</v>
      </c>
      <c r="AH519" s="7">
        <v>9.25</v>
      </c>
      <c r="AI519" s="7">
        <v>0</v>
      </c>
      <c r="AJ519" s="7">
        <v>0</v>
      </c>
      <c r="AK519" s="8">
        <v>44115.513449074075</v>
      </c>
      <c r="AL519" s="7">
        <v>8.75</v>
      </c>
      <c r="AM519" s="7">
        <v>100</v>
      </c>
      <c r="AN519" s="7">
        <v>0</v>
      </c>
      <c r="AO519" s="7">
        <v>15.75</v>
      </c>
      <c r="AP519" s="7">
        <v>8.09</v>
      </c>
      <c r="AQ519" s="7">
        <v>0</v>
      </c>
      <c r="AR519" s="7">
        <v>1.44</v>
      </c>
      <c r="AS519" s="4" t="s">
        <v>303</v>
      </c>
      <c r="AT519" s="7">
        <v>0</v>
      </c>
      <c r="AU519" s="4" t="s">
        <v>609</v>
      </c>
      <c r="AV519" s="4" t="s">
        <v>305</v>
      </c>
      <c r="AW519" s="4" t="s">
        <v>292</v>
      </c>
    </row>
    <row r="520" spans="1:49" s="4" customFormat="1" x14ac:dyDescent="0.25">
      <c r="A520" s="4" t="s">
        <v>11207</v>
      </c>
      <c r="B520" s="4" t="s">
        <v>293</v>
      </c>
      <c r="C520" s="4" t="s">
        <v>607</v>
      </c>
      <c r="D520" s="4" t="s">
        <v>608</v>
      </c>
      <c r="F520" s="4" t="s">
        <v>11236</v>
      </c>
      <c r="G520" s="4" t="s">
        <v>11237</v>
      </c>
      <c r="I520" s="4" t="s">
        <v>296</v>
      </c>
      <c r="J520" s="4" t="s">
        <v>297</v>
      </c>
      <c r="K520" s="4" t="s">
        <v>298</v>
      </c>
      <c r="L520" s="4" t="s">
        <v>299</v>
      </c>
      <c r="M520" s="4" t="s">
        <v>300</v>
      </c>
      <c r="N520" s="4" t="s">
        <v>11238</v>
      </c>
      <c r="O520" s="5">
        <v>65.08</v>
      </c>
      <c r="P520" s="6">
        <v>1</v>
      </c>
      <c r="Q520" s="7">
        <v>9.25</v>
      </c>
      <c r="R520" s="7">
        <v>7</v>
      </c>
      <c r="S520" s="4" t="s">
        <v>301</v>
      </c>
      <c r="T520" s="4" t="s">
        <v>302</v>
      </c>
      <c r="U520" s="5">
        <v>77.706999999999994</v>
      </c>
      <c r="V520" s="6">
        <v>0.25</v>
      </c>
      <c r="W520" s="7">
        <v>3</v>
      </c>
      <c r="X520" s="5">
        <v>26.146999999999998</v>
      </c>
      <c r="Y520" s="4" t="s">
        <v>292</v>
      </c>
      <c r="Z520" s="6">
        <v>4</v>
      </c>
      <c r="AA520" s="6">
        <v>1</v>
      </c>
      <c r="AB520" s="5">
        <v>104.58799999999999</v>
      </c>
      <c r="AC520" s="6">
        <v>1</v>
      </c>
      <c r="AD520" s="6">
        <v>1</v>
      </c>
      <c r="AE520" s="5">
        <v>104.58799999999999</v>
      </c>
      <c r="AF520" s="5">
        <v>104.58799999999999</v>
      </c>
      <c r="AG520" s="7">
        <v>7</v>
      </c>
      <c r="AH520" s="7">
        <v>0</v>
      </c>
      <c r="AI520" s="7">
        <v>17</v>
      </c>
      <c r="AJ520" s="7">
        <v>0</v>
      </c>
      <c r="AK520" s="8">
        <v>44115.540567129632</v>
      </c>
      <c r="AL520" s="7">
        <v>1.94</v>
      </c>
      <c r="AM520" s="7">
        <v>100</v>
      </c>
      <c r="AN520" s="7">
        <v>0</v>
      </c>
      <c r="AO520" s="7">
        <v>1.36</v>
      </c>
      <c r="AP520" s="7">
        <v>0</v>
      </c>
      <c r="AQ520" s="7">
        <v>4.0199999999999996</v>
      </c>
      <c r="AR520" s="7">
        <v>0.76</v>
      </c>
      <c r="AS520" s="4" t="s">
        <v>303</v>
      </c>
      <c r="AT520" s="7">
        <v>0</v>
      </c>
      <c r="AU520" s="4" t="s">
        <v>609</v>
      </c>
      <c r="AV520" s="4" t="s">
        <v>305</v>
      </c>
    </row>
    <row r="521" spans="1:49" s="4" customFormat="1" x14ac:dyDescent="0.25">
      <c r="A521" s="4" t="s">
        <v>11201</v>
      </c>
      <c r="B521" s="4" t="s">
        <v>293</v>
      </c>
      <c r="C521" s="4" t="s">
        <v>610</v>
      </c>
      <c r="D521" s="4" t="s">
        <v>611</v>
      </c>
      <c r="F521" s="4" t="s">
        <v>11462</v>
      </c>
      <c r="G521" s="4" t="s">
        <v>11463</v>
      </c>
      <c r="I521" s="4" t="s">
        <v>296</v>
      </c>
      <c r="J521" s="4" t="s">
        <v>297</v>
      </c>
      <c r="K521" s="4" t="s">
        <v>298</v>
      </c>
      <c r="L521" s="4" t="s">
        <v>299</v>
      </c>
      <c r="M521" s="4" t="s">
        <v>300</v>
      </c>
      <c r="N521" s="4" t="s">
        <v>11198</v>
      </c>
      <c r="O521" s="5">
        <v>145.20500000000001</v>
      </c>
      <c r="P521" s="6">
        <v>1</v>
      </c>
      <c r="Q521" s="7">
        <v>9.25</v>
      </c>
      <c r="R521" s="7">
        <v>12</v>
      </c>
      <c r="S521" s="4" t="s">
        <v>301</v>
      </c>
      <c r="T521" s="4" t="s">
        <v>302</v>
      </c>
      <c r="U521" s="5">
        <v>184.387</v>
      </c>
      <c r="V521" s="6">
        <v>0.45</v>
      </c>
      <c r="W521" s="7">
        <v>1.5</v>
      </c>
      <c r="X521" s="5">
        <v>66.703999999999994</v>
      </c>
      <c r="Y521" s="4" t="s">
        <v>292</v>
      </c>
      <c r="Z521" s="6">
        <v>1</v>
      </c>
      <c r="AA521" s="6">
        <v>1</v>
      </c>
      <c r="AB521" s="5">
        <v>66.703999999999994</v>
      </c>
      <c r="AC521" s="6">
        <v>1</v>
      </c>
      <c r="AD521" s="6">
        <v>1</v>
      </c>
      <c r="AE521" s="5">
        <v>66.703999999999994</v>
      </c>
      <c r="AF521" s="7">
        <v>10</v>
      </c>
      <c r="AG521" s="7">
        <v>12</v>
      </c>
      <c r="AH521" s="7">
        <v>9.25</v>
      </c>
      <c r="AI521" s="7">
        <v>0</v>
      </c>
      <c r="AJ521" s="7">
        <v>0</v>
      </c>
      <c r="AK521" s="8">
        <v>44115.521249999998</v>
      </c>
      <c r="AL521" s="7">
        <v>8.3000000000000007</v>
      </c>
      <c r="AM521" s="7">
        <v>100</v>
      </c>
      <c r="AN521" s="7">
        <v>0</v>
      </c>
      <c r="AO521" s="7">
        <v>9.9600000000000009</v>
      </c>
      <c r="AP521" s="7">
        <v>7.68</v>
      </c>
      <c r="AQ521" s="7">
        <v>0</v>
      </c>
      <c r="AR521" s="7">
        <v>1.37</v>
      </c>
      <c r="AS521" s="4" t="s">
        <v>303</v>
      </c>
      <c r="AT521" s="7">
        <v>0</v>
      </c>
      <c r="AU521" s="4" t="s">
        <v>612</v>
      </c>
      <c r="AV521" s="4" t="s">
        <v>305</v>
      </c>
      <c r="AW521" s="4" t="s">
        <v>292</v>
      </c>
    </row>
    <row r="522" spans="1:49" s="4" customFormat="1" x14ac:dyDescent="0.25">
      <c r="A522" s="4" t="s">
        <v>11199</v>
      </c>
      <c r="B522" s="4" t="s">
        <v>293</v>
      </c>
      <c r="C522" s="4" t="s">
        <v>610</v>
      </c>
      <c r="D522" s="4" t="s">
        <v>611</v>
      </c>
      <c r="F522" s="4" t="s">
        <v>11462</v>
      </c>
      <c r="G522" s="4" t="s">
        <v>11463</v>
      </c>
      <c r="I522" s="4" t="s">
        <v>296</v>
      </c>
      <c r="J522" s="4" t="s">
        <v>297</v>
      </c>
      <c r="K522" s="4" t="s">
        <v>298</v>
      </c>
      <c r="L522" s="4" t="s">
        <v>299</v>
      </c>
      <c r="M522" s="4" t="s">
        <v>300</v>
      </c>
      <c r="N522" s="4" t="s">
        <v>11198</v>
      </c>
      <c r="O522" s="5">
        <v>145.202</v>
      </c>
      <c r="P522" s="6">
        <v>1</v>
      </c>
      <c r="Q522" s="7">
        <v>9.25</v>
      </c>
      <c r="R522" s="7">
        <v>7</v>
      </c>
      <c r="S522" s="4" t="s">
        <v>301</v>
      </c>
      <c r="T522" s="4" t="s">
        <v>302</v>
      </c>
      <c r="U522" s="5">
        <v>173.376</v>
      </c>
      <c r="V522" s="6">
        <v>0.45</v>
      </c>
      <c r="W522" s="7">
        <v>2</v>
      </c>
      <c r="X522" s="5">
        <v>67.058999999999997</v>
      </c>
      <c r="Y522" s="4" t="s">
        <v>292</v>
      </c>
      <c r="Z522" s="6">
        <v>1</v>
      </c>
      <c r="AA522" s="6">
        <v>1</v>
      </c>
      <c r="AB522" s="5">
        <v>67.058999999999997</v>
      </c>
      <c r="AC522" s="6">
        <v>1</v>
      </c>
      <c r="AD522" s="6">
        <v>1</v>
      </c>
      <c r="AE522" s="5">
        <v>67.058999999999997</v>
      </c>
      <c r="AF522" s="7">
        <v>10</v>
      </c>
      <c r="AG522" s="7">
        <v>7</v>
      </c>
      <c r="AH522" s="7">
        <v>9.25</v>
      </c>
      <c r="AI522" s="7">
        <v>0</v>
      </c>
      <c r="AJ522" s="7">
        <v>0</v>
      </c>
      <c r="AK522" s="8">
        <v>44115.52983796296</v>
      </c>
      <c r="AL522" s="7">
        <v>7.8</v>
      </c>
      <c r="AM522" s="7">
        <v>100</v>
      </c>
      <c r="AN522" s="7">
        <v>0</v>
      </c>
      <c r="AO522" s="7">
        <v>5.46</v>
      </c>
      <c r="AP522" s="7">
        <v>7.22</v>
      </c>
      <c r="AQ522" s="7">
        <v>0</v>
      </c>
      <c r="AR522" s="7">
        <v>1.72</v>
      </c>
      <c r="AS522" s="4" t="s">
        <v>303</v>
      </c>
      <c r="AT522" s="7">
        <v>0</v>
      </c>
      <c r="AU522" s="4" t="s">
        <v>612</v>
      </c>
      <c r="AV522" s="4" t="s">
        <v>305</v>
      </c>
      <c r="AW522" s="4" t="s">
        <v>292</v>
      </c>
    </row>
    <row r="523" spans="1:49" s="4" customFormat="1" x14ac:dyDescent="0.25">
      <c r="A523" s="4" t="s">
        <v>395</v>
      </c>
      <c r="B523" s="4" t="s">
        <v>293</v>
      </c>
      <c r="C523" s="4" t="s">
        <v>610</v>
      </c>
      <c r="D523" s="4" t="s">
        <v>611</v>
      </c>
      <c r="F523" s="4" t="s">
        <v>11462</v>
      </c>
      <c r="G523" s="4" t="s">
        <v>11463</v>
      </c>
      <c r="I523" s="4" t="s">
        <v>296</v>
      </c>
      <c r="J523" s="4" t="s">
        <v>297</v>
      </c>
      <c r="K523" s="4" t="s">
        <v>298</v>
      </c>
      <c r="L523" s="4" t="s">
        <v>299</v>
      </c>
      <c r="M523" s="4" t="s">
        <v>300</v>
      </c>
      <c r="N523" s="4" t="s">
        <v>447</v>
      </c>
      <c r="O523" s="5">
        <v>145.202</v>
      </c>
      <c r="P523" s="6">
        <v>1</v>
      </c>
      <c r="Q523" s="7">
        <v>9.25</v>
      </c>
      <c r="R523" s="7">
        <v>7</v>
      </c>
      <c r="S523" s="4" t="s">
        <v>301</v>
      </c>
      <c r="T523" s="4" t="s">
        <v>302</v>
      </c>
      <c r="U523" s="5">
        <v>173.376</v>
      </c>
      <c r="V523" s="6">
        <v>0.45</v>
      </c>
      <c r="W523" s="7">
        <v>4</v>
      </c>
      <c r="X523" s="5">
        <v>91.369</v>
      </c>
      <c r="Y523" s="4" t="s">
        <v>292</v>
      </c>
      <c r="Z523" s="6">
        <v>1</v>
      </c>
      <c r="AA523" s="6">
        <v>0.75265099999999996</v>
      </c>
      <c r="AB523" s="5">
        <v>91.369</v>
      </c>
      <c r="AC523" s="6">
        <v>1</v>
      </c>
      <c r="AD523" s="6">
        <v>0.75265099999999996</v>
      </c>
      <c r="AE523" s="5">
        <v>91.369</v>
      </c>
      <c r="AF523" s="7">
        <v>10</v>
      </c>
      <c r="AG523" s="7">
        <v>7</v>
      </c>
      <c r="AH523" s="7">
        <v>9.25</v>
      </c>
      <c r="AI523" s="7">
        <v>17</v>
      </c>
      <c r="AJ523" s="7">
        <v>0</v>
      </c>
      <c r="AK523" s="8">
        <v>44115.52983796296</v>
      </c>
      <c r="AL523" s="7">
        <v>7.8</v>
      </c>
      <c r="AM523" s="7">
        <v>100</v>
      </c>
      <c r="AN523" s="7">
        <v>0</v>
      </c>
      <c r="AO523" s="7">
        <v>5.46</v>
      </c>
      <c r="AP523" s="7">
        <v>7.22</v>
      </c>
      <c r="AQ523" s="7">
        <v>16.48</v>
      </c>
      <c r="AR523" s="7">
        <v>4.09</v>
      </c>
      <c r="AS523" s="4" t="s">
        <v>303</v>
      </c>
      <c r="AT523" s="7">
        <v>0</v>
      </c>
      <c r="AU523" s="4" t="s">
        <v>612</v>
      </c>
      <c r="AV523" s="4" t="s">
        <v>305</v>
      </c>
      <c r="AW523" s="4" t="s">
        <v>292</v>
      </c>
    </row>
    <row r="524" spans="1:49" s="4" customFormat="1" x14ac:dyDescent="0.25">
      <c r="A524" s="4" t="s">
        <v>11200</v>
      </c>
      <c r="B524" s="4" t="s">
        <v>293</v>
      </c>
      <c r="C524" s="4" t="s">
        <v>610</v>
      </c>
      <c r="D524" s="4" t="s">
        <v>611</v>
      </c>
      <c r="F524" s="4" t="s">
        <v>11462</v>
      </c>
      <c r="G524" s="4" t="s">
        <v>11463</v>
      </c>
      <c r="I524" s="4" t="s">
        <v>296</v>
      </c>
      <c r="J524" s="4" t="s">
        <v>297</v>
      </c>
      <c r="K524" s="4" t="s">
        <v>298</v>
      </c>
      <c r="L524" s="4" t="s">
        <v>299</v>
      </c>
      <c r="M524" s="4" t="s">
        <v>300</v>
      </c>
      <c r="N524" s="4" t="s">
        <v>11198</v>
      </c>
      <c r="O524" s="5">
        <v>145.202</v>
      </c>
      <c r="P524" s="6">
        <v>1</v>
      </c>
      <c r="Q524" s="7">
        <v>9.25</v>
      </c>
      <c r="R524" s="7">
        <v>18</v>
      </c>
      <c r="S524" s="4" t="s">
        <v>301</v>
      </c>
      <c r="T524" s="4" t="s">
        <v>302</v>
      </c>
      <c r="U524" s="5">
        <v>199.59</v>
      </c>
      <c r="V524" s="6">
        <v>0.45</v>
      </c>
      <c r="W524" s="7">
        <v>1.5</v>
      </c>
      <c r="X524" s="5">
        <v>66.816000000000003</v>
      </c>
      <c r="Y524" s="4" t="s">
        <v>292</v>
      </c>
      <c r="Z524" s="6">
        <v>1</v>
      </c>
      <c r="AA524" s="6">
        <v>1</v>
      </c>
      <c r="AB524" s="5">
        <v>66.816000000000003</v>
      </c>
      <c r="AC524" s="6">
        <v>1</v>
      </c>
      <c r="AD524" s="6">
        <v>1</v>
      </c>
      <c r="AE524" s="5">
        <v>66.816000000000003</v>
      </c>
      <c r="AF524" s="7">
        <v>10</v>
      </c>
      <c r="AG524" s="7">
        <v>18</v>
      </c>
      <c r="AH524" s="7">
        <v>9.25</v>
      </c>
      <c r="AI524" s="7">
        <v>0</v>
      </c>
      <c r="AJ524" s="7">
        <v>0</v>
      </c>
      <c r="AK524" s="8">
        <v>44115.513449074075</v>
      </c>
      <c r="AL524" s="7">
        <v>8.98</v>
      </c>
      <c r="AM524" s="7">
        <v>100</v>
      </c>
      <c r="AN524" s="7">
        <v>0</v>
      </c>
      <c r="AO524" s="7">
        <v>16.170000000000002</v>
      </c>
      <c r="AP524" s="7">
        <v>8.31</v>
      </c>
      <c r="AQ524" s="7">
        <v>0</v>
      </c>
      <c r="AR524" s="7">
        <v>1.48</v>
      </c>
      <c r="AS524" s="4" t="s">
        <v>303</v>
      </c>
      <c r="AT524" s="7">
        <v>0</v>
      </c>
      <c r="AU524" s="4" t="s">
        <v>612</v>
      </c>
      <c r="AV524" s="4" t="s">
        <v>305</v>
      </c>
      <c r="AW524" s="4" t="s">
        <v>292</v>
      </c>
    </row>
    <row r="525" spans="1:49" s="4" customFormat="1" x14ac:dyDescent="0.25">
      <c r="A525" s="4" t="s">
        <v>11207</v>
      </c>
      <c r="B525" s="4" t="s">
        <v>293</v>
      </c>
      <c r="C525" s="4" t="s">
        <v>610</v>
      </c>
      <c r="D525" s="4" t="s">
        <v>611</v>
      </c>
      <c r="F525" s="4" t="s">
        <v>11236</v>
      </c>
      <c r="G525" s="4" t="s">
        <v>11237</v>
      </c>
      <c r="I525" s="4" t="s">
        <v>296</v>
      </c>
      <c r="J525" s="4" t="s">
        <v>297</v>
      </c>
      <c r="K525" s="4" t="s">
        <v>298</v>
      </c>
      <c r="L525" s="4" t="s">
        <v>299</v>
      </c>
      <c r="M525" s="4" t="s">
        <v>300</v>
      </c>
      <c r="N525" s="4" t="s">
        <v>11238</v>
      </c>
      <c r="O525" s="5">
        <v>66.819999999999993</v>
      </c>
      <c r="P525" s="6">
        <v>1</v>
      </c>
      <c r="Q525" s="7">
        <v>9.25</v>
      </c>
      <c r="R525" s="7">
        <v>7</v>
      </c>
      <c r="S525" s="4" t="s">
        <v>301</v>
      </c>
      <c r="T525" s="4" t="s">
        <v>302</v>
      </c>
      <c r="U525" s="5">
        <v>79.784999999999997</v>
      </c>
      <c r="V525" s="6">
        <v>0.25</v>
      </c>
      <c r="W525" s="7">
        <v>3</v>
      </c>
      <c r="X525" s="5">
        <v>26.846</v>
      </c>
      <c r="Y525" s="4" t="s">
        <v>292</v>
      </c>
      <c r="Z525" s="6">
        <v>4</v>
      </c>
      <c r="AA525" s="6">
        <v>1</v>
      </c>
      <c r="AB525" s="5">
        <v>107.384</v>
      </c>
      <c r="AC525" s="6">
        <v>1</v>
      </c>
      <c r="AD525" s="6">
        <v>1</v>
      </c>
      <c r="AE525" s="5">
        <v>107.384</v>
      </c>
      <c r="AF525" s="5">
        <v>107.384</v>
      </c>
      <c r="AG525" s="7">
        <v>7</v>
      </c>
      <c r="AH525" s="7">
        <v>0</v>
      </c>
      <c r="AI525" s="7">
        <v>17</v>
      </c>
      <c r="AJ525" s="7">
        <v>0</v>
      </c>
      <c r="AK525" s="8">
        <v>44115.540590277778</v>
      </c>
      <c r="AL525" s="7">
        <v>2</v>
      </c>
      <c r="AM525" s="7">
        <v>100</v>
      </c>
      <c r="AN525" s="7">
        <v>0</v>
      </c>
      <c r="AO525" s="7">
        <v>1.4</v>
      </c>
      <c r="AP525" s="7">
        <v>0</v>
      </c>
      <c r="AQ525" s="7">
        <v>4.12</v>
      </c>
      <c r="AR525" s="7">
        <v>0.78</v>
      </c>
      <c r="AS525" s="4" t="s">
        <v>303</v>
      </c>
      <c r="AT525" s="7">
        <v>0</v>
      </c>
      <c r="AU525" s="4" t="s">
        <v>612</v>
      </c>
      <c r="AV525" s="4" t="s">
        <v>305</v>
      </c>
    </row>
    <row r="526" spans="1:49" s="4" customFormat="1" x14ac:dyDescent="0.25">
      <c r="A526" s="4" t="s">
        <v>11201</v>
      </c>
      <c r="B526" s="4" t="s">
        <v>293</v>
      </c>
      <c r="C526" s="4" t="s">
        <v>613</v>
      </c>
      <c r="D526" s="4" t="s">
        <v>614</v>
      </c>
      <c r="F526" s="4" t="s">
        <v>11462</v>
      </c>
      <c r="G526" s="4" t="s">
        <v>11463</v>
      </c>
      <c r="I526" s="4" t="s">
        <v>296</v>
      </c>
      <c r="J526" s="4" t="s">
        <v>297</v>
      </c>
      <c r="K526" s="4" t="s">
        <v>298</v>
      </c>
      <c r="L526" s="4" t="s">
        <v>322</v>
      </c>
      <c r="M526" s="4" t="s">
        <v>300</v>
      </c>
      <c r="N526" s="4" t="s">
        <v>11198</v>
      </c>
      <c r="O526" s="5">
        <v>204.054</v>
      </c>
      <c r="P526" s="6">
        <v>1</v>
      </c>
      <c r="Q526" s="7">
        <v>9.25</v>
      </c>
      <c r="R526" s="7">
        <v>12</v>
      </c>
      <c r="S526" s="4" t="s">
        <v>301</v>
      </c>
      <c r="T526" s="4" t="s">
        <v>302</v>
      </c>
      <c r="U526" s="5">
        <v>259.11599999999999</v>
      </c>
      <c r="V526" s="6">
        <v>0.45</v>
      </c>
      <c r="W526" s="7">
        <v>1.5</v>
      </c>
      <c r="X526" s="5">
        <v>93.751999999999995</v>
      </c>
      <c r="Y526" s="4" t="s">
        <v>292</v>
      </c>
      <c r="Z526" s="6">
        <v>1</v>
      </c>
      <c r="AA526" s="6">
        <v>1</v>
      </c>
      <c r="AB526" s="5">
        <v>93.751999999999995</v>
      </c>
      <c r="AC526" s="6">
        <v>1</v>
      </c>
      <c r="AD526" s="6">
        <v>1</v>
      </c>
      <c r="AE526" s="5">
        <v>93.751999999999995</v>
      </c>
      <c r="AF526" s="7">
        <v>10</v>
      </c>
      <c r="AG526" s="7">
        <v>12</v>
      </c>
      <c r="AH526" s="7">
        <v>9.25</v>
      </c>
      <c r="AI526" s="7">
        <v>0</v>
      </c>
      <c r="AJ526" s="7">
        <v>0</v>
      </c>
      <c r="AK526" s="8">
        <v>44115.521249999998</v>
      </c>
      <c r="AL526" s="7">
        <v>11.66</v>
      </c>
      <c r="AM526" s="7">
        <v>100</v>
      </c>
      <c r="AN526" s="7">
        <v>0</v>
      </c>
      <c r="AO526" s="7">
        <v>13.99</v>
      </c>
      <c r="AP526" s="7">
        <v>10.78</v>
      </c>
      <c r="AQ526" s="7">
        <v>0</v>
      </c>
      <c r="AR526" s="7">
        <v>1.92</v>
      </c>
      <c r="AS526" s="4" t="s">
        <v>303</v>
      </c>
      <c r="AT526" s="7">
        <v>0</v>
      </c>
      <c r="AU526" s="4" t="s">
        <v>615</v>
      </c>
      <c r="AV526" s="4" t="s">
        <v>305</v>
      </c>
      <c r="AW526" s="4" t="s">
        <v>292</v>
      </c>
    </row>
    <row r="527" spans="1:49" s="4" customFormat="1" x14ac:dyDescent="0.25">
      <c r="A527" s="4" t="s">
        <v>11199</v>
      </c>
      <c r="B527" s="4" t="s">
        <v>293</v>
      </c>
      <c r="C527" s="4" t="s">
        <v>613</v>
      </c>
      <c r="D527" s="4" t="s">
        <v>614</v>
      </c>
      <c r="F527" s="4" t="s">
        <v>11462</v>
      </c>
      <c r="G527" s="4" t="s">
        <v>11463</v>
      </c>
      <c r="I527" s="4" t="s">
        <v>296</v>
      </c>
      <c r="J527" s="4" t="s">
        <v>297</v>
      </c>
      <c r="K527" s="4" t="s">
        <v>298</v>
      </c>
      <c r="L527" s="4" t="s">
        <v>322</v>
      </c>
      <c r="M527" s="4" t="s">
        <v>300</v>
      </c>
      <c r="N527" s="4" t="s">
        <v>11198</v>
      </c>
      <c r="O527" s="5">
        <v>204.05600000000001</v>
      </c>
      <c r="P527" s="6">
        <v>1</v>
      </c>
      <c r="Q527" s="7">
        <v>9.25</v>
      </c>
      <c r="R527" s="7">
        <v>7</v>
      </c>
      <c r="S527" s="4" t="s">
        <v>301</v>
      </c>
      <c r="T527" s="4" t="s">
        <v>302</v>
      </c>
      <c r="U527" s="5">
        <v>243.649</v>
      </c>
      <c r="V527" s="6">
        <v>0.45</v>
      </c>
      <c r="W527" s="7">
        <v>2</v>
      </c>
      <c r="X527" s="5">
        <v>94.231999999999999</v>
      </c>
      <c r="Y527" s="4" t="s">
        <v>292</v>
      </c>
      <c r="Z527" s="6">
        <v>1</v>
      </c>
      <c r="AA527" s="6">
        <v>1</v>
      </c>
      <c r="AB527" s="5">
        <v>94.231999999999999</v>
      </c>
      <c r="AC527" s="6">
        <v>1</v>
      </c>
      <c r="AD527" s="6">
        <v>1</v>
      </c>
      <c r="AE527" s="5">
        <v>94.231999999999999</v>
      </c>
      <c r="AF527" s="7">
        <v>10</v>
      </c>
      <c r="AG527" s="7">
        <v>7</v>
      </c>
      <c r="AH527" s="7">
        <v>9.25</v>
      </c>
      <c r="AI527" s="7">
        <v>0</v>
      </c>
      <c r="AJ527" s="7">
        <v>0</v>
      </c>
      <c r="AK527" s="8">
        <v>44115.52983796296</v>
      </c>
      <c r="AL527" s="7">
        <v>10.97</v>
      </c>
      <c r="AM527" s="7">
        <v>100</v>
      </c>
      <c r="AN527" s="7">
        <v>0</v>
      </c>
      <c r="AO527" s="7">
        <v>7.68</v>
      </c>
      <c r="AP527" s="7">
        <v>10.14</v>
      </c>
      <c r="AQ527" s="7">
        <v>0</v>
      </c>
      <c r="AR527" s="7">
        <v>2.41</v>
      </c>
      <c r="AS527" s="4" t="s">
        <v>303</v>
      </c>
      <c r="AT527" s="7">
        <v>0</v>
      </c>
      <c r="AU527" s="4" t="s">
        <v>615</v>
      </c>
      <c r="AV527" s="4" t="s">
        <v>305</v>
      </c>
      <c r="AW527" s="4" t="s">
        <v>292</v>
      </c>
    </row>
    <row r="528" spans="1:49" s="4" customFormat="1" x14ac:dyDescent="0.25">
      <c r="A528" s="4" t="s">
        <v>395</v>
      </c>
      <c r="B528" s="4" t="s">
        <v>293</v>
      </c>
      <c r="C528" s="4" t="s">
        <v>613</v>
      </c>
      <c r="D528" s="4" t="s">
        <v>614</v>
      </c>
      <c r="F528" s="4" t="s">
        <v>11462</v>
      </c>
      <c r="G528" s="4" t="s">
        <v>11463</v>
      </c>
      <c r="I528" s="4" t="s">
        <v>296</v>
      </c>
      <c r="J528" s="4" t="s">
        <v>297</v>
      </c>
      <c r="K528" s="4" t="s">
        <v>298</v>
      </c>
      <c r="L528" s="4" t="s">
        <v>322</v>
      </c>
      <c r="M528" s="4" t="s">
        <v>300</v>
      </c>
      <c r="N528" s="4" t="s">
        <v>447</v>
      </c>
      <c r="O528" s="5">
        <v>204.05600000000001</v>
      </c>
      <c r="P528" s="6">
        <v>1</v>
      </c>
      <c r="Q528" s="7">
        <v>9.25</v>
      </c>
      <c r="R528" s="7">
        <v>7</v>
      </c>
      <c r="S528" s="4" t="s">
        <v>301</v>
      </c>
      <c r="T528" s="4" t="s">
        <v>302</v>
      </c>
      <c r="U528" s="5">
        <v>243.649</v>
      </c>
      <c r="V528" s="6">
        <v>0.45</v>
      </c>
      <c r="W528" s="7">
        <v>4</v>
      </c>
      <c r="X528" s="5">
        <v>128.41200000000001</v>
      </c>
      <c r="Y528" s="4" t="s">
        <v>292</v>
      </c>
      <c r="Z528" s="6">
        <v>1</v>
      </c>
      <c r="AA528" s="6">
        <v>0.75259299999999996</v>
      </c>
      <c r="AB528" s="5">
        <v>128.41200000000001</v>
      </c>
      <c r="AC528" s="6">
        <v>1</v>
      </c>
      <c r="AD528" s="6">
        <v>0.75259299999999996</v>
      </c>
      <c r="AE528" s="5">
        <v>128.41200000000001</v>
      </c>
      <c r="AF528" s="7">
        <v>10</v>
      </c>
      <c r="AG528" s="7">
        <v>7</v>
      </c>
      <c r="AH528" s="7">
        <v>9.25</v>
      </c>
      <c r="AI528" s="7">
        <v>17</v>
      </c>
      <c r="AJ528" s="7">
        <v>0</v>
      </c>
      <c r="AK528" s="8">
        <v>44115.529861111114</v>
      </c>
      <c r="AL528" s="7">
        <v>10.97</v>
      </c>
      <c r="AM528" s="7">
        <v>100</v>
      </c>
      <c r="AN528" s="7">
        <v>0</v>
      </c>
      <c r="AO528" s="7">
        <v>7.68</v>
      </c>
      <c r="AP528" s="7">
        <v>10.14</v>
      </c>
      <c r="AQ528" s="7">
        <v>23.16</v>
      </c>
      <c r="AR528" s="7">
        <v>5.75</v>
      </c>
      <c r="AS528" s="4" t="s">
        <v>303</v>
      </c>
      <c r="AT528" s="7">
        <v>0</v>
      </c>
      <c r="AU528" s="4" t="s">
        <v>615</v>
      </c>
      <c r="AV528" s="4" t="s">
        <v>305</v>
      </c>
      <c r="AW528" s="4" t="s">
        <v>292</v>
      </c>
    </row>
    <row r="529" spans="1:49" s="4" customFormat="1" x14ac:dyDescent="0.25">
      <c r="A529" s="4" t="s">
        <v>11200</v>
      </c>
      <c r="B529" s="4" t="s">
        <v>293</v>
      </c>
      <c r="C529" s="4" t="s">
        <v>613</v>
      </c>
      <c r="D529" s="4" t="s">
        <v>614</v>
      </c>
      <c r="F529" s="4" t="s">
        <v>11462</v>
      </c>
      <c r="G529" s="4" t="s">
        <v>11463</v>
      </c>
      <c r="I529" s="4" t="s">
        <v>296</v>
      </c>
      <c r="J529" s="4" t="s">
        <v>297</v>
      </c>
      <c r="K529" s="4" t="s">
        <v>298</v>
      </c>
      <c r="L529" s="4" t="s">
        <v>322</v>
      </c>
      <c r="M529" s="4" t="s">
        <v>300</v>
      </c>
      <c r="N529" s="4" t="s">
        <v>11198</v>
      </c>
      <c r="O529" s="5">
        <v>204.05600000000001</v>
      </c>
      <c r="P529" s="6">
        <v>1</v>
      </c>
      <c r="Q529" s="7">
        <v>9.25</v>
      </c>
      <c r="R529" s="7">
        <v>18</v>
      </c>
      <c r="S529" s="4" t="s">
        <v>301</v>
      </c>
      <c r="T529" s="4" t="s">
        <v>302</v>
      </c>
      <c r="U529" s="5">
        <v>280.48899999999998</v>
      </c>
      <c r="V529" s="6">
        <v>0.45</v>
      </c>
      <c r="W529" s="7">
        <v>1.5</v>
      </c>
      <c r="X529" s="5">
        <v>93.91</v>
      </c>
      <c r="Y529" s="4" t="s">
        <v>292</v>
      </c>
      <c r="Z529" s="6">
        <v>1</v>
      </c>
      <c r="AA529" s="6">
        <v>1</v>
      </c>
      <c r="AB529" s="5">
        <v>93.91</v>
      </c>
      <c r="AC529" s="6">
        <v>1</v>
      </c>
      <c r="AD529" s="6">
        <v>1</v>
      </c>
      <c r="AE529" s="5">
        <v>93.91</v>
      </c>
      <c r="AF529" s="7">
        <v>10</v>
      </c>
      <c r="AG529" s="7">
        <v>18</v>
      </c>
      <c r="AH529" s="7">
        <v>9.25</v>
      </c>
      <c r="AI529" s="7">
        <v>0</v>
      </c>
      <c r="AJ529" s="7">
        <v>0</v>
      </c>
      <c r="AK529" s="8">
        <v>44115.513449074075</v>
      </c>
      <c r="AL529" s="7">
        <v>12.62</v>
      </c>
      <c r="AM529" s="7">
        <v>100</v>
      </c>
      <c r="AN529" s="7">
        <v>0</v>
      </c>
      <c r="AO529" s="7">
        <v>22.72</v>
      </c>
      <c r="AP529" s="7">
        <v>11.67</v>
      </c>
      <c r="AQ529" s="7">
        <v>0</v>
      </c>
      <c r="AR529" s="7">
        <v>2.08</v>
      </c>
      <c r="AS529" s="4" t="s">
        <v>303</v>
      </c>
      <c r="AT529" s="7">
        <v>0</v>
      </c>
      <c r="AU529" s="4" t="s">
        <v>615</v>
      </c>
      <c r="AV529" s="4" t="s">
        <v>305</v>
      </c>
      <c r="AW529" s="4" t="s">
        <v>292</v>
      </c>
    </row>
    <row r="530" spans="1:49" s="4" customFormat="1" x14ac:dyDescent="0.25">
      <c r="A530" s="4" t="s">
        <v>11207</v>
      </c>
      <c r="B530" s="4" t="s">
        <v>293</v>
      </c>
      <c r="C530" s="4" t="s">
        <v>613</v>
      </c>
      <c r="D530" s="4" t="s">
        <v>614</v>
      </c>
      <c r="F530" s="4" t="s">
        <v>11236</v>
      </c>
      <c r="G530" s="4" t="s">
        <v>11237</v>
      </c>
      <c r="I530" s="4" t="s">
        <v>296</v>
      </c>
      <c r="J530" s="4" t="s">
        <v>297</v>
      </c>
      <c r="K530" s="4" t="s">
        <v>298</v>
      </c>
      <c r="L530" s="4" t="s">
        <v>322</v>
      </c>
      <c r="M530" s="4" t="s">
        <v>300</v>
      </c>
      <c r="N530" s="4" t="s">
        <v>11238</v>
      </c>
      <c r="O530" s="5">
        <v>93.91</v>
      </c>
      <c r="P530" s="6">
        <v>1</v>
      </c>
      <c r="Q530" s="7">
        <v>9.25</v>
      </c>
      <c r="R530" s="7">
        <v>7</v>
      </c>
      <c r="S530" s="4" t="s">
        <v>301</v>
      </c>
      <c r="T530" s="4" t="s">
        <v>302</v>
      </c>
      <c r="U530" s="5">
        <v>112.131</v>
      </c>
      <c r="V530" s="6">
        <v>0.25</v>
      </c>
      <c r="W530" s="7">
        <v>3</v>
      </c>
      <c r="X530" s="5">
        <v>37.732999999999997</v>
      </c>
      <c r="Y530" s="4" t="s">
        <v>292</v>
      </c>
      <c r="Z530" s="6">
        <v>4</v>
      </c>
      <c r="AA530" s="6">
        <v>1</v>
      </c>
      <c r="AB530" s="5">
        <v>150.93199999999999</v>
      </c>
      <c r="AC530" s="6">
        <v>1</v>
      </c>
      <c r="AD530" s="6">
        <v>1</v>
      </c>
      <c r="AE530" s="5">
        <v>150.93199999999999</v>
      </c>
      <c r="AF530" s="5">
        <v>150.93199999999999</v>
      </c>
      <c r="AG530" s="7">
        <v>7</v>
      </c>
      <c r="AH530" s="7">
        <v>0</v>
      </c>
      <c r="AI530" s="7">
        <v>17</v>
      </c>
      <c r="AJ530" s="7">
        <v>0</v>
      </c>
      <c r="AK530" s="8">
        <v>44115.540590277778</v>
      </c>
      <c r="AL530" s="7">
        <v>2.8</v>
      </c>
      <c r="AM530" s="7">
        <v>100</v>
      </c>
      <c r="AN530" s="7">
        <v>0</v>
      </c>
      <c r="AO530" s="7">
        <v>1.96</v>
      </c>
      <c r="AP530" s="7">
        <v>0</v>
      </c>
      <c r="AQ530" s="7">
        <v>5.8</v>
      </c>
      <c r="AR530" s="7">
        <v>1.1000000000000001</v>
      </c>
      <c r="AS530" s="4" t="s">
        <v>303</v>
      </c>
      <c r="AT530" s="7">
        <v>0</v>
      </c>
      <c r="AU530" s="4" t="s">
        <v>615</v>
      </c>
      <c r="AV530" s="4" t="s">
        <v>305</v>
      </c>
    </row>
    <row r="531" spans="1:49" s="4" customFormat="1" x14ac:dyDescent="0.25">
      <c r="A531" s="4" t="s">
        <v>11201</v>
      </c>
      <c r="B531" s="4" t="s">
        <v>293</v>
      </c>
      <c r="C531" s="4" t="s">
        <v>616</v>
      </c>
      <c r="D531" s="4" t="s">
        <v>617</v>
      </c>
      <c r="F531" s="4" t="s">
        <v>11462</v>
      </c>
      <c r="G531" s="4" t="s">
        <v>11463</v>
      </c>
      <c r="I531" s="4" t="s">
        <v>296</v>
      </c>
      <c r="J531" s="4" t="s">
        <v>297</v>
      </c>
      <c r="K531" s="4" t="s">
        <v>319</v>
      </c>
      <c r="L531" s="4" t="s">
        <v>299</v>
      </c>
      <c r="M531" s="4" t="s">
        <v>300</v>
      </c>
      <c r="N531" s="4" t="s">
        <v>11198</v>
      </c>
      <c r="O531" s="5">
        <v>20.22</v>
      </c>
      <c r="P531" s="6">
        <v>1</v>
      </c>
      <c r="Q531" s="7">
        <v>9.25</v>
      </c>
      <c r="R531" s="7">
        <v>12</v>
      </c>
      <c r="S531" s="4" t="s">
        <v>301</v>
      </c>
      <c r="T531" s="4" t="s">
        <v>302</v>
      </c>
      <c r="U531" s="5">
        <v>25.675999999999998</v>
      </c>
      <c r="V531" s="6">
        <v>0.45</v>
      </c>
      <c r="W531" s="7">
        <v>1.5</v>
      </c>
      <c r="X531" s="5">
        <v>9.2840000000000007</v>
      </c>
      <c r="Y531" s="4" t="s">
        <v>292</v>
      </c>
      <c r="Z531" s="6">
        <v>1</v>
      </c>
      <c r="AA531" s="6">
        <v>1</v>
      </c>
      <c r="AB531" s="5">
        <v>9.2840000000000007</v>
      </c>
      <c r="AC531" s="6">
        <v>1</v>
      </c>
      <c r="AD531" s="6">
        <v>1</v>
      </c>
      <c r="AE531" s="5">
        <v>9.2840000000000007</v>
      </c>
      <c r="AF531" s="7">
        <v>10</v>
      </c>
      <c r="AG531" s="7">
        <v>12</v>
      </c>
      <c r="AH531" s="7">
        <v>9.25</v>
      </c>
      <c r="AI531" s="7">
        <v>0</v>
      </c>
      <c r="AJ531" s="7">
        <v>0</v>
      </c>
      <c r="AK531" s="8">
        <v>44115.521261574075</v>
      </c>
      <c r="AL531" s="7">
        <v>1.1599999999999999</v>
      </c>
      <c r="AM531" s="7">
        <v>100</v>
      </c>
      <c r="AN531" s="7">
        <v>0</v>
      </c>
      <c r="AO531" s="7">
        <v>1.39</v>
      </c>
      <c r="AP531" s="7">
        <v>1.07</v>
      </c>
      <c r="AQ531" s="7">
        <v>0</v>
      </c>
      <c r="AR531" s="7">
        <v>0.19</v>
      </c>
      <c r="AS531" s="4" t="s">
        <v>303</v>
      </c>
      <c r="AT531" s="7">
        <v>0</v>
      </c>
      <c r="AU531" s="4" t="s">
        <v>618</v>
      </c>
      <c r="AV531" s="4" t="s">
        <v>305</v>
      </c>
      <c r="AW531" s="4" t="s">
        <v>292</v>
      </c>
    </row>
    <row r="532" spans="1:49" s="4" customFormat="1" x14ac:dyDescent="0.25">
      <c r="A532" s="4" t="s">
        <v>11199</v>
      </c>
      <c r="B532" s="4" t="s">
        <v>293</v>
      </c>
      <c r="C532" s="4" t="s">
        <v>616</v>
      </c>
      <c r="D532" s="4" t="s">
        <v>617</v>
      </c>
      <c r="F532" s="4" t="s">
        <v>11462</v>
      </c>
      <c r="G532" s="4" t="s">
        <v>11463</v>
      </c>
      <c r="I532" s="4" t="s">
        <v>296</v>
      </c>
      <c r="J532" s="4" t="s">
        <v>297</v>
      </c>
      <c r="K532" s="4" t="s">
        <v>319</v>
      </c>
      <c r="L532" s="4" t="s">
        <v>299</v>
      </c>
      <c r="M532" s="4" t="s">
        <v>300</v>
      </c>
      <c r="N532" s="4" t="s">
        <v>11198</v>
      </c>
      <c r="O532" s="5">
        <v>20.216999999999999</v>
      </c>
      <c r="P532" s="6">
        <v>1</v>
      </c>
      <c r="Q532" s="7">
        <v>9.25</v>
      </c>
      <c r="R532" s="7">
        <v>7</v>
      </c>
      <c r="S532" s="4" t="s">
        <v>301</v>
      </c>
      <c r="T532" s="4" t="s">
        <v>302</v>
      </c>
      <c r="U532" s="5">
        <v>24.14</v>
      </c>
      <c r="V532" s="6">
        <v>0.45</v>
      </c>
      <c r="W532" s="7">
        <v>2</v>
      </c>
      <c r="X532" s="5">
        <v>9.3330000000000002</v>
      </c>
      <c r="Y532" s="4" t="s">
        <v>292</v>
      </c>
      <c r="Z532" s="6">
        <v>1</v>
      </c>
      <c r="AA532" s="6">
        <v>1</v>
      </c>
      <c r="AB532" s="5">
        <v>9.3330000000000002</v>
      </c>
      <c r="AC532" s="6">
        <v>1</v>
      </c>
      <c r="AD532" s="6">
        <v>1</v>
      </c>
      <c r="AE532" s="5">
        <v>9.3330000000000002</v>
      </c>
      <c r="AF532" s="7">
        <v>10</v>
      </c>
      <c r="AG532" s="7">
        <v>7</v>
      </c>
      <c r="AH532" s="7">
        <v>9.25</v>
      </c>
      <c r="AI532" s="7">
        <v>0</v>
      </c>
      <c r="AJ532" s="7">
        <v>0</v>
      </c>
      <c r="AK532" s="8">
        <v>44115.529861111114</v>
      </c>
      <c r="AL532" s="7">
        <v>1.0900000000000001</v>
      </c>
      <c r="AM532" s="7">
        <v>100</v>
      </c>
      <c r="AN532" s="7">
        <v>0</v>
      </c>
      <c r="AO532" s="7">
        <v>0.76</v>
      </c>
      <c r="AP532" s="7">
        <v>1.01</v>
      </c>
      <c r="AQ532" s="7">
        <v>0</v>
      </c>
      <c r="AR532" s="7">
        <v>0.24</v>
      </c>
      <c r="AS532" s="4" t="s">
        <v>303</v>
      </c>
      <c r="AT532" s="7">
        <v>0</v>
      </c>
      <c r="AU532" s="4" t="s">
        <v>618</v>
      </c>
      <c r="AV532" s="4" t="s">
        <v>305</v>
      </c>
      <c r="AW532" s="4" t="s">
        <v>292</v>
      </c>
    </row>
    <row r="533" spans="1:49" s="4" customFormat="1" x14ac:dyDescent="0.25">
      <c r="A533" s="4" t="s">
        <v>395</v>
      </c>
      <c r="B533" s="4" t="s">
        <v>293</v>
      </c>
      <c r="C533" s="4" t="s">
        <v>616</v>
      </c>
      <c r="D533" s="4" t="s">
        <v>617</v>
      </c>
      <c r="F533" s="4" t="s">
        <v>11462</v>
      </c>
      <c r="G533" s="4" t="s">
        <v>11463</v>
      </c>
      <c r="I533" s="4" t="s">
        <v>296</v>
      </c>
      <c r="J533" s="4" t="s">
        <v>297</v>
      </c>
      <c r="K533" s="4" t="s">
        <v>319</v>
      </c>
      <c r="L533" s="4" t="s">
        <v>299</v>
      </c>
      <c r="M533" s="4" t="s">
        <v>300</v>
      </c>
      <c r="N533" s="4" t="s">
        <v>447</v>
      </c>
      <c r="O533" s="5">
        <v>20.216999999999999</v>
      </c>
      <c r="P533" s="6">
        <v>1</v>
      </c>
      <c r="Q533" s="7">
        <v>9.25</v>
      </c>
      <c r="R533" s="7">
        <v>7</v>
      </c>
      <c r="S533" s="4" t="s">
        <v>301</v>
      </c>
      <c r="T533" s="4" t="s">
        <v>302</v>
      </c>
      <c r="U533" s="5">
        <v>24.14</v>
      </c>
      <c r="V533" s="6">
        <v>0.45</v>
      </c>
      <c r="W533" s="7">
        <v>4</v>
      </c>
      <c r="X533" s="5">
        <v>12.712999999999999</v>
      </c>
      <c r="Y533" s="4" t="s">
        <v>292</v>
      </c>
      <c r="Z533" s="6">
        <v>1</v>
      </c>
      <c r="AA533" s="6">
        <v>0.75300900000000004</v>
      </c>
      <c r="AB533" s="5">
        <v>12.712999999999999</v>
      </c>
      <c r="AC533" s="6">
        <v>1</v>
      </c>
      <c r="AD533" s="6">
        <v>0.75300900000000004</v>
      </c>
      <c r="AE533" s="5">
        <v>12.712999999999999</v>
      </c>
      <c r="AF533" s="7">
        <v>10</v>
      </c>
      <c r="AG533" s="7">
        <v>7</v>
      </c>
      <c r="AH533" s="7">
        <v>9.25</v>
      </c>
      <c r="AI533" s="7">
        <v>17</v>
      </c>
      <c r="AJ533" s="7">
        <v>0</v>
      </c>
      <c r="AK533" s="8">
        <v>44115.529861111114</v>
      </c>
      <c r="AL533" s="7">
        <v>1.0900000000000001</v>
      </c>
      <c r="AM533" s="7">
        <v>100</v>
      </c>
      <c r="AN533" s="7">
        <v>0</v>
      </c>
      <c r="AO533" s="7">
        <v>0.76</v>
      </c>
      <c r="AP533" s="7">
        <v>1.01</v>
      </c>
      <c r="AQ533" s="7">
        <v>2.29</v>
      </c>
      <c r="AR533" s="7">
        <v>0.56999999999999995</v>
      </c>
      <c r="AS533" s="4" t="s">
        <v>303</v>
      </c>
      <c r="AT533" s="7">
        <v>0</v>
      </c>
      <c r="AU533" s="4" t="s">
        <v>618</v>
      </c>
      <c r="AV533" s="4" t="s">
        <v>305</v>
      </c>
      <c r="AW533" s="4" t="s">
        <v>292</v>
      </c>
    </row>
    <row r="534" spans="1:49" s="4" customFormat="1" x14ac:dyDescent="0.25">
      <c r="A534" s="4" t="s">
        <v>11200</v>
      </c>
      <c r="B534" s="4" t="s">
        <v>293</v>
      </c>
      <c r="C534" s="4" t="s">
        <v>616</v>
      </c>
      <c r="D534" s="4" t="s">
        <v>617</v>
      </c>
      <c r="F534" s="4" t="s">
        <v>11462</v>
      </c>
      <c r="G534" s="4" t="s">
        <v>11463</v>
      </c>
      <c r="I534" s="4" t="s">
        <v>296</v>
      </c>
      <c r="J534" s="4" t="s">
        <v>297</v>
      </c>
      <c r="K534" s="4" t="s">
        <v>319</v>
      </c>
      <c r="L534" s="4" t="s">
        <v>299</v>
      </c>
      <c r="M534" s="4" t="s">
        <v>300</v>
      </c>
      <c r="N534" s="4" t="s">
        <v>11198</v>
      </c>
      <c r="O534" s="5">
        <v>20.216999999999999</v>
      </c>
      <c r="P534" s="6">
        <v>1</v>
      </c>
      <c r="Q534" s="7">
        <v>9.25</v>
      </c>
      <c r="R534" s="7">
        <v>18</v>
      </c>
      <c r="S534" s="4" t="s">
        <v>301</v>
      </c>
      <c r="T534" s="4" t="s">
        <v>302</v>
      </c>
      <c r="U534" s="5">
        <v>27.79</v>
      </c>
      <c r="V534" s="6">
        <v>0.45</v>
      </c>
      <c r="W534" s="7">
        <v>1.5</v>
      </c>
      <c r="X534" s="5">
        <v>9.3059999999999992</v>
      </c>
      <c r="Y534" s="4" t="s">
        <v>292</v>
      </c>
      <c r="Z534" s="6">
        <v>1</v>
      </c>
      <c r="AA534" s="6">
        <v>1</v>
      </c>
      <c r="AB534" s="5">
        <v>9.3059999999999992</v>
      </c>
      <c r="AC534" s="6">
        <v>1</v>
      </c>
      <c r="AD534" s="6">
        <v>1</v>
      </c>
      <c r="AE534" s="5">
        <v>9.3059999999999992</v>
      </c>
      <c r="AF534" s="7">
        <v>10</v>
      </c>
      <c r="AG534" s="7">
        <v>18</v>
      </c>
      <c r="AH534" s="7">
        <v>9.25</v>
      </c>
      <c r="AI534" s="7">
        <v>0</v>
      </c>
      <c r="AJ534" s="7">
        <v>0</v>
      </c>
      <c r="AK534" s="8">
        <v>44115.513472222221</v>
      </c>
      <c r="AL534" s="7">
        <v>1.25</v>
      </c>
      <c r="AM534" s="7">
        <v>100</v>
      </c>
      <c r="AN534" s="7">
        <v>0</v>
      </c>
      <c r="AO534" s="7">
        <v>2.25</v>
      </c>
      <c r="AP534" s="7">
        <v>1.1599999999999999</v>
      </c>
      <c r="AQ534" s="7">
        <v>0</v>
      </c>
      <c r="AR534" s="7">
        <v>0.21</v>
      </c>
      <c r="AS534" s="4" t="s">
        <v>303</v>
      </c>
      <c r="AT534" s="7">
        <v>0</v>
      </c>
      <c r="AU534" s="4" t="s">
        <v>618</v>
      </c>
      <c r="AV534" s="4" t="s">
        <v>305</v>
      </c>
      <c r="AW534" s="4" t="s">
        <v>292</v>
      </c>
    </row>
    <row r="535" spans="1:49" s="4" customFormat="1" x14ac:dyDescent="0.25">
      <c r="A535" s="4" t="s">
        <v>11207</v>
      </c>
      <c r="B535" s="4" t="s">
        <v>293</v>
      </c>
      <c r="C535" s="4" t="s">
        <v>616</v>
      </c>
      <c r="D535" s="4" t="s">
        <v>617</v>
      </c>
      <c r="F535" s="4" t="s">
        <v>11236</v>
      </c>
      <c r="G535" s="4" t="s">
        <v>11237</v>
      </c>
      <c r="I535" s="4" t="s">
        <v>296</v>
      </c>
      <c r="J535" s="4" t="s">
        <v>297</v>
      </c>
      <c r="K535" s="4" t="s">
        <v>319</v>
      </c>
      <c r="L535" s="4" t="s">
        <v>299</v>
      </c>
      <c r="M535" s="4" t="s">
        <v>300</v>
      </c>
      <c r="N535" s="4" t="s">
        <v>11238</v>
      </c>
      <c r="O535" s="5">
        <v>9.31</v>
      </c>
      <c r="P535" s="6">
        <v>1</v>
      </c>
      <c r="Q535" s="7">
        <v>9.25</v>
      </c>
      <c r="R535" s="7">
        <v>7</v>
      </c>
      <c r="S535" s="4" t="s">
        <v>301</v>
      </c>
      <c r="T535" s="4" t="s">
        <v>302</v>
      </c>
      <c r="U535" s="5">
        <v>11.116</v>
      </c>
      <c r="V535" s="6">
        <v>0.25</v>
      </c>
      <c r="W535" s="7">
        <v>3</v>
      </c>
      <c r="X535" s="5">
        <v>3.7389999999999999</v>
      </c>
      <c r="Y535" s="4" t="s">
        <v>292</v>
      </c>
      <c r="Z535" s="6">
        <v>4</v>
      </c>
      <c r="AA535" s="6">
        <v>1</v>
      </c>
      <c r="AB535" s="5">
        <v>14.956</v>
      </c>
      <c r="AC535" s="6">
        <v>1</v>
      </c>
      <c r="AD535" s="6">
        <v>1</v>
      </c>
      <c r="AE535" s="5">
        <v>14.956</v>
      </c>
      <c r="AF535" s="5">
        <v>14.956</v>
      </c>
      <c r="AG535" s="7">
        <v>7</v>
      </c>
      <c r="AH535" s="7">
        <v>0</v>
      </c>
      <c r="AI535" s="7">
        <v>17</v>
      </c>
      <c r="AJ535" s="7">
        <v>0</v>
      </c>
      <c r="AK535" s="8">
        <v>44115.540636574071</v>
      </c>
      <c r="AL535" s="7">
        <v>0.28000000000000003</v>
      </c>
      <c r="AM535" s="7">
        <v>100</v>
      </c>
      <c r="AN535" s="7">
        <v>0</v>
      </c>
      <c r="AO535" s="7">
        <v>0.19</v>
      </c>
      <c r="AP535" s="7">
        <v>0</v>
      </c>
      <c r="AQ535" s="7">
        <v>0.56999999999999995</v>
      </c>
      <c r="AR535" s="7">
        <v>0.11</v>
      </c>
      <c r="AS535" s="4" t="s">
        <v>303</v>
      </c>
      <c r="AT535" s="7">
        <v>0</v>
      </c>
      <c r="AU535" s="4" t="s">
        <v>618</v>
      </c>
      <c r="AV535" s="4" t="s">
        <v>305</v>
      </c>
    </row>
    <row r="536" spans="1:49" s="4" customFormat="1" x14ac:dyDescent="0.25">
      <c r="A536" s="4" t="s">
        <v>11201</v>
      </c>
      <c r="B536" s="4" t="s">
        <v>293</v>
      </c>
      <c r="C536" s="4" t="s">
        <v>619</v>
      </c>
      <c r="D536" s="4" t="s">
        <v>620</v>
      </c>
      <c r="F536" s="4" t="s">
        <v>11462</v>
      </c>
      <c r="G536" s="4" t="s">
        <v>11463</v>
      </c>
      <c r="I536" s="4" t="s">
        <v>296</v>
      </c>
      <c r="J536" s="4" t="s">
        <v>297</v>
      </c>
      <c r="K536" s="4" t="s">
        <v>319</v>
      </c>
      <c r="L536" s="4" t="s">
        <v>299</v>
      </c>
      <c r="M536" s="4" t="s">
        <v>300</v>
      </c>
      <c r="N536" s="4" t="s">
        <v>11198</v>
      </c>
      <c r="O536" s="5">
        <v>23.94</v>
      </c>
      <c r="P536" s="6">
        <v>1</v>
      </c>
      <c r="Q536" s="7">
        <v>9.25</v>
      </c>
      <c r="R536" s="7">
        <v>12</v>
      </c>
      <c r="S536" s="4" t="s">
        <v>301</v>
      </c>
      <c r="T536" s="4" t="s">
        <v>302</v>
      </c>
      <c r="U536" s="5">
        <v>30.4</v>
      </c>
      <c r="V536" s="6">
        <v>0.45</v>
      </c>
      <c r="W536" s="7">
        <v>1.5</v>
      </c>
      <c r="X536" s="5">
        <v>11</v>
      </c>
      <c r="Y536" s="4" t="s">
        <v>292</v>
      </c>
      <c r="Z536" s="6">
        <v>1</v>
      </c>
      <c r="AA536" s="6">
        <v>1</v>
      </c>
      <c r="AB536" s="5">
        <v>11</v>
      </c>
      <c r="AC536" s="6">
        <v>1</v>
      </c>
      <c r="AD536" s="6">
        <v>1</v>
      </c>
      <c r="AE536" s="5">
        <v>11</v>
      </c>
      <c r="AF536" s="7">
        <v>10</v>
      </c>
      <c r="AG536" s="7">
        <v>12</v>
      </c>
      <c r="AH536" s="7">
        <v>9.25</v>
      </c>
      <c r="AI536" s="7">
        <v>0</v>
      </c>
      <c r="AJ536" s="7">
        <v>0</v>
      </c>
      <c r="AK536" s="8">
        <v>44115.521296296298</v>
      </c>
      <c r="AL536" s="7">
        <v>1.37</v>
      </c>
      <c r="AM536" s="7">
        <v>100</v>
      </c>
      <c r="AN536" s="7">
        <v>0</v>
      </c>
      <c r="AO536" s="7">
        <v>1.64</v>
      </c>
      <c r="AP536" s="7">
        <v>1.27</v>
      </c>
      <c r="AQ536" s="7">
        <v>0</v>
      </c>
      <c r="AR536" s="7">
        <v>0.23</v>
      </c>
      <c r="AS536" s="4" t="s">
        <v>303</v>
      </c>
      <c r="AT536" s="7">
        <v>0</v>
      </c>
      <c r="AU536" s="4" t="s">
        <v>621</v>
      </c>
      <c r="AV536" s="4" t="s">
        <v>305</v>
      </c>
      <c r="AW536" s="4" t="s">
        <v>292</v>
      </c>
    </row>
    <row r="537" spans="1:49" s="4" customFormat="1" x14ac:dyDescent="0.25">
      <c r="A537" s="4" t="s">
        <v>11199</v>
      </c>
      <c r="B537" s="4" t="s">
        <v>293</v>
      </c>
      <c r="C537" s="4" t="s">
        <v>619</v>
      </c>
      <c r="D537" s="4" t="s">
        <v>620</v>
      </c>
      <c r="F537" s="4" t="s">
        <v>11462</v>
      </c>
      <c r="G537" s="4" t="s">
        <v>11463</v>
      </c>
      <c r="I537" s="4" t="s">
        <v>296</v>
      </c>
      <c r="J537" s="4" t="s">
        <v>297</v>
      </c>
      <c r="K537" s="4" t="s">
        <v>319</v>
      </c>
      <c r="L537" s="4" t="s">
        <v>299</v>
      </c>
      <c r="M537" s="4" t="s">
        <v>300</v>
      </c>
      <c r="N537" s="4" t="s">
        <v>11198</v>
      </c>
      <c r="O537" s="5">
        <v>23.942</v>
      </c>
      <c r="P537" s="6">
        <v>1</v>
      </c>
      <c r="Q537" s="7">
        <v>9.25</v>
      </c>
      <c r="R537" s="7">
        <v>7</v>
      </c>
      <c r="S537" s="4" t="s">
        <v>301</v>
      </c>
      <c r="T537" s="4" t="s">
        <v>302</v>
      </c>
      <c r="U537" s="5">
        <v>28.587</v>
      </c>
      <c r="V537" s="6">
        <v>0.45</v>
      </c>
      <c r="W537" s="7">
        <v>2</v>
      </c>
      <c r="X537" s="5">
        <v>11.054</v>
      </c>
      <c r="Y537" s="4" t="s">
        <v>292</v>
      </c>
      <c r="Z537" s="6">
        <v>1</v>
      </c>
      <c r="AA537" s="6">
        <v>1</v>
      </c>
      <c r="AB537" s="5">
        <v>11.054</v>
      </c>
      <c r="AC537" s="6">
        <v>1</v>
      </c>
      <c r="AD537" s="6">
        <v>1</v>
      </c>
      <c r="AE537" s="5">
        <v>11.054</v>
      </c>
      <c r="AF537" s="7">
        <v>10</v>
      </c>
      <c r="AG537" s="7">
        <v>7</v>
      </c>
      <c r="AH537" s="7">
        <v>9.25</v>
      </c>
      <c r="AI537" s="7">
        <v>0</v>
      </c>
      <c r="AJ537" s="7">
        <v>0</v>
      </c>
      <c r="AK537" s="8">
        <v>44115.52988425926</v>
      </c>
      <c r="AL537" s="7">
        <v>1.29</v>
      </c>
      <c r="AM537" s="7">
        <v>100</v>
      </c>
      <c r="AN537" s="7">
        <v>0</v>
      </c>
      <c r="AO537" s="7">
        <v>0.9</v>
      </c>
      <c r="AP537" s="7">
        <v>1.19</v>
      </c>
      <c r="AQ537" s="7">
        <v>0</v>
      </c>
      <c r="AR537" s="7">
        <v>0.28000000000000003</v>
      </c>
      <c r="AS537" s="4" t="s">
        <v>303</v>
      </c>
      <c r="AT537" s="7">
        <v>0</v>
      </c>
      <c r="AU537" s="4" t="s">
        <v>621</v>
      </c>
      <c r="AV537" s="4" t="s">
        <v>305</v>
      </c>
      <c r="AW537" s="4" t="s">
        <v>292</v>
      </c>
    </row>
    <row r="538" spans="1:49" s="4" customFormat="1" x14ac:dyDescent="0.25">
      <c r="A538" s="4" t="s">
        <v>395</v>
      </c>
      <c r="B538" s="4" t="s">
        <v>293</v>
      </c>
      <c r="C538" s="4" t="s">
        <v>619</v>
      </c>
      <c r="D538" s="4" t="s">
        <v>620</v>
      </c>
      <c r="F538" s="4" t="s">
        <v>11462</v>
      </c>
      <c r="G538" s="4" t="s">
        <v>11463</v>
      </c>
      <c r="I538" s="4" t="s">
        <v>296</v>
      </c>
      <c r="J538" s="4" t="s">
        <v>297</v>
      </c>
      <c r="K538" s="4" t="s">
        <v>319</v>
      </c>
      <c r="L538" s="4" t="s">
        <v>299</v>
      </c>
      <c r="M538" s="4" t="s">
        <v>300</v>
      </c>
      <c r="N538" s="4" t="s">
        <v>447</v>
      </c>
      <c r="O538" s="5">
        <v>23.942</v>
      </c>
      <c r="P538" s="6">
        <v>1</v>
      </c>
      <c r="Q538" s="7">
        <v>9.25</v>
      </c>
      <c r="R538" s="7">
        <v>7</v>
      </c>
      <c r="S538" s="4" t="s">
        <v>301</v>
      </c>
      <c r="T538" s="4" t="s">
        <v>302</v>
      </c>
      <c r="U538" s="5">
        <v>28.587</v>
      </c>
      <c r="V538" s="6">
        <v>0.45</v>
      </c>
      <c r="W538" s="7">
        <v>4</v>
      </c>
      <c r="X538" s="5">
        <v>15.064</v>
      </c>
      <c r="Y538" s="4" t="s">
        <v>292</v>
      </c>
      <c r="Z538" s="6">
        <v>1</v>
      </c>
      <c r="AA538" s="6">
        <v>0.753054</v>
      </c>
      <c r="AB538" s="5">
        <v>15.064</v>
      </c>
      <c r="AC538" s="6">
        <v>1</v>
      </c>
      <c r="AD538" s="6">
        <v>0.753054</v>
      </c>
      <c r="AE538" s="5">
        <v>15.064</v>
      </c>
      <c r="AF538" s="7">
        <v>10</v>
      </c>
      <c r="AG538" s="7">
        <v>7</v>
      </c>
      <c r="AH538" s="7">
        <v>9.25</v>
      </c>
      <c r="AI538" s="7">
        <v>17</v>
      </c>
      <c r="AJ538" s="7">
        <v>0</v>
      </c>
      <c r="AK538" s="8">
        <v>44115.529895833337</v>
      </c>
      <c r="AL538" s="7">
        <v>1.29</v>
      </c>
      <c r="AM538" s="7">
        <v>100</v>
      </c>
      <c r="AN538" s="7">
        <v>0</v>
      </c>
      <c r="AO538" s="7">
        <v>0.9</v>
      </c>
      <c r="AP538" s="7">
        <v>1.19</v>
      </c>
      <c r="AQ538" s="7">
        <v>2.72</v>
      </c>
      <c r="AR538" s="7">
        <v>0.67</v>
      </c>
      <c r="AS538" s="4" t="s">
        <v>303</v>
      </c>
      <c r="AT538" s="7">
        <v>0</v>
      </c>
      <c r="AU538" s="4" t="s">
        <v>621</v>
      </c>
      <c r="AV538" s="4" t="s">
        <v>305</v>
      </c>
      <c r="AW538" s="4" t="s">
        <v>292</v>
      </c>
    </row>
    <row r="539" spans="1:49" s="4" customFormat="1" x14ac:dyDescent="0.25">
      <c r="A539" s="4" t="s">
        <v>11200</v>
      </c>
      <c r="B539" s="4" t="s">
        <v>293</v>
      </c>
      <c r="C539" s="4" t="s">
        <v>619</v>
      </c>
      <c r="D539" s="4" t="s">
        <v>620</v>
      </c>
      <c r="F539" s="4" t="s">
        <v>11462</v>
      </c>
      <c r="G539" s="4" t="s">
        <v>11463</v>
      </c>
      <c r="I539" s="4" t="s">
        <v>296</v>
      </c>
      <c r="J539" s="4" t="s">
        <v>297</v>
      </c>
      <c r="K539" s="4" t="s">
        <v>319</v>
      </c>
      <c r="L539" s="4" t="s">
        <v>299</v>
      </c>
      <c r="M539" s="4" t="s">
        <v>300</v>
      </c>
      <c r="N539" s="4" t="s">
        <v>11198</v>
      </c>
      <c r="O539" s="5">
        <v>23.942</v>
      </c>
      <c r="P539" s="6">
        <v>1</v>
      </c>
      <c r="Q539" s="7">
        <v>9.25</v>
      </c>
      <c r="R539" s="7">
        <v>18</v>
      </c>
      <c r="S539" s="4" t="s">
        <v>301</v>
      </c>
      <c r="T539" s="4" t="s">
        <v>302</v>
      </c>
      <c r="U539" s="5">
        <v>32.909999999999997</v>
      </c>
      <c r="V539" s="6">
        <v>0.45</v>
      </c>
      <c r="W539" s="7">
        <v>1.5</v>
      </c>
      <c r="X539" s="5">
        <v>11.03</v>
      </c>
      <c r="Y539" s="4" t="s">
        <v>292</v>
      </c>
      <c r="Z539" s="6">
        <v>1</v>
      </c>
      <c r="AA539" s="6">
        <v>1</v>
      </c>
      <c r="AB539" s="5">
        <v>11.03</v>
      </c>
      <c r="AC539" s="6">
        <v>1</v>
      </c>
      <c r="AD539" s="6">
        <v>1</v>
      </c>
      <c r="AE539" s="5">
        <v>11.03</v>
      </c>
      <c r="AF539" s="7">
        <v>10</v>
      </c>
      <c r="AG539" s="7">
        <v>18</v>
      </c>
      <c r="AH539" s="7">
        <v>9.25</v>
      </c>
      <c r="AI539" s="7">
        <v>0</v>
      </c>
      <c r="AJ539" s="7">
        <v>0</v>
      </c>
      <c r="AK539" s="8">
        <v>44115.513483796298</v>
      </c>
      <c r="AL539" s="7">
        <v>1.48</v>
      </c>
      <c r="AM539" s="7">
        <v>100</v>
      </c>
      <c r="AN539" s="7">
        <v>0</v>
      </c>
      <c r="AO539" s="7">
        <v>2.66</v>
      </c>
      <c r="AP539" s="7">
        <v>1.36</v>
      </c>
      <c r="AQ539" s="7">
        <v>0</v>
      </c>
      <c r="AR539" s="7">
        <v>0.24</v>
      </c>
      <c r="AS539" s="4" t="s">
        <v>303</v>
      </c>
      <c r="AT539" s="7">
        <v>0</v>
      </c>
      <c r="AU539" s="4" t="s">
        <v>621</v>
      </c>
      <c r="AV539" s="4" t="s">
        <v>305</v>
      </c>
      <c r="AW539" s="4" t="s">
        <v>292</v>
      </c>
    </row>
    <row r="540" spans="1:49" s="4" customFormat="1" x14ac:dyDescent="0.25">
      <c r="A540" s="4" t="s">
        <v>11207</v>
      </c>
      <c r="B540" s="4" t="s">
        <v>293</v>
      </c>
      <c r="C540" s="4" t="s">
        <v>619</v>
      </c>
      <c r="D540" s="4" t="s">
        <v>620</v>
      </c>
      <c r="F540" s="4" t="s">
        <v>11236</v>
      </c>
      <c r="G540" s="4" t="s">
        <v>11237</v>
      </c>
      <c r="I540" s="4" t="s">
        <v>296</v>
      </c>
      <c r="J540" s="4" t="s">
        <v>297</v>
      </c>
      <c r="K540" s="4" t="s">
        <v>319</v>
      </c>
      <c r="L540" s="4" t="s">
        <v>299</v>
      </c>
      <c r="M540" s="4" t="s">
        <v>300</v>
      </c>
      <c r="N540" s="4" t="s">
        <v>11238</v>
      </c>
      <c r="O540" s="5">
        <v>11.03</v>
      </c>
      <c r="P540" s="6">
        <v>1</v>
      </c>
      <c r="Q540" s="7">
        <v>9.25</v>
      </c>
      <c r="R540" s="7">
        <v>7</v>
      </c>
      <c r="S540" s="4" t="s">
        <v>301</v>
      </c>
      <c r="T540" s="4" t="s">
        <v>302</v>
      </c>
      <c r="U540" s="5">
        <v>13.17</v>
      </c>
      <c r="V540" s="6">
        <v>0.25</v>
      </c>
      <c r="W540" s="7">
        <v>3</v>
      </c>
      <c r="X540" s="5">
        <v>4.4329999999999998</v>
      </c>
      <c r="Y540" s="4" t="s">
        <v>292</v>
      </c>
      <c r="Z540" s="6">
        <v>4</v>
      </c>
      <c r="AA540" s="6">
        <v>1</v>
      </c>
      <c r="AB540" s="5">
        <v>17.731999999999999</v>
      </c>
      <c r="AC540" s="6">
        <v>1</v>
      </c>
      <c r="AD540" s="6">
        <v>1</v>
      </c>
      <c r="AE540" s="5">
        <v>17.731999999999999</v>
      </c>
      <c r="AF540" s="5">
        <v>17.731999999999999</v>
      </c>
      <c r="AG540" s="7">
        <v>7</v>
      </c>
      <c r="AH540" s="7">
        <v>0</v>
      </c>
      <c r="AI540" s="7">
        <v>17</v>
      </c>
      <c r="AJ540" s="7">
        <v>0</v>
      </c>
      <c r="AK540" s="8">
        <v>44115.540682870371</v>
      </c>
      <c r="AL540" s="7">
        <v>0.33</v>
      </c>
      <c r="AM540" s="7">
        <v>100</v>
      </c>
      <c r="AN540" s="7">
        <v>0</v>
      </c>
      <c r="AO540" s="7">
        <v>0.23</v>
      </c>
      <c r="AP540" s="7">
        <v>0</v>
      </c>
      <c r="AQ540" s="7">
        <v>0.68</v>
      </c>
      <c r="AR540" s="7">
        <v>0.13</v>
      </c>
      <c r="AS540" s="4" t="s">
        <v>303</v>
      </c>
      <c r="AT540" s="7">
        <v>0</v>
      </c>
      <c r="AU540" s="4" t="s">
        <v>621</v>
      </c>
      <c r="AV540" s="4" t="s">
        <v>305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N10840"/>
  <sheetViews>
    <sheetView topLeftCell="A5106" workbookViewId="0">
      <selection activeCell="A5125" sqref="A5125"/>
    </sheetView>
  </sheetViews>
  <sheetFormatPr defaultRowHeight="15" x14ac:dyDescent="0.25"/>
  <cols>
    <col min="1" max="1" width="15.85546875" customWidth="1"/>
    <col min="3" max="3" width="13.85546875" bestFit="1" customWidth="1"/>
  </cols>
  <sheetData>
    <row r="1" spans="1:14" x14ac:dyDescent="0.25">
      <c r="A1" t="s">
        <v>626</v>
      </c>
      <c r="B1" t="s">
        <v>627</v>
      </c>
      <c r="C1" t="s">
        <v>628</v>
      </c>
      <c r="G1" s="10"/>
      <c r="H1" s="11"/>
      <c r="I1" s="1"/>
      <c r="J1" s="10" t="s">
        <v>11231</v>
      </c>
      <c r="K1" s="10" t="s">
        <v>11232</v>
      </c>
      <c r="L1" s="10" t="s">
        <v>11233</v>
      </c>
      <c r="M1" s="10" t="s">
        <v>11234</v>
      </c>
      <c r="N1" s="10" t="s">
        <v>11235</v>
      </c>
    </row>
    <row r="2" spans="1:14" x14ac:dyDescent="0.25">
      <c r="A2" t="s">
        <v>629</v>
      </c>
      <c r="B2" s="9">
        <v>0</v>
      </c>
      <c r="G2" s="10"/>
      <c r="H2" s="10" t="e">
        <f>VLOOKUP($A2,#REF!,24,0)</f>
        <v>#REF!</v>
      </c>
      <c r="I2" s="1"/>
      <c r="J2" s="10" t="e">
        <f>VLOOKUP($A2,#REF!,38,0)</f>
        <v>#REF!</v>
      </c>
      <c r="K2" s="10" t="e">
        <f>VLOOKUP($A2,#REF!,41,0)</f>
        <v>#REF!</v>
      </c>
      <c r="L2" s="10" t="e">
        <f>VLOOKUP($A2,#REF!,42,0)</f>
        <v>#REF!</v>
      </c>
      <c r="M2" s="10" t="e">
        <f>VLOOKUP($A2,#REF!,43,0)</f>
        <v>#REF!</v>
      </c>
      <c r="N2" s="10" t="e">
        <f>VLOOKUP($A2,#REF!,44,0)</f>
        <v>#REF!</v>
      </c>
    </row>
    <row r="3" spans="1:14" x14ac:dyDescent="0.25">
      <c r="A3" t="s">
        <v>630</v>
      </c>
      <c r="B3" s="9">
        <v>0</v>
      </c>
    </row>
    <row r="4" spans="1:14" x14ac:dyDescent="0.25">
      <c r="A4" t="s">
        <v>631</v>
      </c>
      <c r="B4" s="9">
        <v>0</v>
      </c>
    </row>
    <row r="5" spans="1:14" x14ac:dyDescent="0.25">
      <c r="A5" t="s">
        <v>632</v>
      </c>
      <c r="B5" s="9">
        <v>0</v>
      </c>
    </row>
    <row r="6" spans="1:14" x14ac:dyDescent="0.25">
      <c r="A6" t="s">
        <v>633</v>
      </c>
      <c r="B6" s="9">
        <v>0</v>
      </c>
    </row>
    <row r="7" spans="1:14" x14ac:dyDescent="0.25">
      <c r="A7" t="s">
        <v>634</v>
      </c>
      <c r="B7" s="9">
        <v>0</v>
      </c>
    </row>
    <row r="8" spans="1:14" x14ac:dyDescent="0.25">
      <c r="A8" t="s">
        <v>635</v>
      </c>
      <c r="B8" s="9">
        <v>0</v>
      </c>
    </row>
    <row r="9" spans="1:14" x14ac:dyDescent="0.25">
      <c r="A9" t="s">
        <v>636</v>
      </c>
      <c r="B9" s="9">
        <v>0</v>
      </c>
    </row>
    <row r="10" spans="1:14" x14ac:dyDescent="0.25">
      <c r="A10" t="s">
        <v>637</v>
      </c>
      <c r="B10" s="9">
        <v>0</v>
      </c>
    </row>
    <row r="11" spans="1:14" x14ac:dyDescent="0.25">
      <c r="A11" t="s">
        <v>638</v>
      </c>
      <c r="B11" s="9">
        <v>0</v>
      </c>
    </row>
    <row r="12" spans="1:14" x14ac:dyDescent="0.25">
      <c r="A12" t="s">
        <v>639</v>
      </c>
      <c r="B12" s="9">
        <v>0</v>
      </c>
    </row>
    <row r="13" spans="1:14" x14ac:dyDescent="0.25">
      <c r="A13" t="s">
        <v>640</v>
      </c>
      <c r="B13" s="9">
        <v>0</v>
      </c>
    </row>
    <row r="14" spans="1:14" x14ac:dyDescent="0.25">
      <c r="A14" t="s">
        <v>641</v>
      </c>
      <c r="B14" s="9">
        <v>0</v>
      </c>
    </row>
    <row r="15" spans="1:14" x14ac:dyDescent="0.25">
      <c r="A15" t="s">
        <v>642</v>
      </c>
      <c r="B15" s="9">
        <v>0</v>
      </c>
    </row>
    <row r="16" spans="1:14" x14ac:dyDescent="0.25">
      <c r="A16" t="s">
        <v>643</v>
      </c>
      <c r="B16" s="9">
        <v>0</v>
      </c>
    </row>
    <row r="17" spans="1:2" x14ac:dyDescent="0.25">
      <c r="A17" t="s">
        <v>644</v>
      </c>
      <c r="B17" s="9">
        <v>0</v>
      </c>
    </row>
    <row r="18" spans="1:2" x14ac:dyDescent="0.25">
      <c r="A18" t="s">
        <v>645</v>
      </c>
      <c r="B18" s="9">
        <v>0</v>
      </c>
    </row>
    <row r="19" spans="1:2" x14ac:dyDescent="0.25">
      <c r="A19" t="s">
        <v>646</v>
      </c>
      <c r="B19" s="9">
        <v>0</v>
      </c>
    </row>
    <row r="20" spans="1:2" x14ac:dyDescent="0.25">
      <c r="A20" t="s">
        <v>647</v>
      </c>
      <c r="B20" s="9">
        <v>0</v>
      </c>
    </row>
    <row r="21" spans="1:2" x14ac:dyDescent="0.25">
      <c r="A21" t="s">
        <v>648</v>
      </c>
      <c r="B21" s="9">
        <v>0</v>
      </c>
    </row>
    <row r="22" spans="1:2" x14ac:dyDescent="0.25">
      <c r="A22" t="s">
        <v>649</v>
      </c>
      <c r="B22" s="9">
        <v>0</v>
      </c>
    </row>
    <row r="23" spans="1:2" x14ac:dyDescent="0.25">
      <c r="A23" t="s">
        <v>650</v>
      </c>
      <c r="B23" s="9">
        <v>0</v>
      </c>
    </row>
    <row r="24" spans="1:2" x14ac:dyDescent="0.25">
      <c r="A24" t="s">
        <v>651</v>
      </c>
      <c r="B24" s="9">
        <v>0</v>
      </c>
    </row>
    <row r="25" spans="1:2" x14ac:dyDescent="0.25">
      <c r="A25" t="s">
        <v>652</v>
      </c>
      <c r="B25" s="9">
        <v>0</v>
      </c>
    </row>
    <row r="26" spans="1:2" x14ac:dyDescent="0.25">
      <c r="A26" t="s">
        <v>653</v>
      </c>
      <c r="B26" s="9">
        <v>0</v>
      </c>
    </row>
    <row r="27" spans="1:2" x14ac:dyDescent="0.25">
      <c r="A27" t="s">
        <v>654</v>
      </c>
      <c r="B27" s="9">
        <v>0</v>
      </c>
    </row>
    <row r="28" spans="1:2" x14ac:dyDescent="0.25">
      <c r="A28" t="s">
        <v>655</v>
      </c>
      <c r="B28" s="9">
        <v>0</v>
      </c>
    </row>
    <row r="29" spans="1:2" x14ac:dyDescent="0.25">
      <c r="A29" t="s">
        <v>656</v>
      </c>
      <c r="B29" s="9">
        <v>0</v>
      </c>
    </row>
    <row r="30" spans="1:2" x14ac:dyDescent="0.25">
      <c r="A30" t="s">
        <v>657</v>
      </c>
      <c r="B30" s="9">
        <v>0</v>
      </c>
    </row>
    <row r="31" spans="1:2" x14ac:dyDescent="0.25">
      <c r="A31" t="s">
        <v>658</v>
      </c>
      <c r="B31" s="9">
        <v>0</v>
      </c>
    </row>
    <row r="32" spans="1:2" x14ac:dyDescent="0.25">
      <c r="A32" t="s">
        <v>659</v>
      </c>
      <c r="B32" s="9">
        <v>0</v>
      </c>
    </row>
    <row r="33" spans="1:2" x14ac:dyDescent="0.25">
      <c r="A33" t="s">
        <v>660</v>
      </c>
      <c r="B33" s="9">
        <v>0</v>
      </c>
    </row>
    <row r="34" spans="1:2" x14ac:dyDescent="0.25">
      <c r="A34" t="s">
        <v>661</v>
      </c>
      <c r="B34" s="9">
        <v>0</v>
      </c>
    </row>
    <row r="35" spans="1:2" x14ac:dyDescent="0.25">
      <c r="A35" t="s">
        <v>662</v>
      </c>
      <c r="B35" s="9">
        <v>0</v>
      </c>
    </row>
    <row r="36" spans="1:2" x14ac:dyDescent="0.25">
      <c r="A36" t="s">
        <v>663</v>
      </c>
      <c r="B36" s="9">
        <v>0</v>
      </c>
    </row>
    <row r="37" spans="1:2" x14ac:dyDescent="0.25">
      <c r="A37" t="s">
        <v>664</v>
      </c>
      <c r="B37" s="9">
        <v>0</v>
      </c>
    </row>
    <row r="38" spans="1:2" x14ac:dyDescent="0.25">
      <c r="A38" t="s">
        <v>665</v>
      </c>
      <c r="B38" s="9">
        <v>0</v>
      </c>
    </row>
    <row r="39" spans="1:2" x14ac:dyDescent="0.25">
      <c r="A39" t="s">
        <v>666</v>
      </c>
      <c r="B39" s="9">
        <v>0</v>
      </c>
    </row>
    <row r="40" spans="1:2" x14ac:dyDescent="0.25">
      <c r="A40" t="s">
        <v>667</v>
      </c>
      <c r="B40" s="9">
        <v>0</v>
      </c>
    </row>
    <row r="41" spans="1:2" x14ac:dyDescent="0.25">
      <c r="A41" t="s">
        <v>668</v>
      </c>
      <c r="B41" s="9">
        <v>0</v>
      </c>
    </row>
    <row r="42" spans="1:2" x14ac:dyDescent="0.25">
      <c r="A42" t="s">
        <v>669</v>
      </c>
      <c r="B42" s="9">
        <v>0</v>
      </c>
    </row>
    <row r="43" spans="1:2" x14ac:dyDescent="0.25">
      <c r="A43" t="s">
        <v>670</v>
      </c>
      <c r="B43" s="9">
        <v>0</v>
      </c>
    </row>
    <row r="44" spans="1:2" x14ac:dyDescent="0.25">
      <c r="A44" t="s">
        <v>671</v>
      </c>
      <c r="B44" s="9">
        <v>0</v>
      </c>
    </row>
    <row r="45" spans="1:2" x14ac:dyDescent="0.25">
      <c r="A45" t="s">
        <v>672</v>
      </c>
      <c r="B45" s="9">
        <v>0</v>
      </c>
    </row>
    <row r="46" spans="1:2" x14ac:dyDescent="0.25">
      <c r="A46" t="s">
        <v>673</v>
      </c>
      <c r="B46" s="9">
        <v>0</v>
      </c>
    </row>
    <row r="47" spans="1:2" x14ac:dyDescent="0.25">
      <c r="A47" t="s">
        <v>674</v>
      </c>
      <c r="B47" s="9">
        <v>0</v>
      </c>
    </row>
    <row r="48" spans="1:2" x14ac:dyDescent="0.25">
      <c r="A48" t="s">
        <v>675</v>
      </c>
      <c r="B48" s="9">
        <v>0</v>
      </c>
    </row>
    <row r="49" spans="1:2" x14ac:dyDescent="0.25">
      <c r="A49" t="s">
        <v>676</v>
      </c>
      <c r="B49" s="9">
        <v>0</v>
      </c>
    </row>
    <row r="50" spans="1:2" x14ac:dyDescent="0.25">
      <c r="A50" t="s">
        <v>677</v>
      </c>
      <c r="B50" s="9">
        <v>0</v>
      </c>
    </row>
    <row r="51" spans="1:2" x14ac:dyDescent="0.25">
      <c r="A51" t="s">
        <v>678</v>
      </c>
      <c r="B51" s="9">
        <v>0</v>
      </c>
    </row>
    <row r="52" spans="1:2" x14ac:dyDescent="0.25">
      <c r="A52" t="s">
        <v>679</v>
      </c>
      <c r="B52" s="9">
        <v>0</v>
      </c>
    </row>
    <row r="53" spans="1:2" x14ac:dyDescent="0.25">
      <c r="A53" t="s">
        <v>680</v>
      </c>
      <c r="B53" s="9">
        <v>0</v>
      </c>
    </row>
    <row r="54" spans="1:2" x14ac:dyDescent="0.25">
      <c r="A54" t="s">
        <v>681</v>
      </c>
      <c r="B54" s="9">
        <v>0</v>
      </c>
    </row>
    <row r="55" spans="1:2" x14ac:dyDescent="0.25">
      <c r="A55" t="s">
        <v>682</v>
      </c>
      <c r="B55" s="9">
        <v>0</v>
      </c>
    </row>
    <row r="56" spans="1:2" x14ac:dyDescent="0.25">
      <c r="A56" t="s">
        <v>683</v>
      </c>
      <c r="B56" s="9">
        <v>0</v>
      </c>
    </row>
    <row r="57" spans="1:2" x14ac:dyDescent="0.25">
      <c r="A57" t="s">
        <v>684</v>
      </c>
      <c r="B57" s="9">
        <v>0</v>
      </c>
    </row>
    <row r="58" spans="1:2" x14ac:dyDescent="0.25">
      <c r="A58" t="s">
        <v>685</v>
      </c>
      <c r="B58" s="9">
        <v>0</v>
      </c>
    </row>
    <row r="59" spans="1:2" x14ac:dyDescent="0.25">
      <c r="A59" t="s">
        <v>686</v>
      </c>
      <c r="B59" s="9">
        <v>0</v>
      </c>
    </row>
    <row r="60" spans="1:2" x14ac:dyDescent="0.25">
      <c r="A60" t="s">
        <v>687</v>
      </c>
      <c r="B60" s="9">
        <v>0</v>
      </c>
    </row>
    <row r="61" spans="1:2" x14ac:dyDescent="0.25">
      <c r="A61" t="s">
        <v>688</v>
      </c>
      <c r="B61" s="9">
        <v>0</v>
      </c>
    </row>
    <row r="62" spans="1:2" x14ac:dyDescent="0.25">
      <c r="A62" t="s">
        <v>689</v>
      </c>
      <c r="B62" s="9">
        <v>0</v>
      </c>
    </row>
    <row r="63" spans="1:2" x14ac:dyDescent="0.25">
      <c r="A63" t="s">
        <v>690</v>
      </c>
      <c r="B63" s="9">
        <v>0</v>
      </c>
    </row>
    <row r="64" spans="1:2" x14ac:dyDescent="0.25">
      <c r="A64" t="s">
        <v>691</v>
      </c>
      <c r="B64" s="9">
        <v>0</v>
      </c>
    </row>
    <row r="65" spans="1:2" x14ac:dyDescent="0.25">
      <c r="A65" t="s">
        <v>692</v>
      </c>
      <c r="B65" s="9">
        <v>0</v>
      </c>
    </row>
    <row r="66" spans="1:2" x14ac:dyDescent="0.25">
      <c r="A66" t="s">
        <v>693</v>
      </c>
      <c r="B66" s="9">
        <v>0</v>
      </c>
    </row>
    <row r="67" spans="1:2" x14ac:dyDescent="0.25">
      <c r="A67" t="s">
        <v>694</v>
      </c>
      <c r="B67" s="9">
        <v>0</v>
      </c>
    </row>
    <row r="68" spans="1:2" x14ac:dyDescent="0.25">
      <c r="A68" t="s">
        <v>695</v>
      </c>
      <c r="B68" s="9">
        <v>0</v>
      </c>
    </row>
    <row r="69" spans="1:2" x14ac:dyDescent="0.25">
      <c r="A69" t="s">
        <v>696</v>
      </c>
      <c r="B69" s="9">
        <v>0</v>
      </c>
    </row>
    <row r="70" spans="1:2" x14ac:dyDescent="0.25">
      <c r="A70" t="s">
        <v>697</v>
      </c>
      <c r="B70" s="9">
        <v>0</v>
      </c>
    </row>
    <row r="71" spans="1:2" x14ac:dyDescent="0.25">
      <c r="A71" t="s">
        <v>698</v>
      </c>
      <c r="B71" s="9">
        <v>0</v>
      </c>
    </row>
    <row r="72" spans="1:2" x14ac:dyDescent="0.25">
      <c r="A72" t="s">
        <v>699</v>
      </c>
      <c r="B72" s="9">
        <v>0</v>
      </c>
    </row>
    <row r="73" spans="1:2" x14ac:dyDescent="0.25">
      <c r="A73" t="s">
        <v>700</v>
      </c>
      <c r="B73" s="9">
        <v>0</v>
      </c>
    </row>
    <row r="74" spans="1:2" x14ac:dyDescent="0.25">
      <c r="A74" t="s">
        <v>701</v>
      </c>
      <c r="B74" s="9">
        <v>0</v>
      </c>
    </row>
    <row r="75" spans="1:2" x14ac:dyDescent="0.25">
      <c r="A75" t="s">
        <v>702</v>
      </c>
      <c r="B75" s="9">
        <v>0</v>
      </c>
    </row>
    <row r="76" spans="1:2" x14ac:dyDescent="0.25">
      <c r="A76" t="s">
        <v>703</v>
      </c>
      <c r="B76" s="9">
        <v>0</v>
      </c>
    </row>
    <row r="77" spans="1:2" x14ac:dyDescent="0.25">
      <c r="A77" t="s">
        <v>704</v>
      </c>
      <c r="B77" s="9">
        <v>0</v>
      </c>
    </row>
    <row r="78" spans="1:2" x14ac:dyDescent="0.25">
      <c r="A78" t="s">
        <v>705</v>
      </c>
      <c r="B78" s="9">
        <v>0</v>
      </c>
    </row>
    <row r="79" spans="1:2" x14ac:dyDescent="0.25">
      <c r="A79" t="s">
        <v>706</v>
      </c>
      <c r="B79" s="9">
        <v>0</v>
      </c>
    </row>
    <row r="80" spans="1:2" x14ac:dyDescent="0.25">
      <c r="A80" t="s">
        <v>707</v>
      </c>
      <c r="B80" s="9">
        <v>0</v>
      </c>
    </row>
    <row r="81" spans="1:2" x14ac:dyDescent="0.25">
      <c r="A81" t="s">
        <v>708</v>
      </c>
      <c r="B81" s="9">
        <v>0</v>
      </c>
    </row>
    <row r="82" spans="1:2" x14ac:dyDescent="0.25">
      <c r="A82" t="s">
        <v>709</v>
      </c>
      <c r="B82" s="9">
        <v>0</v>
      </c>
    </row>
    <row r="83" spans="1:2" x14ac:dyDescent="0.25">
      <c r="A83" t="s">
        <v>710</v>
      </c>
      <c r="B83" s="9">
        <v>0</v>
      </c>
    </row>
    <row r="84" spans="1:2" x14ac:dyDescent="0.25">
      <c r="A84" t="s">
        <v>711</v>
      </c>
      <c r="B84" s="9">
        <v>0</v>
      </c>
    </row>
    <row r="85" spans="1:2" x14ac:dyDescent="0.25">
      <c r="A85" t="s">
        <v>712</v>
      </c>
      <c r="B85" s="9">
        <v>0</v>
      </c>
    </row>
    <row r="86" spans="1:2" x14ac:dyDescent="0.25">
      <c r="A86" t="s">
        <v>713</v>
      </c>
      <c r="B86" s="9">
        <v>0</v>
      </c>
    </row>
    <row r="87" spans="1:2" x14ac:dyDescent="0.25">
      <c r="A87" t="s">
        <v>714</v>
      </c>
      <c r="B87" s="9">
        <v>0</v>
      </c>
    </row>
    <row r="88" spans="1:2" x14ac:dyDescent="0.25">
      <c r="A88" t="s">
        <v>715</v>
      </c>
      <c r="B88" s="9">
        <v>0</v>
      </c>
    </row>
    <row r="89" spans="1:2" x14ac:dyDescent="0.25">
      <c r="A89" t="s">
        <v>716</v>
      </c>
      <c r="B89" s="9">
        <v>0</v>
      </c>
    </row>
    <row r="90" spans="1:2" x14ac:dyDescent="0.25">
      <c r="A90" t="s">
        <v>717</v>
      </c>
      <c r="B90" s="9">
        <v>0</v>
      </c>
    </row>
    <row r="91" spans="1:2" x14ac:dyDescent="0.25">
      <c r="A91" t="s">
        <v>718</v>
      </c>
      <c r="B91" s="9">
        <v>0</v>
      </c>
    </row>
    <row r="92" spans="1:2" x14ac:dyDescent="0.25">
      <c r="A92" t="s">
        <v>719</v>
      </c>
      <c r="B92" s="9">
        <v>0</v>
      </c>
    </row>
    <row r="93" spans="1:2" x14ac:dyDescent="0.25">
      <c r="A93" t="s">
        <v>720</v>
      </c>
      <c r="B93" s="9">
        <v>0</v>
      </c>
    </row>
    <row r="94" spans="1:2" x14ac:dyDescent="0.25">
      <c r="A94" t="s">
        <v>721</v>
      </c>
      <c r="B94" s="9">
        <v>0</v>
      </c>
    </row>
    <row r="95" spans="1:2" x14ac:dyDescent="0.25">
      <c r="A95" t="s">
        <v>722</v>
      </c>
      <c r="B95" s="9">
        <v>0</v>
      </c>
    </row>
    <row r="96" spans="1:2" x14ac:dyDescent="0.25">
      <c r="A96" t="s">
        <v>723</v>
      </c>
      <c r="B96" s="9">
        <v>0</v>
      </c>
    </row>
    <row r="97" spans="1:2" x14ac:dyDescent="0.25">
      <c r="A97" t="s">
        <v>724</v>
      </c>
      <c r="B97" s="9">
        <v>0</v>
      </c>
    </row>
    <row r="98" spans="1:2" x14ac:dyDescent="0.25">
      <c r="A98" t="s">
        <v>725</v>
      </c>
      <c r="B98" s="9">
        <v>0</v>
      </c>
    </row>
    <row r="99" spans="1:2" x14ac:dyDescent="0.25">
      <c r="A99" t="s">
        <v>726</v>
      </c>
      <c r="B99" s="9">
        <v>0</v>
      </c>
    </row>
    <row r="100" spans="1:2" x14ac:dyDescent="0.25">
      <c r="A100" t="s">
        <v>727</v>
      </c>
      <c r="B100" s="9">
        <v>0</v>
      </c>
    </row>
    <row r="101" spans="1:2" x14ac:dyDescent="0.25">
      <c r="A101" t="s">
        <v>728</v>
      </c>
      <c r="B101" s="9">
        <v>0</v>
      </c>
    </row>
    <row r="102" spans="1:2" x14ac:dyDescent="0.25">
      <c r="A102" t="s">
        <v>729</v>
      </c>
      <c r="B102" s="9">
        <v>0</v>
      </c>
    </row>
    <row r="103" spans="1:2" x14ac:dyDescent="0.25">
      <c r="A103" t="s">
        <v>730</v>
      </c>
      <c r="B103" s="9">
        <v>0</v>
      </c>
    </row>
    <row r="104" spans="1:2" x14ac:dyDescent="0.25">
      <c r="A104" t="s">
        <v>731</v>
      </c>
      <c r="B104" s="9">
        <v>0</v>
      </c>
    </row>
    <row r="105" spans="1:2" x14ac:dyDescent="0.25">
      <c r="A105" t="s">
        <v>732</v>
      </c>
      <c r="B105" s="9">
        <v>0</v>
      </c>
    </row>
    <row r="106" spans="1:2" x14ac:dyDescent="0.25">
      <c r="A106" t="s">
        <v>733</v>
      </c>
      <c r="B106" s="9">
        <v>0</v>
      </c>
    </row>
    <row r="107" spans="1:2" x14ac:dyDescent="0.25">
      <c r="A107" t="s">
        <v>734</v>
      </c>
      <c r="B107" s="9">
        <v>0</v>
      </c>
    </row>
    <row r="108" spans="1:2" x14ac:dyDescent="0.25">
      <c r="A108" t="s">
        <v>735</v>
      </c>
      <c r="B108" s="9">
        <v>0</v>
      </c>
    </row>
    <row r="109" spans="1:2" x14ac:dyDescent="0.25">
      <c r="A109" t="s">
        <v>736</v>
      </c>
      <c r="B109" s="9">
        <v>0</v>
      </c>
    </row>
    <row r="110" spans="1:2" x14ac:dyDescent="0.25">
      <c r="A110" t="s">
        <v>737</v>
      </c>
      <c r="B110" s="9">
        <v>0</v>
      </c>
    </row>
    <row r="111" spans="1:2" x14ac:dyDescent="0.25">
      <c r="A111" t="s">
        <v>738</v>
      </c>
      <c r="B111" s="9">
        <v>0</v>
      </c>
    </row>
    <row r="112" spans="1:2" x14ac:dyDescent="0.25">
      <c r="A112" t="s">
        <v>739</v>
      </c>
      <c r="B112" s="9">
        <v>0</v>
      </c>
    </row>
    <row r="113" spans="1:2" x14ac:dyDescent="0.25">
      <c r="A113" t="s">
        <v>740</v>
      </c>
      <c r="B113" s="9">
        <v>0</v>
      </c>
    </row>
    <row r="114" spans="1:2" x14ac:dyDescent="0.25">
      <c r="A114" t="s">
        <v>741</v>
      </c>
      <c r="B114" s="9">
        <v>0</v>
      </c>
    </row>
    <row r="115" spans="1:2" x14ac:dyDescent="0.25">
      <c r="A115" t="s">
        <v>742</v>
      </c>
      <c r="B115" s="9">
        <v>0</v>
      </c>
    </row>
    <row r="116" spans="1:2" x14ac:dyDescent="0.25">
      <c r="A116" t="s">
        <v>743</v>
      </c>
      <c r="B116" s="9">
        <v>0</v>
      </c>
    </row>
    <row r="117" spans="1:2" x14ac:dyDescent="0.25">
      <c r="A117" t="s">
        <v>744</v>
      </c>
      <c r="B117" s="9">
        <v>0</v>
      </c>
    </row>
    <row r="118" spans="1:2" x14ac:dyDescent="0.25">
      <c r="A118" t="s">
        <v>745</v>
      </c>
      <c r="B118" s="9">
        <v>0</v>
      </c>
    </row>
    <row r="119" spans="1:2" x14ac:dyDescent="0.25">
      <c r="A119" t="s">
        <v>746</v>
      </c>
      <c r="B119" s="9">
        <v>0</v>
      </c>
    </row>
    <row r="120" spans="1:2" x14ac:dyDescent="0.25">
      <c r="A120" t="s">
        <v>747</v>
      </c>
      <c r="B120" s="9">
        <v>0</v>
      </c>
    </row>
    <row r="121" spans="1:2" x14ac:dyDescent="0.25">
      <c r="A121" t="s">
        <v>748</v>
      </c>
      <c r="B121" s="9">
        <v>0</v>
      </c>
    </row>
    <row r="122" spans="1:2" x14ac:dyDescent="0.25">
      <c r="A122" t="s">
        <v>749</v>
      </c>
      <c r="B122" s="9">
        <v>0</v>
      </c>
    </row>
    <row r="123" spans="1:2" x14ac:dyDescent="0.25">
      <c r="A123" t="s">
        <v>750</v>
      </c>
      <c r="B123" s="9">
        <v>0</v>
      </c>
    </row>
    <row r="124" spans="1:2" x14ac:dyDescent="0.25">
      <c r="A124" t="s">
        <v>751</v>
      </c>
      <c r="B124" s="9">
        <v>0</v>
      </c>
    </row>
    <row r="125" spans="1:2" x14ac:dyDescent="0.25">
      <c r="A125" t="s">
        <v>752</v>
      </c>
      <c r="B125" s="9">
        <v>0</v>
      </c>
    </row>
    <row r="126" spans="1:2" x14ac:dyDescent="0.25">
      <c r="A126" t="s">
        <v>753</v>
      </c>
      <c r="B126" s="9">
        <v>0</v>
      </c>
    </row>
    <row r="127" spans="1:2" x14ac:dyDescent="0.25">
      <c r="A127" t="s">
        <v>754</v>
      </c>
      <c r="B127" s="9">
        <v>0</v>
      </c>
    </row>
    <row r="128" spans="1:2" x14ac:dyDescent="0.25">
      <c r="A128" t="s">
        <v>755</v>
      </c>
      <c r="B128" s="9">
        <v>0</v>
      </c>
    </row>
    <row r="129" spans="1:2" x14ac:dyDescent="0.25">
      <c r="A129" t="s">
        <v>756</v>
      </c>
      <c r="B129" s="9">
        <v>0</v>
      </c>
    </row>
    <row r="130" spans="1:2" x14ac:dyDescent="0.25">
      <c r="A130" t="s">
        <v>757</v>
      </c>
      <c r="B130" s="9">
        <v>0</v>
      </c>
    </row>
    <row r="131" spans="1:2" x14ac:dyDescent="0.25">
      <c r="A131" t="s">
        <v>758</v>
      </c>
      <c r="B131" s="9">
        <v>0</v>
      </c>
    </row>
    <row r="132" spans="1:2" x14ac:dyDescent="0.25">
      <c r="A132" t="s">
        <v>759</v>
      </c>
      <c r="B132" s="9">
        <v>0</v>
      </c>
    </row>
    <row r="133" spans="1:2" x14ac:dyDescent="0.25">
      <c r="A133" t="s">
        <v>760</v>
      </c>
      <c r="B133" s="9">
        <v>0</v>
      </c>
    </row>
    <row r="134" spans="1:2" x14ac:dyDescent="0.25">
      <c r="A134" t="s">
        <v>761</v>
      </c>
      <c r="B134" s="9">
        <v>0</v>
      </c>
    </row>
    <row r="135" spans="1:2" x14ac:dyDescent="0.25">
      <c r="A135" t="s">
        <v>762</v>
      </c>
      <c r="B135" s="9">
        <v>0</v>
      </c>
    </row>
    <row r="136" spans="1:2" x14ac:dyDescent="0.25">
      <c r="A136" t="s">
        <v>763</v>
      </c>
      <c r="B136" s="9">
        <v>0</v>
      </c>
    </row>
    <row r="137" spans="1:2" x14ac:dyDescent="0.25">
      <c r="A137" t="s">
        <v>764</v>
      </c>
      <c r="B137" s="9">
        <v>0</v>
      </c>
    </row>
    <row r="138" spans="1:2" x14ac:dyDescent="0.25">
      <c r="A138" t="s">
        <v>765</v>
      </c>
      <c r="B138" s="9">
        <v>0</v>
      </c>
    </row>
    <row r="139" spans="1:2" x14ac:dyDescent="0.25">
      <c r="A139" t="s">
        <v>766</v>
      </c>
      <c r="B139" s="9">
        <v>0</v>
      </c>
    </row>
    <row r="140" spans="1:2" x14ac:dyDescent="0.25">
      <c r="A140" t="s">
        <v>767</v>
      </c>
      <c r="B140" s="9">
        <v>0</v>
      </c>
    </row>
    <row r="141" spans="1:2" x14ac:dyDescent="0.25">
      <c r="A141" t="s">
        <v>768</v>
      </c>
      <c r="B141" s="9">
        <v>0</v>
      </c>
    </row>
    <row r="142" spans="1:2" x14ac:dyDescent="0.25">
      <c r="A142" t="s">
        <v>769</v>
      </c>
      <c r="B142" s="9">
        <v>0</v>
      </c>
    </row>
    <row r="143" spans="1:2" x14ac:dyDescent="0.25">
      <c r="A143" t="s">
        <v>770</v>
      </c>
      <c r="B143" s="9">
        <v>0</v>
      </c>
    </row>
    <row r="144" spans="1:2" x14ac:dyDescent="0.25">
      <c r="A144" t="s">
        <v>771</v>
      </c>
      <c r="B144" s="9">
        <v>0</v>
      </c>
    </row>
    <row r="145" spans="1:2" x14ac:dyDescent="0.25">
      <c r="A145" t="s">
        <v>772</v>
      </c>
      <c r="B145" s="9">
        <v>0</v>
      </c>
    </row>
    <row r="146" spans="1:2" x14ac:dyDescent="0.25">
      <c r="A146" t="s">
        <v>773</v>
      </c>
      <c r="B146" s="9">
        <v>0</v>
      </c>
    </row>
    <row r="147" spans="1:2" x14ac:dyDescent="0.25">
      <c r="A147" t="s">
        <v>774</v>
      </c>
      <c r="B147" s="9">
        <v>0</v>
      </c>
    </row>
    <row r="148" spans="1:2" x14ac:dyDescent="0.25">
      <c r="A148" t="s">
        <v>775</v>
      </c>
      <c r="B148" s="9">
        <v>0</v>
      </c>
    </row>
    <row r="149" spans="1:2" x14ac:dyDescent="0.25">
      <c r="A149" t="s">
        <v>776</v>
      </c>
      <c r="B149" s="9">
        <v>0</v>
      </c>
    </row>
    <row r="150" spans="1:2" x14ac:dyDescent="0.25">
      <c r="A150" t="s">
        <v>777</v>
      </c>
      <c r="B150" s="9">
        <v>0</v>
      </c>
    </row>
    <row r="151" spans="1:2" x14ac:dyDescent="0.25">
      <c r="A151" t="s">
        <v>778</v>
      </c>
      <c r="B151" s="9">
        <v>0</v>
      </c>
    </row>
    <row r="152" spans="1:2" x14ac:dyDescent="0.25">
      <c r="A152" t="s">
        <v>779</v>
      </c>
      <c r="B152" s="9">
        <v>0</v>
      </c>
    </row>
    <row r="153" spans="1:2" x14ac:dyDescent="0.25">
      <c r="A153" t="s">
        <v>780</v>
      </c>
      <c r="B153" s="9">
        <v>0</v>
      </c>
    </row>
    <row r="154" spans="1:2" x14ac:dyDescent="0.25">
      <c r="A154" t="s">
        <v>781</v>
      </c>
      <c r="B154" s="9">
        <v>0</v>
      </c>
    </row>
    <row r="155" spans="1:2" x14ac:dyDescent="0.25">
      <c r="A155" t="s">
        <v>782</v>
      </c>
      <c r="B155" s="9">
        <v>0</v>
      </c>
    </row>
    <row r="156" spans="1:2" x14ac:dyDescent="0.25">
      <c r="A156" t="s">
        <v>783</v>
      </c>
      <c r="B156" s="9">
        <v>0</v>
      </c>
    </row>
    <row r="157" spans="1:2" x14ac:dyDescent="0.25">
      <c r="A157" t="s">
        <v>784</v>
      </c>
      <c r="B157" s="9">
        <v>0</v>
      </c>
    </row>
    <row r="158" spans="1:2" x14ac:dyDescent="0.25">
      <c r="A158" t="s">
        <v>785</v>
      </c>
      <c r="B158" s="9">
        <v>0</v>
      </c>
    </row>
    <row r="159" spans="1:2" x14ac:dyDescent="0.25">
      <c r="A159" t="s">
        <v>786</v>
      </c>
      <c r="B159" s="9">
        <v>0</v>
      </c>
    </row>
    <row r="160" spans="1:2" x14ac:dyDescent="0.25">
      <c r="A160" t="s">
        <v>787</v>
      </c>
      <c r="B160" s="9">
        <v>0</v>
      </c>
    </row>
    <row r="161" spans="1:2" x14ac:dyDescent="0.25">
      <c r="A161" t="s">
        <v>788</v>
      </c>
      <c r="B161" s="9">
        <v>0</v>
      </c>
    </row>
    <row r="162" spans="1:2" x14ac:dyDescent="0.25">
      <c r="A162" t="s">
        <v>789</v>
      </c>
      <c r="B162" s="9">
        <v>0</v>
      </c>
    </row>
    <row r="163" spans="1:2" x14ac:dyDescent="0.25">
      <c r="A163" t="s">
        <v>790</v>
      </c>
      <c r="B163" s="9">
        <v>0</v>
      </c>
    </row>
    <row r="164" spans="1:2" x14ac:dyDescent="0.25">
      <c r="A164" t="s">
        <v>791</v>
      </c>
      <c r="B164" s="9">
        <v>0</v>
      </c>
    </row>
    <row r="165" spans="1:2" x14ac:dyDescent="0.25">
      <c r="A165" t="s">
        <v>792</v>
      </c>
      <c r="B165" s="9">
        <v>0</v>
      </c>
    </row>
    <row r="166" spans="1:2" x14ac:dyDescent="0.25">
      <c r="A166" t="s">
        <v>793</v>
      </c>
      <c r="B166" s="9">
        <v>0</v>
      </c>
    </row>
    <row r="167" spans="1:2" x14ac:dyDescent="0.25">
      <c r="A167" t="s">
        <v>794</v>
      </c>
      <c r="B167" s="9">
        <v>0</v>
      </c>
    </row>
    <row r="168" spans="1:2" x14ac:dyDescent="0.25">
      <c r="A168" t="s">
        <v>795</v>
      </c>
      <c r="B168" s="9">
        <v>0</v>
      </c>
    </row>
    <row r="169" spans="1:2" x14ac:dyDescent="0.25">
      <c r="A169" t="s">
        <v>796</v>
      </c>
      <c r="B169" s="9">
        <v>0</v>
      </c>
    </row>
    <row r="170" spans="1:2" x14ac:dyDescent="0.25">
      <c r="A170" t="s">
        <v>797</v>
      </c>
      <c r="B170" s="9">
        <v>0</v>
      </c>
    </row>
    <row r="171" spans="1:2" x14ac:dyDescent="0.25">
      <c r="A171" t="s">
        <v>798</v>
      </c>
      <c r="B171" s="9">
        <v>0</v>
      </c>
    </row>
    <row r="172" spans="1:2" x14ac:dyDescent="0.25">
      <c r="A172" t="s">
        <v>799</v>
      </c>
      <c r="B172" s="9">
        <v>0</v>
      </c>
    </row>
    <row r="173" spans="1:2" x14ac:dyDescent="0.25">
      <c r="A173" t="s">
        <v>800</v>
      </c>
      <c r="B173" s="9">
        <v>0</v>
      </c>
    </row>
    <row r="174" spans="1:2" x14ac:dyDescent="0.25">
      <c r="A174" t="s">
        <v>801</v>
      </c>
      <c r="B174" s="9">
        <v>0</v>
      </c>
    </row>
    <row r="175" spans="1:2" x14ac:dyDescent="0.25">
      <c r="A175" t="s">
        <v>802</v>
      </c>
      <c r="B175" s="9">
        <v>0</v>
      </c>
    </row>
    <row r="176" spans="1:2" x14ac:dyDescent="0.25">
      <c r="A176" t="s">
        <v>803</v>
      </c>
      <c r="B176" s="9">
        <v>0</v>
      </c>
    </row>
    <row r="177" spans="1:2" x14ac:dyDescent="0.25">
      <c r="A177" t="s">
        <v>804</v>
      </c>
      <c r="B177" s="9">
        <v>0</v>
      </c>
    </row>
    <row r="178" spans="1:2" x14ac:dyDescent="0.25">
      <c r="A178" t="s">
        <v>805</v>
      </c>
      <c r="B178" s="9">
        <v>0</v>
      </c>
    </row>
    <row r="179" spans="1:2" x14ac:dyDescent="0.25">
      <c r="A179" t="s">
        <v>806</v>
      </c>
      <c r="B179" s="9">
        <v>0</v>
      </c>
    </row>
    <row r="180" spans="1:2" x14ac:dyDescent="0.25">
      <c r="A180" t="s">
        <v>807</v>
      </c>
      <c r="B180" s="9">
        <v>0</v>
      </c>
    </row>
    <row r="181" spans="1:2" x14ac:dyDescent="0.25">
      <c r="A181" t="s">
        <v>808</v>
      </c>
      <c r="B181" s="9">
        <v>0</v>
      </c>
    </row>
    <row r="182" spans="1:2" x14ac:dyDescent="0.25">
      <c r="A182" t="s">
        <v>809</v>
      </c>
      <c r="B182" s="9">
        <v>0</v>
      </c>
    </row>
    <row r="183" spans="1:2" x14ac:dyDescent="0.25">
      <c r="A183" t="s">
        <v>810</v>
      </c>
      <c r="B183" s="9">
        <v>0</v>
      </c>
    </row>
    <row r="184" spans="1:2" x14ac:dyDescent="0.25">
      <c r="A184" t="s">
        <v>811</v>
      </c>
      <c r="B184" s="9">
        <v>0</v>
      </c>
    </row>
    <row r="185" spans="1:2" x14ac:dyDescent="0.25">
      <c r="A185" t="s">
        <v>812</v>
      </c>
      <c r="B185" s="9">
        <v>0</v>
      </c>
    </row>
    <row r="186" spans="1:2" x14ac:dyDescent="0.25">
      <c r="A186" t="s">
        <v>813</v>
      </c>
      <c r="B186" s="9">
        <v>0</v>
      </c>
    </row>
    <row r="187" spans="1:2" x14ac:dyDescent="0.25">
      <c r="A187" t="s">
        <v>814</v>
      </c>
      <c r="B187" s="9">
        <v>0</v>
      </c>
    </row>
    <row r="188" spans="1:2" x14ac:dyDescent="0.25">
      <c r="A188" t="s">
        <v>815</v>
      </c>
      <c r="B188" s="9">
        <v>0</v>
      </c>
    </row>
    <row r="189" spans="1:2" x14ac:dyDescent="0.25">
      <c r="A189" t="s">
        <v>816</v>
      </c>
      <c r="B189" s="9">
        <v>0</v>
      </c>
    </row>
    <row r="190" spans="1:2" x14ac:dyDescent="0.25">
      <c r="A190" t="s">
        <v>817</v>
      </c>
      <c r="B190" s="9">
        <v>0</v>
      </c>
    </row>
    <row r="191" spans="1:2" x14ac:dyDescent="0.25">
      <c r="A191" t="s">
        <v>818</v>
      </c>
      <c r="B191" s="9">
        <v>0</v>
      </c>
    </row>
    <row r="192" spans="1:2" x14ac:dyDescent="0.25">
      <c r="A192" t="s">
        <v>819</v>
      </c>
      <c r="B192" s="9">
        <v>0</v>
      </c>
    </row>
    <row r="193" spans="1:2" x14ac:dyDescent="0.25">
      <c r="A193" t="s">
        <v>820</v>
      </c>
      <c r="B193" s="9">
        <v>0</v>
      </c>
    </row>
    <row r="194" spans="1:2" x14ac:dyDescent="0.25">
      <c r="A194" t="s">
        <v>821</v>
      </c>
      <c r="B194" s="9">
        <v>0</v>
      </c>
    </row>
    <row r="195" spans="1:2" x14ac:dyDescent="0.25">
      <c r="A195" t="s">
        <v>822</v>
      </c>
      <c r="B195" s="9">
        <v>0</v>
      </c>
    </row>
    <row r="196" spans="1:2" x14ac:dyDescent="0.25">
      <c r="A196" t="s">
        <v>823</v>
      </c>
      <c r="B196" s="9">
        <v>0</v>
      </c>
    </row>
    <row r="197" spans="1:2" x14ac:dyDescent="0.25">
      <c r="A197" t="s">
        <v>824</v>
      </c>
      <c r="B197" s="9">
        <v>0</v>
      </c>
    </row>
    <row r="198" spans="1:2" x14ac:dyDescent="0.25">
      <c r="A198" t="s">
        <v>825</v>
      </c>
      <c r="B198" s="9">
        <v>0</v>
      </c>
    </row>
    <row r="199" spans="1:2" x14ac:dyDescent="0.25">
      <c r="A199" t="s">
        <v>826</v>
      </c>
      <c r="B199" s="9">
        <v>0</v>
      </c>
    </row>
    <row r="200" spans="1:2" x14ac:dyDescent="0.25">
      <c r="A200" t="s">
        <v>827</v>
      </c>
      <c r="B200" s="9">
        <v>0</v>
      </c>
    </row>
    <row r="201" spans="1:2" x14ac:dyDescent="0.25">
      <c r="A201" t="s">
        <v>828</v>
      </c>
      <c r="B201" s="9">
        <v>0</v>
      </c>
    </row>
    <row r="202" spans="1:2" x14ac:dyDescent="0.25">
      <c r="A202" t="s">
        <v>829</v>
      </c>
      <c r="B202" s="9">
        <v>0</v>
      </c>
    </row>
    <row r="203" spans="1:2" x14ac:dyDescent="0.25">
      <c r="A203" t="s">
        <v>830</v>
      </c>
      <c r="B203" s="9">
        <v>0</v>
      </c>
    </row>
    <row r="204" spans="1:2" x14ac:dyDescent="0.25">
      <c r="A204" t="s">
        <v>831</v>
      </c>
      <c r="B204" s="9">
        <v>0</v>
      </c>
    </row>
    <row r="205" spans="1:2" x14ac:dyDescent="0.25">
      <c r="A205" t="s">
        <v>832</v>
      </c>
      <c r="B205" s="9">
        <v>0</v>
      </c>
    </row>
    <row r="206" spans="1:2" x14ac:dyDescent="0.25">
      <c r="A206" t="s">
        <v>833</v>
      </c>
      <c r="B206" s="9">
        <v>0</v>
      </c>
    </row>
    <row r="207" spans="1:2" x14ac:dyDescent="0.25">
      <c r="A207" t="s">
        <v>834</v>
      </c>
      <c r="B207" s="9">
        <v>0</v>
      </c>
    </row>
    <row r="208" spans="1:2" x14ac:dyDescent="0.25">
      <c r="A208" t="s">
        <v>835</v>
      </c>
      <c r="B208" s="9">
        <v>0</v>
      </c>
    </row>
    <row r="209" spans="1:2" x14ac:dyDescent="0.25">
      <c r="A209" t="s">
        <v>836</v>
      </c>
      <c r="B209" s="9">
        <v>0</v>
      </c>
    </row>
    <row r="210" spans="1:2" x14ac:dyDescent="0.25">
      <c r="A210" t="s">
        <v>837</v>
      </c>
      <c r="B210" s="9">
        <v>0</v>
      </c>
    </row>
    <row r="211" spans="1:2" x14ac:dyDescent="0.25">
      <c r="A211" t="s">
        <v>838</v>
      </c>
      <c r="B211" s="9">
        <v>0</v>
      </c>
    </row>
    <row r="212" spans="1:2" x14ac:dyDescent="0.25">
      <c r="A212" t="s">
        <v>839</v>
      </c>
      <c r="B212" s="9">
        <v>0</v>
      </c>
    </row>
    <row r="213" spans="1:2" x14ac:dyDescent="0.25">
      <c r="A213" t="s">
        <v>840</v>
      </c>
      <c r="B213" s="9">
        <v>0</v>
      </c>
    </row>
    <row r="214" spans="1:2" x14ac:dyDescent="0.25">
      <c r="A214" t="s">
        <v>841</v>
      </c>
      <c r="B214" s="9">
        <v>0</v>
      </c>
    </row>
    <row r="215" spans="1:2" x14ac:dyDescent="0.25">
      <c r="A215" t="s">
        <v>842</v>
      </c>
      <c r="B215" s="9">
        <v>0</v>
      </c>
    </row>
    <row r="216" spans="1:2" x14ac:dyDescent="0.25">
      <c r="A216" t="s">
        <v>843</v>
      </c>
      <c r="B216" s="9">
        <v>0</v>
      </c>
    </row>
    <row r="217" spans="1:2" x14ac:dyDescent="0.25">
      <c r="A217" t="s">
        <v>844</v>
      </c>
      <c r="B217" s="9">
        <v>0</v>
      </c>
    </row>
    <row r="218" spans="1:2" x14ac:dyDescent="0.25">
      <c r="A218" t="s">
        <v>845</v>
      </c>
      <c r="B218" s="9">
        <v>0</v>
      </c>
    </row>
    <row r="219" spans="1:2" x14ac:dyDescent="0.25">
      <c r="A219" t="s">
        <v>846</v>
      </c>
      <c r="B219" s="9">
        <v>0</v>
      </c>
    </row>
    <row r="220" spans="1:2" x14ac:dyDescent="0.25">
      <c r="A220" t="s">
        <v>847</v>
      </c>
      <c r="B220" s="9">
        <v>0</v>
      </c>
    </row>
    <row r="221" spans="1:2" x14ac:dyDescent="0.25">
      <c r="A221" t="s">
        <v>848</v>
      </c>
      <c r="B221" s="9">
        <v>0</v>
      </c>
    </row>
    <row r="222" spans="1:2" x14ac:dyDescent="0.25">
      <c r="A222" t="s">
        <v>849</v>
      </c>
      <c r="B222" s="9">
        <v>0</v>
      </c>
    </row>
    <row r="223" spans="1:2" x14ac:dyDescent="0.25">
      <c r="A223" t="s">
        <v>850</v>
      </c>
      <c r="B223" s="9">
        <v>0</v>
      </c>
    </row>
    <row r="224" spans="1:2" x14ac:dyDescent="0.25">
      <c r="A224" t="s">
        <v>851</v>
      </c>
      <c r="B224" s="9">
        <v>0</v>
      </c>
    </row>
    <row r="225" spans="1:2" x14ac:dyDescent="0.25">
      <c r="A225" t="s">
        <v>852</v>
      </c>
      <c r="B225" s="9">
        <v>0</v>
      </c>
    </row>
    <row r="226" spans="1:2" x14ac:dyDescent="0.25">
      <c r="A226" t="s">
        <v>853</v>
      </c>
      <c r="B226" s="9">
        <v>0</v>
      </c>
    </row>
    <row r="227" spans="1:2" x14ac:dyDescent="0.25">
      <c r="A227" t="s">
        <v>854</v>
      </c>
      <c r="B227" s="9">
        <v>0</v>
      </c>
    </row>
    <row r="228" spans="1:2" x14ac:dyDescent="0.25">
      <c r="A228" t="s">
        <v>855</v>
      </c>
      <c r="B228" s="9">
        <v>0</v>
      </c>
    </row>
    <row r="229" spans="1:2" x14ac:dyDescent="0.25">
      <c r="A229" t="s">
        <v>856</v>
      </c>
      <c r="B229" s="9">
        <v>0</v>
      </c>
    </row>
    <row r="230" spans="1:2" x14ac:dyDescent="0.25">
      <c r="A230" t="s">
        <v>857</v>
      </c>
      <c r="B230" s="9">
        <v>0</v>
      </c>
    </row>
    <row r="231" spans="1:2" x14ac:dyDescent="0.25">
      <c r="A231" t="s">
        <v>858</v>
      </c>
      <c r="B231" s="9">
        <v>0</v>
      </c>
    </row>
    <row r="232" spans="1:2" x14ac:dyDescent="0.25">
      <c r="A232" t="s">
        <v>859</v>
      </c>
      <c r="B232" s="9">
        <v>0</v>
      </c>
    </row>
    <row r="233" spans="1:2" x14ac:dyDescent="0.25">
      <c r="A233" t="s">
        <v>860</v>
      </c>
      <c r="B233" s="9">
        <v>0</v>
      </c>
    </row>
    <row r="234" spans="1:2" x14ac:dyDescent="0.25">
      <c r="A234" t="s">
        <v>861</v>
      </c>
      <c r="B234" s="9">
        <v>0</v>
      </c>
    </row>
    <row r="235" spans="1:2" x14ac:dyDescent="0.25">
      <c r="A235" t="s">
        <v>862</v>
      </c>
      <c r="B235" s="9">
        <v>0</v>
      </c>
    </row>
    <row r="236" spans="1:2" x14ac:dyDescent="0.25">
      <c r="A236" t="s">
        <v>863</v>
      </c>
      <c r="B236" s="9">
        <v>0</v>
      </c>
    </row>
    <row r="237" spans="1:2" x14ac:dyDescent="0.25">
      <c r="A237" t="s">
        <v>864</v>
      </c>
      <c r="B237" s="9">
        <v>0</v>
      </c>
    </row>
    <row r="238" spans="1:2" x14ac:dyDescent="0.25">
      <c r="A238" t="s">
        <v>865</v>
      </c>
      <c r="B238" s="9">
        <v>0</v>
      </c>
    </row>
    <row r="239" spans="1:2" x14ac:dyDescent="0.25">
      <c r="A239" t="s">
        <v>866</v>
      </c>
      <c r="B239" s="9">
        <v>0</v>
      </c>
    </row>
    <row r="240" spans="1:2" x14ac:dyDescent="0.25">
      <c r="A240" t="s">
        <v>867</v>
      </c>
      <c r="B240" s="9">
        <v>0</v>
      </c>
    </row>
    <row r="241" spans="1:2" x14ac:dyDescent="0.25">
      <c r="A241" t="s">
        <v>868</v>
      </c>
      <c r="B241" s="9">
        <v>0</v>
      </c>
    </row>
    <row r="242" spans="1:2" x14ac:dyDescent="0.25">
      <c r="A242" t="s">
        <v>869</v>
      </c>
      <c r="B242" s="9">
        <v>0</v>
      </c>
    </row>
    <row r="243" spans="1:2" x14ac:dyDescent="0.25">
      <c r="A243" t="s">
        <v>870</v>
      </c>
      <c r="B243" s="9">
        <v>0</v>
      </c>
    </row>
    <row r="244" spans="1:2" x14ac:dyDescent="0.25">
      <c r="A244" t="s">
        <v>871</v>
      </c>
      <c r="B244" s="9">
        <v>0</v>
      </c>
    </row>
    <row r="245" spans="1:2" x14ac:dyDescent="0.25">
      <c r="A245" t="s">
        <v>872</v>
      </c>
      <c r="B245" s="9">
        <v>0</v>
      </c>
    </row>
    <row r="246" spans="1:2" x14ac:dyDescent="0.25">
      <c r="A246" t="s">
        <v>873</v>
      </c>
      <c r="B246" s="9">
        <v>0</v>
      </c>
    </row>
    <row r="247" spans="1:2" x14ac:dyDescent="0.25">
      <c r="A247" t="s">
        <v>874</v>
      </c>
      <c r="B247" s="9">
        <v>0</v>
      </c>
    </row>
    <row r="248" spans="1:2" x14ac:dyDescent="0.25">
      <c r="A248" t="s">
        <v>875</v>
      </c>
      <c r="B248" s="9">
        <v>0</v>
      </c>
    </row>
    <row r="249" spans="1:2" x14ac:dyDescent="0.25">
      <c r="A249" t="s">
        <v>876</v>
      </c>
      <c r="B249" s="9">
        <v>0</v>
      </c>
    </row>
    <row r="250" spans="1:2" x14ac:dyDescent="0.25">
      <c r="A250" t="s">
        <v>877</v>
      </c>
      <c r="B250" s="9">
        <v>0</v>
      </c>
    </row>
    <row r="251" spans="1:2" x14ac:dyDescent="0.25">
      <c r="A251" t="s">
        <v>878</v>
      </c>
      <c r="B251" s="9">
        <v>0</v>
      </c>
    </row>
    <row r="252" spans="1:2" x14ac:dyDescent="0.25">
      <c r="A252" t="s">
        <v>879</v>
      </c>
      <c r="B252" s="9">
        <v>0</v>
      </c>
    </row>
    <row r="253" spans="1:2" x14ac:dyDescent="0.25">
      <c r="A253" t="s">
        <v>880</v>
      </c>
      <c r="B253" s="9">
        <v>0</v>
      </c>
    </row>
    <row r="254" spans="1:2" x14ac:dyDescent="0.25">
      <c r="A254" t="s">
        <v>881</v>
      </c>
      <c r="B254" s="9">
        <v>0</v>
      </c>
    </row>
    <row r="255" spans="1:2" x14ac:dyDescent="0.25">
      <c r="A255" t="s">
        <v>882</v>
      </c>
      <c r="B255" s="9">
        <v>0</v>
      </c>
    </row>
    <row r="256" spans="1:2" x14ac:dyDescent="0.25">
      <c r="A256" t="s">
        <v>883</v>
      </c>
      <c r="B256" s="9">
        <v>0</v>
      </c>
    </row>
    <row r="257" spans="1:2" x14ac:dyDescent="0.25">
      <c r="A257" t="s">
        <v>884</v>
      </c>
      <c r="B257" s="9">
        <v>0</v>
      </c>
    </row>
    <row r="258" spans="1:2" x14ac:dyDescent="0.25">
      <c r="A258" t="s">
        <v>885</v>
      </c>
      <c r="B258" s="9">
        <v>0</v>
      </c>
    </row>
    <row r="259" spans="1:2" x14ac:dyDescent="0.25">
      <c r="A259" t="s">
        <v>886</v>
      </c>
      <c r="B259" s="9">
        <v>0</v>
      </c>
    </row>
    <row r="260" spans="1:2" x14ac:dyDescent="0.25">
      <c r="A260" t="s">
        <v>887</v>
      </c>
      <c r="B260" s="9">
        <v>0</v>
      </c>
    </row>
    <row r="261" spans="1:2" x14ac:dyDescent="0.25">
      <c r="A261" t="s">
        <v>888</v>
      </c>
      <c r="B261" s="9">
        <v>0</v>
      </c>
    </row>
    <row r="262" spans="1:2" x14ac:dyDescent="0.25">
      <c r="A262" t="s">
        <v>889</v>
      </c>
      <c r="B262" s="9">
        <v>0</v>
      </c>
    </row>
    <row r="263" spans="1:2" x14ac:dyDescent="0.25">
      <c r="A263" t="s">
        <v>890</v>
      </c>
      <c r="B263" s="9">
        <v>0</v>
      </c>
    </row>
    <row r="264" spans="1:2" x14ac:dyDescent="0.25">
      <c r="A264" t="s">
        <v>891</v>
      </c>
      <c r="B264" s="9">
        <v>0</v>
      </c>
    </row>
    <row r="265" spans="1:2" x14ac:dyDescent="0.25">
      <c r="A265" t="s">
        <v>892</v>
      </c>
      <c r="B265" s="9">
        <v>0</v>
      </c>
    </row>
    <row r="266" spans="1:2" x14ac:dyDescent="0.25">
      <c r="A266" t="s">
        <v>893</v>
      </c>
      <c r="B266" s="9">
        <v>0</v>
      </c>
    </row>
    <row r="267" spans="1:2" x14ac:dyDescent="0.25">
      <c r="A267" t="s">
        <v>894</v>
      </c>
      <c r="B267" s="9">
        <v>0</v>
      </c>
    </row>
    <row r="268" spans="1:2" x14ac:dyDescent="0.25">
      <c r="A268" t="s">
        <v>895</v>
      </c>
      <c r="B268" s="9">
        <v>0</v>
      </c>
    </row>
    <row r="269" spans="1:2" x14ac:dyDescent="0.25">
      <c r="A269" t="s">
        <v>896</v>
      </c>
      <c r="B269" s="9">
        <v>0</v>
      </c>
    </row>
    <row r="270" spans="1:2" x14ac:dyDescent="0.25">
      <c r="A270" t="s">
        <v>897</v>
      </c>
      <c r="B270" s="9">
        <v>0</v>
      </c>
    </row>
    <row r="271" spans="1:2" x14ac:dyDescent="0.25">
      <c r="A271" t="s">
        <v>898</v>
      </c>
      <c r="B271" s="9">
        <v>0</v>
      </c>
    </row>
    <row r="272" spans="1:2" x14ac:dyDescent="0.25">
      <c r="A272" t="s">
        <v>899</v>
      </c>
      <c r="B272" s="9">
        <v>0</v>
      </c>
    </row>
    <row r="273" spans="1:2" x14ac:dyDescent="0.25">
      <c r="A273" t="s">
        <v>900</v>
      </c>
      <c r="B273" s="9">
        <v>0</v>
      </c>
    </row>
    <row r="274" spans="1:2" x14ac:dyDescent="0.25">
      <c r="A274" t="s">
        <v>901</v>
      </c>
      <c r="B274" s="9">
        <v>0</v>
      </c>
    </row>
    <row r="275" spans="1:2" x14ac:dyDescent="0.25">
      <c r="A275" t="s">
        <v>902</v>
      </c>
      <c r="B275" s="9">
        <v>0</v>
      </c>
    </row>
    <row r="276" spans="1:2" x14ac:dyDescent="0.25">
      <c r="A276" t="s">
        <v>903</v>
      </c>
      <c r="B276" s="9">
        <v>0</v>
      </c>
    </row>
    <row r="277" spans="1:2" x14ac:dyDescent="0.25">
      <c r="A277" t="s">
        <v>904</v>
      </c>
      <c r="B277" s="9">
        <v>0</v>
      </c>
    </row>
    <row r="278" spans="1:2" x14ac:dyDescent="0.25">
      <c r="A278" t="s">
        <v>905</v>
      </c>
      <c r="B278" s="9">
        <v>0</v>
      </c>
    </row>
    <row r="279" spans="1:2" x14ac:dyDescent="0.25">
      <c r="A279" t="s">
        <v>906</v>
      </c>
      <c r="B279" s="9">
        <v>0</v>
      </c>
    </row>
    <row r="280" spans="1:2" x14ac:dyDescent="0.25">
      <c r="A280" t="s">
        <v>907</v>
      </c>
      <c r="B280" s="9">
        <v>0</v>
      </c>
    </row>
    <row r="281" spans="1:2" x14ac:dyDescent="0.25">
      <c r="A281" t="s">
        <v>908</v>
      </c>
      <c r="B281" s="9">
        <v>0</v>
      </c>
    </row>
    <row r="282" spans="1:2" x14ac:dyDescent="0.25">
      <c r="A282" t="s">
        <v>909</v>
      </c>
      <c r="B282" s="9">
        <v>0</v>
      </c>
    </row>
    <row r="283" spans="1:2" x14ac:dyDescent="0.25">
      <c r="A283" t="s">
        <v>910</v>
      </c>
      <c r="B283" s="9">
        <v>0</v>
      </c>
    </row>
    <row r="284" spans="1:2" x14ac:dyDescent="0.25">
      <c r="A284" t="s">
        <v>911</v>
      </c>
      <c r="B284" s="9">
        <v>0</v>
      </c>
    </row>
    <row r="285" spans="1:2" x14ac:dyDescent="0.25">
      <c r="A285" t="s">
        <v>912</v>
      </c>
      <c r="B285" s="9">
        <v>0</v>
      </c>
    </row>
    <row r="286" spans="1:2" x14ac:dyDescent="0.25">
      <c r="A286" t="s">
        <v>913</v>
      </c>
      <c r="B286" s="9">
        <v>0</v>
      </c>
    </row>
    <row r="287" spans="1:2" x14ac:dyDescent="0.25">
      <c r="A287" t="s">
        <v>914</v>
      </c>
      <c r="B287" s="9">
        <v>0</v>
      </c>
    </row>
    <row r="288" spans="1:2" x14ac:dyDescent="0.25">
      <c r="A288" t="s">
        <v>915</v>
      </c>
      <c r="B288" s="9">
        <v>0</v>
      </c>
    </row>
    <row r="289" spans="1:2" x14ac:dyDescent="0.25">
      <c r="A289" t="s">
        <v>916</v>
      </c>
      <c r="B289" s="9">
        <v>0</v>
      </c>
    </row>
    <row r="290" spans="1:2" x14ac:dyDescent="0.25">
      <c r="A290" t="s">
        <v>917</v>
      </c>
      <c r="B290" s="9">
        <v>0</v>
      </c>
    </row>
    <row r="291" spans="1:2" x14ac:dyDescent="0.25">
      <c r="A291" t="s">
        <v>918</v>
      </c>
      <c r="B291" s="9">
        <v>0</v>
      </c>
    </row>
    <row r="292" spans="1:2" x14ac:dyDescent="0.25">
      <c r="A292" t="s">
        <v>919</v>
      </c>
      <c r="B292" s="9">
        <v>0</v>
      </c>
    </row>
    <row r="293" spans="1:2" x14ac:dyDescent="0.25">
      <c r="A293" t="s">
        <v>920</v>
      </c>
      <c r="B293" s="9">
        <v>0</v>
      </c>
    </row>
    <row r="294" spans="1:2" x14ac:dyDescent="0.25">
      <c r="A294" t="s">
        <v>921</v>
      </c>
      <c r="B294" s="9">
        <v>0</v>
      </c>
    </row>
    <row r="295" spans="1:2" x14ac:dyDescent="0.25">
      <c r="A295" t="s">
        <v>922</v>
      </c>
      <c r="B295" s="9">
        <v>0</v>
      </c>
    </row>
    <row r="296" spans="1:2" x14ac:dyDescent="0.25">
      <c r="A296" t="s">
        <v>923</v>
      </c>
      <c r="B296" s="9">
        <v>0</v>
      </c>
    </row>
    <row r="297" spans="1:2" x14ac:dyDescent="0.25">
      <c r="A297" t="s">
        <v>924</v>
      </c>
      <c r="B297" s="9">
        <v>0</v>
      </c>
    </row>
    <row r="298" spans="1:2" x14ac:dyDescent="0.25">
      <c r="A298" t="s">
        <v>925</v>
      </c>
      <c r="B298" s="9">
        <v>0</v>
      </c>
    </row>
    <row r="299" spans="1:2" x14ac:dyDescent="0.25">
      <c r="A299" t="s">
        <v>926</v>
      </c>
      <c r="B299" s="9">
        <v>0</v>
      </c>
    </row>
    <row r="300" spans="1:2" x14ac:dyDescent="0.25">
      <c r="A300" t="s">
        <v>927</v>
      </c>
      <c r="B300" s="9">
        <v>0</v>
      </c>
    </row>
    <row r="301" spans="1:2" x14ac:dyDescent="0.25">
      <c r="A301" t="s">
        <v>928</v>
      </c>
      <c r="B301" s="9">
        <v>0</v>
      </c>
    </row>
    <row r="302" spans="1:2" x14ac:dyDescent="0.25">
      <c r="A302" t="s">
        <v>929</v>
      </c>
      <c r="B302" s="9">
        <v>0</v>
      </c>
    </row>
    <row r="303" spans="1:2" x14ac:dyDescent="0.25">
      <c r="A303" t="s">
        <v>930</v>
      </c>
      <c r="B303" s="9">
        <v>0</v>
      </c>
    </row>
    <row r="304" spans="1:2" x14ac:dyDescent="0.25">
      <c r="A304" t="s">
        <v>931</v>
      </c>
      <c r="B304" s="9">
        <v>0</v>
      </c>
    </row>
    <row r="305" spans="1:2" x14ac:dyDescent="0.25">
      <c r="A305" t="s">
        <v>932</v>
      </c>
      <c r="B305" s="9">
        <v>0</v>
      </c>
    </row>
    <row r="306" spans="1:2" x14ac:dyDescent="0.25">
      <c r="A306" t="s">
        <v>933</v>
      </c>
      <c r="B306" s="9">
        <v>0</v>
      </c>
    </row>
    <row r="307" spans="1:2" x14ac:dyDescent="0.25">
      <c r="A307" t="s">
        <v>934</v>
      </c>
      <c r="B307" s="9">
        <v>0</v>
      </c>
    </row>
    <row r="308" spans="1:2" x14ac:dyDescent="0.25">
      <c r="A308" t="s">
        <v>935</v>
      </c>
      <c r="B308" s="9">
        <v>0</v>
      </c>
    </row>
    <row r="309" spans="1:2" x14ac:dyDescent="0.25">
      <c r="A309" t="s">
        <v>936</v>
      </c>
      <c r="B309" s="9">
        <v>0</v>
      </c>
    </row>
    <row r="310" spans="1:2" x14ac:dyDescent="0.25">
      <c r="A310" t="s">
        <v>937</v>
      </c>
      <c r="B310" s="9">
        <v>0</v>
      </c>
    </row>
    <row r="311" spans="1:2" x14ac:dyDescent="0.25">
      <c r="A311" t="s">
        <v>938</v>
      </c>
      <c r="B311" s="9">
        <v>0</v>
      </c>
    </row>
    <row r="312" spans="1:2" x14ac:dyDescent="0.25">
      <c r="A312" t="s">
        <v>939</v>
      </c>
      <c r="B312" s="9">
        <v>0</v>
      </c>
    </row>
    <row r="313" spans="1:2" x14ac:dyDescent="0.25">
      <c r="A313" t="s">
        <v>940</v>
      </c>
      <c r="B313" s="9">
        <v>0</v>
      </c>
    </row>
    <row r="314" spans="1:2" x14ac:dyDescent="0.25">
      <c r="A314" t="s">
        <v>941</v>
      </c>
      <c r="B314" s="9">
        <v>0</v>
      </c>
    </row>
    <row r="315" spans="1:2" x14ac:dyDescent="0.25">
      <c r="A315" t="s">
        <v>942</v>
      </c>
      <c r="B315" s="9">
        <v>0</v>
      </c>
    </row>
    <row r="316" spans="1:2" x14ac:dyDescent="0.25">
      <c r="A316" t="s">
        <v>943</v>
      </c>
      <c r="B316" s="9">
        <v>0</v>
      </c>
    </row>
    <row r="317" spans="1:2" x14ac:dyDescent="0.25">
      <c r="A317" t="s">
        <v>944</v>
      </c>
      <c r="B317" s="9">
        <v>0</v>
      </c>
    </row>
    <row r="318" spans="1:2" x14ac:dyDescent="0.25">
      <c r="A318" t="s">
        <v>945</v>
      </c>
      <c r="B318" s="9">
        <v>0</v>
      </c>
    </row>
    <row r="319" spans="1:2" x14ac:dyDescent="0.25">
      <c r="A319" t="s">
        <v>946</v>
      </c>
      <c r="B319" s="9">
        <v>0</v>
      </c>
    </row>
    <row r="320" spans="1:2" x14ac:dyDescent="0.25">
      <c r="A320" t="s">
        <v>947</v>
      </c>
      <c r="B320" s="9">
        <v>0</v>
      </c>
    </row>
    <row r="321" spans="1:2" x14ac:dyDescent="0.25">
      <c r="A321" t="s">
        <v>948</v>
      </c>
      <c r="B321" s="9">
        <v>0</v>
      </c>
    </row>
    <row r="322" spans="1:2" x14ac:dyDescent="0.25">
      <c r="A322" t="s">
        <v>949</v>
      </c>
      <c r="B322" s="9">
        <v>0</v>
      </c>
    </row>
    <row r="323" spans="1:2" x14ac:dyDescent="0.25">
      <c r="A323" t="s">
        <v>950</v>
      </c>
      <c r="B323" s="9">
        <v>0</v>
      </c>
    </row>
    <row r="324" spans="1:2" x14ac:dyDescent="0.25">
      <c r="A324" t="s">
        <v>951</v>
      </c>
      <c r="B324" s="9">
        <v>0</v>
      </c>
    </row>
    <row r="325" spans="1:2" x14ac:dyDescent="0.25">
      <c r="A325" t="s">
        <v>952</v>
      </c>
      <c r="B325" s="9">
        <v>0</v>
      </c>
    </row>
    <row r="326" spans="1:2" x14ac:dyDescent="0.25">
      <c r="A326" t="s">
        <v>953</v>
      </c>
      <c r="B326" s="9">
        <v>0</v>
      </c>
    </row>
    <row r="327" spans="1:2" x14ac:dyDescent="0.25">
      <c r="A327" t="s">
        <v>954</v>
      </c>
      <c r="B327" s="9">
        <v>0</v>
      </c>
    </row>
    <row r="328" spans="1:2" x14ac:dyDescent="0.25">
      <c r="A328" t="s">
        <v>955</v>
      </c>
      <c r="B328" s="9">
        <v>0</v>
      </c>
    </row>
    <row r="329" spans="1:2" x14ac:dyDescent="0.25">
      <c r="A329" t="s">
        <v>956</v>
      </c>
      <c r="B329" s="9">
        <v>0</v>
      </c>
    </row>
    <row r="330" spans="1:2" x14ac:dyDescent="0.25">
      <c r="A330" t="s">
        <v>957</v>
      </c>
      <c r="B330" s="9">
        <v>0</v>
      </c>
    </row>
    <row r="331" spans="1:2" x14ac:dyDescent="0.25">
      <c r="A331" t="s">
        <v>958</v>
      </c>
      <c r="B331" s="9">
        <v>0</v>
      </c>
    </row>
    <row r="332" spans="1:2" x14ac:dyDescent="0.25">
      <c r="A332" t="s">
        <v>959</v>
      </c>
      <c r="B332" s="9">
        <v>0</v>
      </c>
    </row>
    <row r="333" spans="1:2" x14ac:dyDescent="0.25">
      <c r="A333" t="s">
        <v>960</v>
      </c>
      <c r="B333" s="9">
        <v>0</v>
      </c>
    </row>
    <row r="334" spans="1:2" x14ac:dyDescent="0.25">
      <c r="A334" t="s">
        <v>961</v>
      </c>
      <c r="B334" s="9">
        <v>0</v>
      </c>
    </row>
    <row r="335" spans="1:2" x14ac:dyDescent="0.25">
      <c r="A335" t="s">
        <v>962</v>
      </c>
      <c r="B335" s="9">
        <v>0</v>
      </c>
    </row>
    <row r="336" spans="1:2" x14ac:dyDescent="0.25">
      <c r="A336" t="s">
        <v>963</v>
      </c>
      <c r="B336" s="9">
        <v>0</v>
      </c>
    </row>
    <row r="337" spans="1:2" x14ac:dyDescent="0.25">
      <c r="A337" t="s">
        <v>964</v>
      </c>
      <c r="B337" s="9">
        <v>0</v>
      </c>
    </row>
    <row r="338" spans="1:2" x14ac:dyDescent="0.25">
      <c r="A338" t="s">
        <v>965</v>
      </c>
      <c r="B338" s="9">
        <v>0</v>
      </c>
    </row>
    <row r="339" spans="1:2" x14ac:dyDescent="0.25">
      <c r="A339" t="s">
        <v>966</v>
      </c>
      <c r="B339" s="9">
        <v>0</v>
      </c>
    </row>
    <row r="340" spans="1:2" x14ac:dyDescent="0.25">
      <c r="A340" t="s">
        <v>967</v>
      </c>
      <c r="B340" s="9">
        <v>0</v>
      </c>
    </row>
    <row r="341" spans="1:2" x14ac:dyDescent="0.25">
      <c r="A341" t="s">
        <v>968</v>
      </c>
      <c r="B341" s="9">
        <v>0</v>
      </c>
    </row>
    <row r="342" spans="1:2" x14ac:dyDescent="0.25">
      <c r="A342" t="s">
        <v>969</v>
      </c>
      <c r="B342" s="9">
        <v>0</v>
      </c>
    </row>
    <row r="343" spans="1:2" x14ac:dyDescent="0.25">
      <c r="A343" t="s">
        <v>970</v>
      </c>
      <c r="B343" s="9">
        <v>0</v>
      </c>
    </row>
    <row r="344" spans="1:2" x14ac:dyDescent="0.25">
      <c r="A344" t="s">
        <v>971</v>
      </c>
      <c r="B344" s="9">
        <v>0</v>
      </c>
    </row>
    <row r="345" spans="1:2" x14ac:dyDescent="0.25">
      <c r="A345" t="s">
        <v>972</v>
      </c>
      <c r="B345" s="9">
        <v>0</v>
      </c>
    </row>
    <row r="346" spans="1:2" x14ac:dyDescent="0.25">
      <c r="A346" t="s">
        <v>973</v>
      </c>
      <c r="B346" s="9">
        <v>0</v>
      </c>
    </row>
    <row r="347" spans="1:2" x14ac:dyDescent="0.25">
      <c r="A347" t="s">
        <v>974</v>
      </c>
      <c r="B347" s="9">
        <v>0</v>
      </c>
    </row>
    <row r="348" spans="1:2" x14ac:dyDescent="0.25">
      <c r="A348" t="s">
        <v>975</v>
      </c>
      <c r="B348" s="9">
        <v>0</v>
      </c>
    </row>
    <row r="349" spans="1:2" x14ac:dyDescent="0.25">
      <c r="A349" t="s">
        <v>976</v>
      </c>
      <c r="B349" s="9">
        <v>0</v>
      </c>
    </row>
    <row r="350" spans="1:2" x14ac:dyDescent="0.25">
      <c r="A350" t="s">
        <v>977</v>
      </c>
      <c r="B350" s="9">
        <v>0</v>
      </c>
    </row>
    <row r="351" spans="1:2" x14ac:dyDescent="0.25">
      <c r="A351" t="s">
        <v>978</v>
      </c>
      <c r="B351" s="9">
        <v>0</v>
      </c>
    </row>
    <row r="352" spans="1:2" x14ac:dyDescent="0.25">
      <c r="A352" t="s">
        <v>979</v>
      </c>
      <c r="B352" s="9">
        <v>0</v>
      </c>
    </row>
    <row r="353" spans="1:2" x14ac:dyDescent="0.25">
      <c r="A353" t="s">
        <v>980</v>
      </c>
      <c r="B353" s="9">
        <v>0</v>
      </c>
    </row>
    <row r="354" spans="1:2" x14ac:dyDescent="0.25">
      <c r="A354" t="s">
        <v>981</v>
      </c>
      <c r="B354" s="9">
        <v>0</v>
      </c>
    </row>
    <row r="355" spans="1:2" x14ac:dyDescent="0.25">
      <c r="A355" t="s">
        <v>982</v>
      </c>
      <c r="B355" s="9">
        <v>0</v>
      </c>
    </row>
    <row r="356" spans="1:2" x14ac:dyDescent="0.25">
      <c r="A356" t="s">
        <v>983</v>
      </c>
      <c r="B356" s="9">
        <v>0</v>
      </c>
    </row>
    <row r="357" spans="1:2" x14ac:dyDescent="0.25">
      <c r="A357" t="s">
        <v>984</v>
      </c>
      <c r="B357" s="9">
        <v>0</v>
      </c>
    </row>
    <row r="358" spans="1:2" x14ac:dyDescent="0.25">
      <c r="A358" t="s">
        <v>985</v>
      </c>
      <c r="B358" s="9">
        <v>0</v>
      </c>
    </row>
    <row r="359" spans="1:2" x14ac:dyDescent="0.25">
      <c r="A359" t="s">
        <v>986</v>
      </c>
      <c r="B359" s="9">
        <v>0</v>
      </c>
    </row>
    <row r="360" spans="1:2" x14ac:dyDescent="0.25">
      <c r="A360" t="s">
        <v>987</v>
      </c>
      <c r="B360" s="9">
        <v>0</v>
      </c>
    </row>
    <row r="361" spans="1:2" x14ac:dyDescent="0.25">
      <c r="A361" t="s">
        <v>988</v>
      </c>
      <c r="B361" s="9">
        <v>0</v>
      </c>
    </row>
    <row r="362" spans="1:2" x14ac:dyDescent="0.25">
      <c r="A362" t="s">
        <v>989</v>
      </c>
      <c r="B362" s="9">
        <v>0</v>
      </c>
    </row>
    <row r="363" spans="1:2" x14ac:dyDescent="0.25">
      <c r="A363" t="s">
        <v>990</v>
      </c>
      <c r="B363" s="9">
        <v>0</v>
      </c>
    </row>
    <row r="364" spans="1:2" x14ac:dyDescent="0.25">
      <c r="A364" t="s">
        <v>991</v>
      </c>
      <c r="B364" s="9">
        <v>0</v>
      </c>
    </row>
    <row r="365" spans="1:2" x14ac:dyDescent="0.25">
      <c r="A365" t="s">
        <v>992</v>
      </c>
      <c r="B365" s="9">
        <v>0.05</v>
      </c>
    </row>
    <row r="366" spans="1:2" x14ac:dyDescent="0.25">
      <c r="A366" t="s">
        <v>993</v>
      </c>
      <c r="B366" s="9">
        <v>0.05</v>
      </c>
    </row>
    <row r="367" spans="1:2" x14ac:dyDescent="0.25">
      <c r="A367" t="s">
        <v>994</v>
      </c>
      <c r="B367" s="9">
        <v>0</v>
      </c>
    </row>
    <row r="368" spans="1:2" x14ac:dyDescent="0.25">
      <c r="A368" t="s">
        <v>995</v>
      </c>
      <c r="B368" s="9">
        <v>0</v>
      </c>
    </row>
    <row r="369" spans="1:2" x14ac:dyDescent="0.25">
      <c r="A369" t="s">
        <v>996</v>
      </c>
      <c r="B369" s="9">
        <v>0.05</v>
      </c>
    </row>
    <row r="370" spans="1:2" x14ac:dyDescent="0.25">
      <c r="A370" t="s">
        <v>997</v>
      </c>
      <c r="B370" s="9">
        <v>0</v>
      </c>
    </row>
    <row r="371" spans="1:2" x14ac:dyDescent="0.25">
      <c r="A371" t="s">
        <v>998</v>
      </c>
      <c r="B371" s="9">
        <v>0</v>
      </c>
    </row>
    <row r="372" spans="1:2" x14ac:dyDescent="0.25">
      <c r="A372" t="s">
        <v>999</v>
      </c>
      <c r="B372" s="9">
        <v>0.05</v>
      </c>
    </row>
    <row r="373" spans="1:2" x14ac:dyDescent="0.25">
      <c r="A373" t="s">
        <v>1000</v>
      </c>
      <c r="B373" s="9">
        <v>0.05</v>
      </c>
    </row>
    <row r="374" spans="1:2" x14ac:dyDescent="0.25">
      <c r="A374" t="s">
        <v>1001</v>
      </c>
      <c r="B374" s="9">
        <v>0.05</v>
      </c>
    </row>
    <row r="375" spans="1:2" x14ac:dyDescent="0.25">
      <c r="A375" t="s">
        <v>1002</v>
      </c>
      <c r="B375" s="9">
        <v>0.05</v>
      </c>
    </row>
    <row r="376" spans="1:2" x14ac:dyDescent="0.25">
      <c r="A376" t="s">
        <v>1003</v>
      </c>
      <c r="B376" s="9">
        <v>0.05</v>
      </c>
    </row>
    <row r="377" spans="1:2" x14ac:dyDescent="0.25">
      <c r="A377" t="s">
        <v>1004</v>
      </c>
      <c r="B377" s="9">
        <v>0.05</v>
      </c>
    </row>
    <row r="378" spans="1:2" x14ac:dyDescent="0.25">
      <c r="A378" t="s">
        <v>1005</v>
      </c>
      <c r="B378" s="9">
        <v>0.05</v>
      </c>
    </row>
    <row r="379" spans="1:2" x14ac:dyDescent="0.25">
      <c r="A379" t="s">
        <v>1006</v>
      </c>
      <c r="B379" s="9">
        <v>0.05</v>
      </c>
    </row>
    <row r="380" spans="1:2" x14ac:dyDescent="0.25">
      <c r="A380" t="s">
        <v>1007</v>
      </c>
      <c r="B380" s="9">
        <v>0</v>
      </c>
    </row>
    <row r="381" spans="1:2" x14ac:dyDescent="0.25">
      <c r="A381" t="s">
        <v>1008</v>
      </c>
      <c r="B381" s="9">
        <v>0</v>
      </c>
    </row>
    <row r="382" spans="1:2" x14ac:dyDescent="0.25">
      <c r="A382" t="s">
        <v>1009</v>
      </c>
      <c r="B382" s="9">
        <v>0</v>
      </c>
    </row>
    <row r="383" spans="1:2" x14ac:dyDescent="0.25">
      <c r="A383" t="s">
        <v>1010</v>
      </c>
      <c r="B383" s="9">
        <v>0</v>
      </c>
    </row>
    <row r="384" spans="1:2" x14ac:dyDescent="0.25">
      <c r="A384" t="s">
        <v>1011</v>
      </c>
      <c r="B384" s="9">
        <v>0</v>
      </c>
    </row>
    <row r="385" spans="1:2" x14ac:dyDescent="0.25">
      <c r="A385" t="s">
        <v>1012</v>
      </c>
      <c r="B385" s="9">
        <v>0.05</v>
      </c>
    </row>
    <row r="386" spans="1:2" x14ac:dyDescent="0.25">
      <c r="A386" t="s">
        <v>1013</v>
      </c>
      <c r="B386" s="9">
        <v>0.05</v>
      </c>
    </row>
    <row r="387" spans="1:2" x14ac:dyDescent="0.25">
      <c r="A387" t="s">
        <v>1014</v>
      </c>
      <c r="B387" s="9">
        <v>0</v>
      </c>
    </row>
    <row r="388" spans="1:2" x14ac:dyDescent="0.25">
      <c r="A388" t="s">
        <v>1015</v>
      </c>
      <c r="B388" s="9">
        <v>0</v>
      </c>
    </row>
    <row r="389" spans="1:2" x14ac:dyDescent="0.25">
      <c r="A389" t="s">
        <v>1016</v>
      </c>
      <c r="B389" s="9">
        <v>0.05</v>
      </c>
    </row>
    <row r="390" spans="1:2" x14ac:dyDescent="0.25">
      <c r="A390" t="s">
        <v>1017</v>
      </c>
      <c r="B390" s="9">
        <v>0</v>
      </c>
    </row>
    <row r="391" spans="1:2" x14ac:dyDescent="0.25">
      <c r="A391" t="s">
        <v>1018</v>
      </c>
      <c r="B391" s="9">
        <v>0</v>
      </c>
    </row>
    <row r="392" spans="1:2" x14ac:dyDescent="0.25">
      <c r="A392" t="s">
        <v>1019</v>
      </c>
      <c r="B392" s="9">
        <v>0</v>
      </c>
    </row>
    <row r="393" spans="1:2" x14ac:dyDescent="0.25">
      <c r="A393" t="s">
        <v>1020</v>
      </c>
      <c r="B393" s="9">
        <v>0</v>
      </c>
    </row>
    <row r="394" spans="1:2" x14ac:dyDescent="0.25">
      <c r="A394" t="s">
        <v>1021</v>
      </c>
      <c r="B394" s="9">
        <v>0</v>
      </c>
    </row>
    <row r="395" spans="1:2" x14ac:dyDescent="0.25">
      <c r="A395" t="s">
        <v>1022</v>
      </c>
      <c r="B395" s="9">
        <v>0</v>
      </c>
    </row>
    <row r="396" spans="1:2" x14ac:dyDescent="0.25">
      <c r="A396" t="s">
        <v>1023</v>
      </c>
      <c r="B396" s="9">
        <v>0</v>
      </c>
    </row>
    <row r="397" spans="1:2" x14ac:dyDescent="0.25">
      <c r="A397" t="s">
        <v>1024</v>
      </c>
      <c r="B397" s="9">
        <v>0</v>
      </c>
    </row>
    <row r="398" spans="1:2" x14ac:dyDescent="0.25">
      <c r="A398" t="s">
        <v>1025</v>
      </c>
      <c r="B398" s="9">
        <v>0</v>
      </c>
    </row>
    <row r="399" spans="1:2" x14ac:dyDescent="0.25">
      <c r="A399" t="s">
        <v>1026</v>
      </c>
      <c r="B399" s="9">
        <v>0</v>
      </c>
    </row>
    <row r="400" spans="1:2" x14ac:dyDescent="0.25">
      <c r="A400" t="s">
        <v>1027</v>
      </c>
      <c r="B400" s="9">
        <v>0</v>
      </c>
    </row>
    <row r="401" spans="1:2" x14ac:dyDescent="0.25">
      <c r="A401" t="s">
        <v>1028</v>
      </c>
      <c r="B401" s="9">
        <v>0</v>
      </c>
    </row>
    <row r="402" spans="1:2" x14ac:dyDescent="0.25">
      <c r="A402" t="s">
        <v>1029</v>
      </c>
      <c r="B402" s="9">
        <v>0</v>
      </c>
    </row>
    <row r="403" spans="1:2" x14ac:dyDescent="0.25">
      <c r="A403" t="s">
        <v>1030</v>
      </c>
      <c r="B403" s="9">
        <v>0</v>
      </c>
    </row>
    <row r="404" spans="1:2" x14ac:dyDescent="0.25">
      <c r="A404" t="s">
        <v>1031</v>
      </c>
      <c r="B404" s="9">
        <v>0</v>
      </c>
    </row>
    <row r="405" spans="1:2" x14ac:dyDescent="0.25">
      <c r="A405" t="s">
        <v>1032</v>
      </c>
      <c r="B405" s="9">
        <v>0</v>
      </c>
    </row>
    <row r="406" spans="1:2" x14ac:dyDescent="0.25">
      <c r="A406" t="s">
        <v>1033</v>
      </c>
      <c r="B406" s="9">
        <v>0</v>
      </c>
    </row>
    <row r="407" spans="1:2" x14ac:dyDescent="0.25">
      <c r="A407" t="s">
        <v>1034</v>
      </c>
      <c r="B407" s="9">
        <v>0</v>
      </c>
    </row>
    <row r="408" spans="1:2" x14ac:dyDescent="0.25">
      <c r="A408" t="s">
        <v>1035</v>
      </c>
      <c r="B408" s="9">
        <v>0</v>
      </c>
    </row>
    <row r="409" spans="1:2" x14ac:dyDescent="0.25">
      <c r="A409" t="s">
        <v>1036</v>
      </c>
      <c r="B409" s="9">
        <v>0</v>
      </c>
    </row>
    <row r="410" spans="1:2" x14ac:dyDescent="0.25">
      <c r="A410" t="s">
        <v>1037</v>
      </c>
      <c r="B410" s="9">
        <v>0</v>
      </c>
    </row>
    <row r="411" spans="1:2" x14ac:dyDescent="0.25">
      <c r="A411" t="s">
        <v>1038</v>
      </c>
      <c r="B411" s="9">
        <v>0</v>
      </c>
    </row>
    <row r="412" spans="1:2" x14ac:dyDescent="0.25">
      <c r="A412" t="s">
        <v>1039</v>
      </c>
      <c r="B412" s="9">
        <v>0</v>
      </c>
    </row>
    <row r="413" spans="1:2" x14ac:dyDescent="0.25">
      <c r="A413" t="s">
        <v>1040</v>
      </c>
      <c r="B413" s="9">
        <v>0</v>
      </c>
    </row>
    <row r="414" spans="1:2" x14ac:dyDescent="0.25">
      <c r="A414" t="s">
        <v>1041</v>
      </c>
      <c r="B414" s="9">
        <v>0</v>
      </c>
    </row>
    <row r="415" spans="1:2" x14ac:dyDescent="0.25">
      <c r="A415" t="s">
        <v>1042</v>
      </c>
      <c r="B415" s="9">
        <v>0</v>
      </c>
    </row>
    <row r="416" spans="1:2" x14ac:dyDescent="0.25">
      <c r="A416" t="s">
        <v>1043</v>
      </c>
      <c r="B416" s="9">
        <v>0</v>
      </c>
    </row>
    <row r="417" spans="1:2" x14ac:dyDescent="0.25">
      <c r="A417" t="s">
        <v>1044</v>
      </c>
      <c r="B417" s="9">
        <v>0</v>
      </c>
    </row>
    <row r="418" spans="1:2" x14ac:dyDescent="0.25">
      <c r="A418" t="s">
        <v>1045</v>
      </c>
      <c r="B418" s="9">
        <v>0</v>
      </c>
    </row>
    <row r="419" spans="1:2" x14ac:dyDescent="0.25">
      <c r="A419" t="s">
        <v>1046</v>
      </c>
      <c r="B419" s="9">
        <v>0</v>
      </c>
    </row>
    <row r="420" spans="1:2" x14ac:dyDescent="0.25">
      <c r="A420" t="s">
        <v>1047</v>
      </c>
      <c r="B420" s="9">
        <v>0</v>
      </c>
    </row>
    <row r="421" spans="1:2" x14ac:dyDescent="0.25">
      <c r="A421" t="s">
        <v>1048</v>
      </c>
      <c r="B421" s="9">
        <v>0</v>
      </c>
    </row>
    <row r="422" spans="1:2" x14ac:dyDescent="0.25">
      <c r="A422" t="s">
        <v>1049</v>
      </c>
      <c r="B422" s="9">
        <v>0</v>
      </c>
    </row>
    <row r="423" spans="1:2" x14ac:dyDescent="0.25">
      <c r="A423" t="s">
        <v>1050</v>
      </c>
      <c r="B423" s="9">
        <v>0</v>
      </c>
    </row>
    <row r="424" spans="1:2" x14ac:dyDescent="0.25">
      <c r="A424" t="s">
        <v>1051</v>
      </c>
      <c r="B424" s="9">
        <v>0</v>
      </c>
    </row>
    <row r="425" spans="1:2" x14ac:dyDescent="0.25">
      <c r="A425" t="s">
        <v>1052</v>
      </c>
      <c r="B425" s="9">
        <v>0</v>
      </c>
    </row>
    <row r="426" spans="1:2" x14ac:dyDescent="0.25">
      <c r="A426" t="s">
        <v>1053</v>
      </c>
      <c r="B426" s="9">
        <v>0</v>
      </c>
    </row>
    <row r="427" spans="1:2" x14ac:dyDescent="0.25">
      <c r="A427" t="s">
        <v>1054</v>
      </c>
      <c r="B427" s="9">
        <v>0</v>
      </c>
    </row>
    <row r="428" spans="1:2" x14ac:dyDescent="0.25">
      <c r="A428" t="s">
        <v>1055</v>
      </c>
      <c r="B428" s="9">
        <v>0</v>
      </c>
    </row>
    <row r="429" spans="1:2" x14ac:dyDescent="0.25">
      <c r="A429" t="s">
        <v>1056</v>
      </c>
      <c r="B429" s="9">
        <v>0</v>
      </c>
    </row>
    <row r="430" spans="1:2" x14ac:dyDescent="0.25">
      <c r="A430" t="s">
        <v>1057</v>
      </c>
      <c r="B430" s="9">
        <v>0</v>
      </c>
    </row>
    <row r="431" spans="1:2" x14ac:dyDescent="0.25">
      <c r="A431" t="s">
        <v>1058</v>
      </c>
      <c r="B431" s="9">
        <v>0</v>
      </c>
    </row>
    <row r="432" spans="1:2" x14ac:dyDescent="0.25">
      <c r="A432" t="s">
        <v>1059</v>
      </c>
      <c r="B432" s="9">
        <v>0</v>
      </c>
    </row>
    <row r="433" spans="1:2" x14ac:dyDescent="0.25">
      <c r="A433" t="s">
        <v>1060</v>
      </c>
      <c r="B433" s="9">
        <v>0</v>
      </c>
    </row>
    <row r="434" spans="1:2" x14ac:dyDescent="0.25">
      <c r="A434" t="s">
        <v>1061</v>
      </c>
      <c r="B434" s="9">
        <v>0</v>
      </c>
    </row>
    <row r="435" spans="1:2" x14ac:dyDescent="0.25">
      <c r="A435" t="s">
        <v>1062</v>
      </c>
      <c r="B435" s="9">
        <v>0</v>
      </c>
    </row>
    <row r="436" spans="1:2" x14ac:dyDescent="0.25">
      <c r="A436" t="s">
        <v>1063</v>
      </c>
      <c r="B436" s="9">
        <v>0</v>
      </c>
    </row>
    <row r="437" spans="1:2" x14ac:dyDescent="0.25">
      <c r="A437" t="s">
        <v>1064</v>
      </c>
      <c r="B437" s="9">
        <v>0</v>
      </c>
    </row>
    <row r="438" spans="1:2" x14ac:dyDescent="0.25">
      <c r="A438" t="s">
        <v>1065</v>
      </c>
      <c r="B438" s="9">
        <v>0</v>
      </c>
    </row>
    <row r="439" spans="1:2" x14ac:dyDescent="0.25">
      <c r="A439" t="s">
        <v>1066</v>
      </c>
      <c r="B439" s="9">
        <v>0</v>
      </c>
    </row>
    <row r="440" spans="1:2" x14ac:dyDescent="0.25">
      <c r="A440" t="s">
        <v>1067</v>
      </c>
      <c r="B440" s="9">
        <v>0</v>
      </c>
    </row>
    <row r="441" spans="1:2" x14ac:dyDescent="0.25">
      <c r="A441" t="s">
        <v>1068</v>
      </c>
      <c r="B441" s="9">
        <v>0</v>
      </c>
    </row>
    <row r="442" spans="1:2" x14ac:dyDescent="0.25">
      <c r="A442" t="s">
        <v>1069</v>
      </c>
      <c r="B442" s="9">
        <v>0</v>
      </c>
    </row>
    <row r="443" spans="1:2" x14ac:dyDescent="0.25">
      <c r="A443" t="s">
        <v>1070</v>
      </c>
      <c r="B443" s="9">
        <v>0</v>
      </c>
    </row>
    <row r="444" spans="1:2" x14ac:dyDescent="0.25">
      <c r="A444" t="s">
        <v>1071</v>
      </c>
      <c r="B444" s="9">
        <v>0</v>
      </c>
    </row>
    <row r="445" spans="1:2" x14ac:dyDescent="0.25">
      <c r="A445" t="s">
        <v>1072</v>
      </c>
      <c r="B445" s="9">
        <v>0</v>
      </c>
    </row>
    <row r="446" spans="1:2" x14ac:dyDescent="0.25">
      <c r="A446" t="s">
        <v>1073</v>
      </c>
      <c r="B446" s="9">
        <v>0</v>
      </c>
    </row>
    <row r="447" spans="1:2" x14ac:dyDescent="0.25">
      <c r="A447" t="s">
        <v>1074</v>
      </c>
      <c r="B447" s="9">
        <v>0</v>
      </c>
    </row>
    <row r="448" spans="1:2" x14ac:dyDescent="0.25">
      <c r="A448" t="s">
        <v>1075</v>
      </c>
      <c r="B448" s="9">
        <v>0</v>
      </c>
    </row>
    <row r="449" spans="1:2" x14ac:dyDescent="0.25">
      <c r="A449" t="s">
        <v>1076</v>
      </c>
      <c r="B449" s="9">
        <v>0</v>
      </c>
    </row>
    <row r="450" spans="1:2" x14ac:dyDescent="0.25">
      <c r="A450" t="s">
        <v>1077</v>
      </c>
      <c r="B450" s="9">
        <v>0</v>
      </c>
    </row>
    <row r="451" spans="1:2" x14ac:dyDescent="0.25">
      <c r="A451" t="s">
        <v>1078</v>
      </c>
      <c r="B451" s="9">
        <v>0</v>
      </c>
    </row>
    <row r="452" spans="1:2" x14ac:dyDescent="0.25">
      <c r="A452" t="s">
        <v>1079</v>
      </c>
      <c r="B452" s="9">
        <v>0</v>
      </c>
    </row>
    <row r="453" spans="1:2" x14ac:dyDescent="0.25">
      <c r="A453" t="s">
        <v>1080</v>
      </c>
      <c r="B453" s="9">
        <v>0</v>
      </c>
    </row>
    <row r="454" spans="1:2" x14ac:dyDescent="0.25">
      <c r="A454" t="s">
        <v>1081</v>
      </c>
      <c r="B454" s="9">
        <v>0</v>
      </c>
    </row>
    <row r="455" spans="1:2" x14ac:dyDescent="0.25">
      <c r="A455" t="s">
        <v>1082</v>
      </c>
      <c r="B455" s="9">
        <v>0</v>
      </c>
    </row>
    <row r="456" spans="1:2" x14ac:dyDescent="0.25">
      <c r="A456" t="s">
        <v>1083</v>
      </c>
      <c r="B456" s="9">
        <v>0</v>
      </c>
    </row>
    <row r="457" spans="1:2" x14ac:dyDescent="0.25">
      <c r="A457" t="s">
        <v>1084</v>
      </c>
      <c r="B457" s="9">
        <v>0</v>
      </c>
    </row>
    <row r="458" spans="1:2" x14ac:dyDescent="0.25">
      <c r="A458" t="s">
        <v>1085</v>
      </c>
      <c r="B458" s="9">
        <v>0</v>
      </c>
    </row>
    <row r="459" spans="1:2" x14ac:dyDescent="0.25">
      <c r="A459" t="s">
        <v>1086</v>
      </c>
      <c r="B459" s="9">
        <v>0</v>
      </c>
    </row>
    <row r="460" spans="1:2" x14ac:dyDescent="0.25">
      <c r="A460" t="s">
        <v>1087</v>
      </c>
      <c r="B460" s="9">
        <v>0</v>
      </c>
    </row>
    <row r="461" spans="1:2" x14ac:dyDescent="0.25">
      <c r="A461" t="s">
        <v>1088</v>
      </c>
      <c r="B461" s="9">
        <v>0</v>
      </c>
    </row>
    <row r="462" spans="1:2" x14ac:dyDescent="0.25">
      <c r="A462" t="s">
        <v>1089</v>
      </c>
      <c r="B462" s="9">
        <v>0</v>
      </c>
    </row>
    <row r="463" spans="1:2" x14ac:dyDescent="0.25">
      <c r="A463" t="s">
        <v>1090</v>
      </c>
      <c r="B463" s="9">
        <v>0</v>
      </c>
    </row>
    <row r="464" spans="1:2" x14ac:dyDescent="0.25">
      <c r="A464" t="s">
        <v>1091</v>
      </c>
      <c r="B464" s="9">
        <v>0</v>
      </c>
    </row>
    <row r="465" spans="1:2" x14ac:dyDescent="0.25">
      <c r="A465" t="s">
        <v>1092</v>
      </c>
      <c r="B465" s="9">
        <v>0</v>
      </c>
    </row>
    <row r="466" spans="1:2" x14ac:dyDescent="0.25">
      <c r="A466" t="s">
        <v>1093</v>
      </c>
      <c r="B466" s="9">
        <v>0</v>
      </c>
    </row>
    <row r="467" spans="1:2" x14ac:dyDescent="0.25">
      <c r="A467" t="s">
        <v>1094</v>
      </c>
      <c r="B467" s="9">
        <v>0</v>
      </c>
    </row>
    <row r="468" spans="1:2" x14ac:dyDescent="0.25">
      <c r="A468" t="s">
        <v>1095</v>
      </c>
      <c r="B468" s="9">
        <v>0</v>
      </c>
    </row>
    <row r="469" spans="1:2" x14ac:dyDescent="0.25">
      <c r="A469" t="s">
        <v>1096</v>
      </c>
      <c r="B469" s="9">
        <v>0</v>
      </c>
    </row>
    <row r="470" spans="1:2" x14ac:dyDescent="0.25">
      <c r="A470" t="s">
        <v>1097</v>
      </c>
      <c r="B470" s="9">
        <v>0</v>
      </c>
    </row>
    <row r="471" spans="1:2" x14ac:dyDescent="0.25">
      <c r="A471" t="s">
        <v>1098</v>
      </c>
      <c r="B471" s="9">
        <v>0</v>
      </c>
    </row>
    <row r="472" spans="1:2" x14ac:dyDescent="0.25">
      <c r="A472" t="s">
        <v>1099</v>
      </c>
      <c r="B472" s="9">
        <v>0</v>
      </c>
    </row>
    <row r="473" spans="1:2" x14ac:dyDescent="0.25">
      <c r="A473" t="s">
        <v>1100</v>
      </c>
      <c r="B473" s="9">
        <v>0</v>
      </c>
    </row>
    <row r="474" spans="1:2" x14ac:dyDescent="0.25">
      <c r="A474" t="s">
        <v>1101</v>
      </c>
      <c r="B474" s="9">
        <v>0</v>
      </c>
    </row>
    <row r="475" spans="1:2" x14ac:dyDescent="0.25">
      <c r="A475" t="s">
        <v>1102</v>
      </c>
      <c r="B475" s="9">
        <v>0</v>
      </c>
    </row>
    <row r="476" spans="1:2" x14ac:dyDescent="0.25">
      <c r="A476" t="s">
        <v>1103</v>
      </c>
      <c r="B476" s="9">
        <v>0</v>
      </c>
    </row>
    <row r="477" spans="1:2" x14ac:dyDescent="0.25">
      <c r="A477" t="s">
        <v>1104</v>
      </c>
      <c r="B477" s="9">
        <v>0</v>
      </c>
    </row>
    <row r="478" spans="1:2" x14ac:dyDescent="0.25">
      <c r="A478" t="s">
        <v>1105</v>
      </c>
      <c r="B478" s="9">
        <v>0</v>
      </c>
    </row>
    <row r="479" spans="1:2" x14ac:dyDescent="0.25">
      <c r="A479" t="s">
        <v>1106</v>
      </c>
      <c r="B479" s="9">
        <v>0</v>
      </c>
    </row>
    <row r="480" spans="1:2" x14ac:dyDescent="0.25">
      <c r="A480" t="s">
        <v>1107</v>
      </c>
      <c r="B480" s="9">
        <v>0</v>
      </c>
    </row>
    <row r="481" spans="1:2" x14ac:dyDescent="0.25">
      <c r="A481" t="s">
        <v>1108</v>
      </c>
      <c r="B481" s="9">
        <v>0</v>
      </c>
    </row>
    <row r="482" spans="1:2" x14ac:dyDescent="0.25">
      <c r="A482" t="s">
        <v>1109</v>
      </c>
      <c r="B482" s="9">
        <v>0</v>
      </c>
    </row>
    <row r="483" spans="1:2" x14ac:dyDescent="0.25">
      <c r="A483" t="s">
        <v>1110</v>
      </c>
      <c r="B483" s="9">
        <v>0</v>
      </c>
    </row>
    <row r="484" spans="1:2" x14ac:dyDescent="0.25">
      <c r="A484" t="s">
        <v>1111</v>
      </c>
      <c r="B484" s="9">
        <v>0</v>
      </c>
    </row>
    <row r="485" spans="1:2" x14ac:dyDescent="0.25">
      <c r="A485" t="s">
        <v>1112</v>
      </c>
      <c r="B485" s="9">
        <v>0</v>
      </c>
    </row>
    <row r="486" spans="1:2" x14ac:dyDescent="0.25">
      <c r="A486" t="s">
        <v>1113</v>
      </c>
      <c r="B486" s="9">
        <v>0</v>
      </c>
    </row>
    <row r="487" spans="1:2" x14ac:dyDescent="0.25">
      <c r="A487" t="s">
        <v>1114</v>
      </c>
      <c r="B487" s="9">
        <v>0</v>
      </c>
    </row>
    <row r="488" spans="1:2" x14ac:dyDescent="0.25">
      <c r="A488" t="s">
        <v>1115</v>
      </c>
      <c r="B488" s="9">
        <v>0</v>
      </c>
    </row>
    <row r="489" spans="1:2" x14ac:dyDescent="0.25">
      <c r="A489" t="s">
        <v>1116</v>
      </c>
      <c r="B489" s="9">
        <v>0</v>
      </c>
    </row>
    <row r="490" spans="1:2" x14ac:dyDescent="0.25">
      <c r="A490" t="s">
        <v>1117</v>
      </c>
      <c r="B490" s="9">
        <v>0</v>
      </c>
    </row>
    <row r="491" spans="1:2" x14ac:dyDescent="0.25">
      <c r="A491" t="s">
        <v>1118</v>
      </c>
      <c r="B491" s="9">
        <v>0</v>
      </c>
    </row>
    <row r="492" spans="1:2" x14ac:dyDescent="0.25">
      <c r="A492" t="s">
        <v>1119</v>
      </c>
      <c r="B492" s="9">
        <v>0</v>
      </c>
    </row>
    <row r="493" spans="1:2" x14ac:dyDescent="0.25">
      <c r="A493" t="s">
        <v>1120</v>
      </c>
      <c r="B493" s="9">
        <v>0</v>
      </c>
    </row>
    <row r="494" spans="1:2" x14ac:dyDescent="0.25">
      <c r="A494" t="s">
        <v>1121</v>
      </c>
      <c r="B494" s="9">
        <v>0</v>
      </c>
    </row>
    <row r="495" spans="1:2" x14ac:dyDescent="0.25">
      <c r="A495" t="s">
        <v>1122</v>
      </c>
      <c r="B495" s="9">
        <v>0</v>
      </c>
    </row>
    <row r="496" spans="1:2" x14ac:dyDescent="0.25">
      <c r="A496" t="s">
        <v>1123</v>
      </c>
      <c r="B496" s="9">
        <v>0</v>
      </c>
    </row>
    <row r="497" spans="1:2" x14ac:dyDescent="0.25">
      <c r="A497" t="s">
        <v>1124</v>
      </c>
      <c r="B497" s="9">
        <v>0</v>
      </c>
    </row>
    <row r="498" spans="1:2" x14ac:dyDescent="0.25">
      <c r="A498" t="s">
        <v>1125</v>
      </c>
      <c r="B498" s="9">
        <v>0</v>
      </c>
    </row>
    <row r="499" spans="1:2" x14ac:dyDescent="0.25">
      <c r="A499" t="s">
        <v>1126</v>
      </c>
      <c r="B499" s="9">
        <v>0</v>
      </c>
    </row>
    <row r="500" spans="1:2" x14ac:dyDescent="0.25">
      <c r="A500" t="s">
        <v>1127</v>
      </c>
      <c r="B500" s="9">
        <v>0</v>
      </c>
    </row>
    <row r="501" spans="1:2" x14ac:dyDescent="0.25">
      <c r="A501" t="s">
        <v>1128</v>
      </c>
      <c r="B501" s="9">
        <v>0</v>
      </c>
    </row>
    <row r="502" spans="1:2" x14ac:dyDescent="0.25">
      <c r="A502" t="s">
        <v>1129</v>
      </c>
      <c r="B502" s="9">
        <v>0</v>
      </c>
    </row>
    <row r="503" spans="1:2" x14ac:dyDescent="0.25">
      <c r="A503" t="s">
        <v>1130</v>
      </c>
      <c r="B503" s="9">
        <v>0</v>
      </c>
    </row>
    <row r="504" spans="1:2" x14ac:dyDescent="0.25">
      <c r="A504" t="s">
        <v>1131</v>
      </c>
      <c r="B504" s="9">
        <v>0</v>
      </c>
    </row>
    <row r="505" spans="1:2" x14ac:dyDescent="0.25">
      <c r="A505" t="s">
        <v>1132</v>
      </c>
      <c r="B505" s="9">
        <v>0</v>
      </c>
    </row>
    <row r="506" spans="1:2" x14ac:dyDescent="0.25">
      <c r="A506" t="s">
        <v>1133</v>
      </c>
      <c r="B506" s="9">
        <v>0</v>
      </c>
    </row>
    <row r="507" spans="1:2" x14ac:dyDescent="0.25">
      <c r="A507" t="s">
        <v>1134</v>
      </c>
      <c r="B507" s="9">
        <v>0</v>
      </c>
    </row>
    <row r="508" spans="1:2" x14ac:dyDescent="0.25">
      <c r="A508" t="s">
        <v>1135</v>
      </c>
      <c r="B508" s="9">
        <v>0</v>
      </c>
    </row>
    <row r="509" spans="1:2" x14ac:dyDescent="0.25">
      <c r="A509" t="s">
        <v>1136</v>
      </c>
      <c r="B509" s="9">
        <v>0</v>
      </c>
    </row>
    <row r="510" spans="1:2" x14ac:dyDescent="0.25">
      <c r="A510" t="s">
        <v>1137</v>
      </c>
      <c r="B510" s="9">
        <v>0</v>
      </c>
    </row>
    <row r="511" spans="1:2" x14ac:dyDescent="0.25">
      <c r="A511" t="s">
        <v>1138</v>
      </c>
      <c r="B511" s="9">
        <v>0</v>
      </c>
    </row>
    <row r="512" spans="1:2" x14ac:dyDescent="0.25">
      <c r="A512" t="s">
        <v>1139</v>
      </c>
      <c r="B512" s="9">
        <v>0</v>
      </c>
    </row>
    <row r="513" spans="1:2" x14ac:dyDescent="0.25">
      <c r="A513" t="s">
        <v>1140</v>
      </c>
      <c r="B513" s="9">
        <v>0</v>
      </c>
    </row>
    <row r="514" spans="1:2" x14ac:dyDescent="0.25">
      <c r="A514" t="s">
        <v>1141</v>
      </c>
      <c r="B514" s="9">
        <v>0</v>
      </c>
    </row>
    <row r="515" spans="1:2" x14ac:dyDescent="0.25">
      <c r="A515" t="s">
        <v>1142</v>
      </c>
      <c r="B515" s="9">
        <v>0</v>
      </c>
    </row>
    <row r="516" spans="1:2" x14ac:dyDescent="0.25">
      <c r="A516" t="s">
        <v>1143</v>
      </c>
      <c r="B516" s="9">
        <v>0</v>
      </c>
    </row>
    <row r="517" spans="1:2" x14ac:dyDescent="0.25">
      <c r="A517" t="s">
        <v>1144</v>
      </c>
      <c r="B517" s="9">
        <v>0</v>
      </c>
    </row>
    <row r="518" spans="1:2" x14ac:dyDescent="0.25">
      <c r="A518" t="s">
        <v>1145</v>
      </c>
      <c r="B518" s="9">
        <v>0</v>
      </c>
    </row>
    <row r="519" spans="1:2" x14ac:dyDescent="0.25">
      <c r="A519" t="s">
        <v>1146</v>
      </c>
      <c r="B519" s="9">
        <v>0</v>
      </c>
    </row>
    <row r="520" spans="1:2" x14ac:dyDescent="0.25">
      <c r="A520" t="s">
        <v>1147</v>
      </c>
      <c r="B520" s="9">
        <v>0</v>
      </c>
    </row>
    <row r="521" spans="1:2" x14ac:dyDescent="0.25">
      <c r="A521" t="s">
        <v>1148</v>
      </c>
      <c r="B521" s="9">
        <v>0</v>
      </c>
    </row>
    <row r="522" spans="1:2" x14ac:dyDescent="0.25">
      <c r="A522" t="s">
        <v>1149</v>
      </c>
      <c r="B522" s="9">
        <v>0</v>
      </c>
    </row>
    <row r="523" spans="1:2" x14ac:dyDescent="0.25">
      <c r="A523" t="s">
        <v>1150</v>
      </c>
      <c r="B523" s="9">
        <v>0</v>
      </c>
    </row>
    <row r="524" spans="1:2" x14ac:dyDescent="0.25">
      <c r="A524" t="s">
        <v>1151</v>
      </c>
      <c r="B524" s="9">
        <v>0</v>
      </c>
    </row>
    <row r="525" spans="1:2" x14ac:dyDescent="0.25">
      <c r="A525" t="s">
        <v>1152</v>
      </c>
      <c r="B525" s="9">
        <v>0</v>
      </c>
    </row>
    <row r="526" spans="1:2" x14ac:dyDescent="0.25">
      <c r="A526" t="s">
        <v>1153</v>
      </c>
      <c r="B526" s="9">
        <v>0</v>
      </c>
    </row>
    <row r="527" spans="1:2" x14ac:dyDescent="0.25">
      <c r="A527" t="s">
        <v>1154</v>
      </c>
      <c r="B527" s="9">
        <v>0</v>
      </c>
    </row>
    <row r="528" spans="1:2" x14ac:dyDescent="0.25">
      <c r="A528" t="s">
        <v>1155</v>
      </c>
      <c r="B528" s="9">
        <v>0</v>
      </c>
    </row>
    <row r="529" spans="1:2" x14ac:dyDescent="0.25">
      <c r="A529" t="s">
        <v>1156</v>
      </c>
      <c r="B529" s="9">
        <v>0</v>
      </c>
    </row>
    <row r="530" spans="1:2" x14ac:dyDescent="0.25">
      <c r="A530" t="s">
        <v>1157</v>
      </c>
      <c r="B530" s="9">
        <v>0</v>
      </c>
    </row>
    <row r="531" spans="1:2" x14ac:dyDescent="0.25">
      <c r="A531" t="s">
        <v>1158</v>
      </c>
      <c r="B531" s="9">
        <v>0</v>
      </c>
    </row>
    <row r="532" spans="1:2" x14ac:dyDescent="0.25">
      <c r="A532" t="s">
        <v>1159</v>
      </c>
      <c r="B532" s="9">
        <v>0</v>
      </c>
    </row>
    <row r="533" spans="1:2" x14ac:dyDescent="0.25">
      <c r="A533" t="s">
        <v>1160</v>
      </c>
      <c r="B533" s="9">
        <v>0</v>
      </c>
    </row>
    <row r="534" spans="1:2" x14ac:dyDescent="0.25">
      <c r="A534" t="s">
        <v>1161</v>
      </c>
      <c r="B534" s="9">
        <v>0</v>
      </c>
    </row>
    <row r="535" spans="1:2" x14ac:dyDescent="0.25">
      <c r="A535" t="s">
        <v>1162</v>
      </c>
      <c r="B535" s="9">
        <v>0</v>
      </c>
    </row>
    <row r="536" spans="1:2" x14ac:dyDescent="0.25">
      <c r="A536" t="s">
        <v>1163</v>
      </c>
      <c r="B536" s="9">
        <v>0</v>
      </c>
    </row>
    <row r="537" spans="1:2" x14ac:dyDescent="0.25">
      <c r="A537" t="s">
        <v>1164</v>
      </c>
      <c r="B537" s="9">
        <v>0</v>
      </c>
    </row>
    <row r="538" spans="1:2" x14ac:dyDescent="0.25">
      <c r="A538" t="s">
        <v>1165</v>
      </c>
      <c r="B538" s="9">
        <v>0</v>
      </c>
    </row>
    <row r="539" spans="1:2" x14ac:dyDescent="0.25">
      <c r="A539" t="s">
        <v>1166</v>
      </c>
      <c r="B539" s="9">
        <v>0</v>
      </c>
    </row>
    <row r="540" spans="1:2" x14ac:dyDescent="0.25">
      <c r="A540" t="s">
        <v>1167</v>
      </c>
      <c r="B540" s="9">
        <v>0</v>
      </c>
    </row>
    <row r="541" spans="1:2" x14ac:dyDescent="0.25">
      <c r="A541" t="s">
        <v>1168</v>
      </c>
      <c r="B541" s="9">
        <v>0</v>
      </c>
    </row>
    <row r="542" spans="1:2" x14ac:dyDescent="0.25">
      <c r="A542" t="s">
        <v>1169</v>
      </c>
      <c r="B542" s="9">
        <v>0</v>
      </c>
    </row>
    <row r="543" spans="1:2" x14ac:dyDescent="0.25">
      <c r="A543" t="s">
        <v>1170</v>
      </c>
      <c r="B543" s="9">
        <v>0</v>
      </c>
    </row>
    <row r="544" spans="1:2" x14ac:dyDescent="0.25">
      <c r="A544" t="s">
        <v>1171</v>
      </c>
      <c r="B544" s="9">
        <v>0</v>
      </c>
    </row>
    <row r="545" spans="1:2" x14ac:dyDescent="0.25">
      <c r="A545" t="s">
        <v>1172</v>
      </c>
      <c r="B545" s="9">
        <v>0</v>
      </c>
    </row>
    <row r="546" spans="1:2" x14ac:dyDescent="0.25">
      <c r="A546" t="s">
        <v>1173</v>
      </c>
      <c r="B546" s="9">
        <v>0</v>
      </c>
    </row>
    <row r="547" spans="1:2" x14ac:dyDescent="0.25">
      <c r="A547" t="s">
        <v>1174</v>
      </c>
      <c r="B547" s="9">
        <v>0</v>
      </c>
    </row>
    <row r="548" spans="1:2" x14ac:dyDescent="0.25">
      <c r="A548" t="s">
        <v>1175</v>
      </c>
      <c r="B548" s="9">
        <v>0</v>
      </c>
    </row>
    <row r="549" spans="1:2" x14ac:dyDescent="0.25">
      <c r="A549" t="s">
        <v>1176</v>
      </c>
      <c r="B549" s="9">
        <v>0</v>
      </c>
    </row>
    <row r="550" spans="1:2" x14ac:dyDescent="0.25">
      <c r="A550" t="s">
        <v>1177</v>
      </c>
      <c r="B550" s="9">
        <v>0</v>
      </c>
    </row>
    <row r="551" spans="1:2" x14ac:dyDescent="0.25">
      <c r="A551" t="s">
        <v>1178</v>
      </c>
      <c r="B551" s="9">
        <v>0</v>
      </c>
    </row>
    <row r="552" spans="1:2" x14ac:dyDescent="0.25">
      <c r="A552" t="s">
        <v>1179</v>
      </c>
      <c r="B552" s="9">
        <v>0</v>
      </c>
    </row>
    <row r="553" spans="1:2" x14ac:dyDescent="0.25">
      <c r="A553" t="s">
        <v>1180</v>
      </c>
      <c r="B553" s="9">
        <v>0</v>
      </c>
    </row>
    <row r="554" spans="1:2" x14ac:dyDescent="0.25">
      <c r="A554" t="s">
        <v>1181</v>
      </c>
      <c r="B554" s="9">
        <v>0</v>
      </c>
    </row>
    <row r="555" spans="1:2" x14ac:dyDescent="0.25">
      <c r="A555" t="s">
        <v>1182</v>
      </c>
      <c r="B555" s="9">
        <v>0</v>
      </c>
    </row>
    <row r="556" spans="1:2" x14ac:dyDescent="0.25">
      <c r="A556" t="s">
        <v>1183</v>
      </c>
      <c r="B556" s="9">
        <v>0</v>
      </c>
    </row>
    <row r="557" spans="1:2" x14ac:dyDescent="0.25">
      <c r="A557" t="s">
        <v>1184</v>
      </c>
      <c r="B557" s="9">
        <v>0</v>
      </c>
    </row>
    <row r="558" spans="1:2" x14ac:dyDescent="0.25">
      <c r="A558" t="s">
        <v>1185</v>
      </c>
      <c r="B558" s="9">
        <v>0</v>
      </c>
    </row>
    <row r="559" spans="1:2" x14ac:dyDescent="0.25">
      <c r="A559" t="s">
        <v>1186</v>
      </c>
      <c r="B559" s="9">
        <v>0</v>
      </c>
    </row>
    <row r="560" spans="1:2" x14ac:dyDescent="0.25">
      <c r="A560" t="s">
        <v>1187</v>
      </c>
      <c r="B560" s="9">
        <v>0</v>
      </c>
    </row>
    <row r="561" spans="1:2" x14ac:dyDescent="0.25">
      <c r="A561" t="s">
        <v>1188</v>
      </c>
      <c r="B561" s="9">
        <v>0</v>
      </c>
    </row>
    <row r="562" spans="1:2" x14ac:dyDescent="0.25">
      <c r="A562" t="s">
        <v>1189</v>
      </c>
      <c r="B562" s="9">
        <v>0</v>
      </c>
    </row>
    <row r="563" spans="1:2" x14ac:dyDescent="0.25">
      <c r="A563" t="s">
        <v>1190</v>
      </c>
      <c r="B563" s="9">
        <v>0</v>
      </c>
    </row>
    <row r="564" spans="1:2" x14ac:dyDescent="0.25">
      <c r="A564" t="s">
        <v>1191</v>
      </c>
      <c r="B564" s="9">
        <v>0</v>
      </c>
    </row>
    <row r="565" spans="1:2" x14ac:dyDescent="0.25">
      <c r="A565" t="s">
        <v>1192</v>
      </c>
      <c r="B565" s="9">
        <v>0</v>
      </c>
    </row>
    <row r="566" spans="1:2" x14ac:dyDescent="0.25">
      <c r="A566" t="s">
        <v>1193</v>
      </c>
      <c r="B566" s="9">
        <v>0</v>
      </c>
    </row>
    <row r="567" spans="1:2" x14ac:dyDescent="0.25">
      <c r="A567" t="s">
        <v>1194</v>
      </c>
      <c r="B567" s="9">
        <v>0</v>
      </c>
    </row>
    <row r="568" spans="1:2" x14ac:dyDescent="0.25">
      <c r="A568" t="s">
        <v>1195</v>
      </c>
      <c r="B568" s="9">
        <v>0</v>
      </c>
    </row>
    <row r="569" spans="1:2" x14ac:dyDescent="0.25">
      <c r="A569" t="s">
        <v>1196</v>
      </c>
      <c r="B569" s="9">
        <v>0</v>
      </c>
    </row>
    <row r="570" spans="1:2" x14ac:dyDescent="0.25">
      <c r="A570" t="s">
        <v>1197</v>
      </c>
      <c r="B570" s="9">
        <v>0</v>
      </c>
    </row>
    <row r="571" spans="1:2" x14ac:dyDescent="0.25">
      <c r="A571" t="s">
        <v>1198</v>
      </c>
      <c r="B571" s="9">
        <v>0</v>
      </c>
    </row>
    <row r="572" spans="1:2" x14ac:dyDescent="0.25">
      <c r="A572" t="s">
        <v>1199</v>
      </c>
      <c r="B572" s="9">
        <v>0</v>
      </c>
    </row>
    <row r="573" spans="1:2" x14ac:dyDescent="0.25">
      <c r="A573" t="s">
        <v>1200</v>
      </c>
      <c r="B573" s="9">
        <v>0</v>
      </c>
    </row>
    <row r="574" spans="1:2" x14ac:dyDescent="0.25">
      <c r="A574" t="s">
        <v>1201</v>
      </c>
      <c r="B574" s="9">
        <v>0</v>
      </c>
    </row>
    <row r="575" spans="1:2" x14ac:dyDescent="0.25">
      <c r="A575" t="s">
        <v>1202</v>
      </c>
      <c r="B575" s="9">
        <v>0</v>
      </c>
    </row>
    <row r="576" spans="1:2" x14ac:dyDescent="0.25">
      <c r="A576" t="s">
        <v>1203</v>
      </c>
      <c r="B576" s="9">
        <v>0</v>
      </c>
    </row>
    <row r="577" spans="1:2" x14ac:dyDescent="0.25">
      <c r="A577" t="s">
        <v>1204</v>
      </c>
      <c r="B577" s="9">
        <v>0</v>
      </c>
    </row>
    <row r="578" spans="1:2" x14ac:dyDescent="0.25">
      <c r="A578" t="s">
        <v>1205</v>
      </c>
      <c r="B578" s="9">
        <v>0</v>
      </c>
    </row>
    <row r="579" spans="1:2" x14ac:dyDescent="0.25">
      <c r="A579" t="s">
        <v>1206</v>
      </c>
      <c r="B579" s="9">
        <v>0</v>
      </c>
    </row>
    <row r="580" spans="1:2" x14ac:dyDescent="0.25">
      <c r="A580" t="s">
        <v>1207</v>
      </c>
      <c r="B580" s="9">
        <v>0</v>
      </c>
    </row>
    <row r="581" spans="1:2" x14ac:dyDescent="0.25">
      <c r="A581" t="s">
        <v>1208</v>
      </c>
      <c r="B581" s="9">
        <v>0</v>
      </c>
    </row>
    <row r="582" spans="1:2" x14ac:dyDescent="0.25">
      <c r="A582" t="s">
        <v>1209</v>
      </c>
      <c r="B582" s="9">
        <v>0</v>
      </c>
    </row>
    <row r="583" spans="1:2" x14ac:dyDescent="0.25">
      <c r="A583" t="s">
        <v>1210</v>
      </c>
      <c r="B583" s="9">
        <v>0</v>
      </c>
    </row>
    <row r="584" spans="1:2" x14ac:dyDescent="0.25">
      <c r="A584" t="s">
        <v>1211</v>
      </c>
      <c r="B584" s="9">
        <v>0</v>
      </c>
    </row>
    <row r="585" spans="1:2" x14ac:dyDescent="0.25">
      <c r="A585" t="s">
        <v>1212</v>
      </c>
      <c r="B585" s="9">
        <v>0</v>
      </c>
    </row>
    <row r="586" spans="1:2" x14ac:dyDescent="0.25">
      <c r="A586" t="s">
        <v>1213</v>
      </c>
      <c r="B586" s="9">
        <v>0</v>
      </c>
    </row>
    <row r="587" spans="1:2" x14ac:dyDescent="0.25">
      <c r="A587" t="s">
        <v>1214</v>
      </c>
      <c r="B587" s="9">
        <v>0</v>
      </c>
    </row>
    <row r="588" spans="1:2" x14ac:dyDescent="0.25">
      <c r="A588" t="s">
        <v>1215</v>
      </c>
      <c r="B588" s="9">
        <v>0</v>
      </c>
    </row>
    <row r="589" spans="1:2" x14ac:dyDescent="0.25">
      <c r="A589" t="s">
        <v>1216</v>
      </c>
      <c r="B589" s="9">
        <v>0</v>
      </c>
    </row>
    <row r="590" spans="1:2" x14ac:dyDescent="0.25">
      <c r="A590" t="s">
        <v>1217</v>
      </c>
      <c r="B590" s="9">
        <v>0</v>
      </c>
    </row>
    <row r="591" spans="1:2" x14ac:dyDescent="0.25">
      <c r="A591" t="s">
        <v>1218</v>
      </c>
      <c r="B591" s="9">
        <v>0</v>
      </c>
    </row>
    <row r="592" spans="1:2" x14ac:dyDescent="0.25">
      <c r="A592" t="s">
        <v>1219</v>
      </c>
      <c r="B592" s="9">
        <v>0</v>
      </c>
    </row>
    <row r="593" spans="1:2" x14ac:dyDescent="0.25">
      <c r="A593" t="s">
        <v>1220</v>
      </c>
      <c r="B593" s="9">
        <v>0</v>
      </c>
    </row>
    <row r="594" spans="1:2" x14ac:dyDescent="0.25">
      <c r="A594" t="s">
        <v>1221</v>
      </c>
      <c r="B594" s="9">
        <v>0</v>
      </c>
    </row>
    <row r="595" spans="1:2" x14ac:dyDescent="0.25">
      <c r="A595" t="s">
        <v>1222</v>
      </c>
      <c r="B595" s="9">
        <v>0</v>
      </c>
    </row>
    <row r="596" spans="1:2" x14ac:dyDescent="0.25">
      <c r="A596" t="s">
        <v>1223</v>
      </c>
      <c r="B596" s="9">
        <v>0</v>
      </c>
    </row>
    <row r="597" spans="1:2" x14ac:dyDescent="0.25">
      <c r="A597" t="s">
        <v>1224</v>
      </c>
      <c r="B597" s="9">
        <v>0</v>
      </c>
    </row>
    <row r="598" spans="1:2" x14ac:dyDescent="0.25">
      <c r="A598" t="s">
        <v>1225</v>
      </c>
      <c r="B598" s="9">
        <v>0</v>
      </c>
    </row>
    <row r="599" spans="1:2" x14ac:dyDescent="0.25">
      <c r="A599" t="s">
        <v>1226</v>
      </c>
      <c r="B599" s="9">
        <v>0</v>
      </c>
    </row>
    <row r="600" spans="1:2" x14ac:dyDescent="0.25">
      <c r="A600" t="s">
        <v>1227</v>
      </c>
      <c r="B600" s="9">
        <v>0</v>
      </c>
    </row>
    <row r="601" spans="1:2" x14ac:dyDescent="0.25">
      <c r="A601" t="s">
        <v>1228</v>
      </c>
      <c r="B601" s="9">
        <v>0</v>
      </c>
    </row>
    <row r="602" spans="1:2" x14ac:dyDescent="0.25">
      <c r="A602" t="s">
        <v>1229</v>
      </c>
      <c r="B602" s="9">
        <v>0</v>
      </c>
    </row>
    <row r="603" spans="1:2" x14ac:dyDescent="0.25">
      <c r="A603" t="s">
        <v>1230</v>
      </c>
      <c r="B603" s="9">
        <v>0</v>
      </c>
    </row>
    <row r="604" spans="1:2" x14ac:dyDescent="0.25">
      <c r="A604" t="s">
        <v>1231</v>
      </c>
      <c r="B604" s="9">
        <v>0</v>
      </c>
    </row>
    <row r="605" spans="1:2" x14ac:dyDescent="0.25">
      <c r="A605" t="s">
        <v>1232</v>
      </c>
      <c r="B605" s="9">
        <v>0</v>
      </c>
    </row>
    <row r="606" spans="1:2" x14ac:dyDescent="0.25">
      <c r="A606" t="s">
        <v>1233</v>
      </c>
      <c r="B606" s="9">
        <v>0</v>
      </c>
    </row>
    <row r="607" spans="1:2" x14ac:dyDescent="0.25">
      <c r="A607" t="s">
        <v>1234</v>
      </c>
      <c r="B607" s="9">
        <v>0</v>
      </c>
    </row>
    <row r="608" spans="1:2" x14ac:dyDescent="0.25">
      <c r="A608" t="s">
        <v>1235</v>
      </c>
      <c r="B608" s="9">
        <v>0</v>
      </c>
    </row>
    <row r="609" spans="1:2" x14ac:dyDescent="0.25">
      <c r="A609" t="s">
        <v>1236</v>
      </c>
      <c r="B609" s="9">
        <v>0</v>
      </c>
    </row>
    <row r="610" spans="1:2" x14ac:dyDescent="0.25">
      <c r="A610" t="s">
        <v>1237</v>
      </c>
      <c r="B610" s="9">
        <v>0</v>
      </c>
    </row>
    <row r="611" spans="1:2" x14ac:dyDescent="0.25">
      <c r="A611" t="s">
        <v>1238</v>
      </c>
      <c r="B611" s="9">
        <v>0</v>
      </c>
    </row>
    <row r="612" spans="1:2" x14ac:dyDescent="0.25">
      <c r="A612" t="s">
        <v>1239</v>
      </c>
      <c r="B612" s="9">
        <v>0</v>
      </c>
    </row>
    <row r="613" spans="1:2" x14ac:dyDescent="0.25">
      <c r="A613" t="s">
        <v>1240</v>
      </c>
      <c r="B613" s="9">
        <v>0</v>
      </c>
    </row>
    <row r="614" spans="1:2" x14ac:dyDescent="0.25">
      <c r="A614" t="s">
        <v>1241</v>
      </c>
      <c r="B614" s="9">
        <v>0</v>
      </c>
    </row>
    <row r="615" spans="1:2" x14ac:dyDescent="0.25">
      <c r="A615" t="s">
        <v>1242</v>
      </c>
      <c r="B615" s="9">
        <v>0</v>
      </c>
    </row>
    <row r="616" spans="1:2" x14ac:dyDescent="0.25">
      <c r="A616" t="s">
        <v>1243</v>
      </c>
      <c r="B616" s="9">
        <v>0</v>
      </c>
    </row>
    <row r="617" spans="1:2" x14ac:dyDescent="0.25">
      <c r="A617" t="s">
        <v>1244</v>
      </c>
      <c r="B617" s="9">
        <v>0</v>
      </c>
    </row>
    <row r="618" spans="1:2" x14ac:dyDescent="0.25">
      <c r="A618" t="s">
        <v>1245</v>
      </c>
      <c r="B618" s="9">
        <v>0</v>
      </c>
    </row>
    <row r="619" spans="1:2" x14ac:dyDescent="0.25">
      <c r="A619" t="s">
        <v>1246</v>
      </c>
      <c r="B619" s="9">
        <v>0.05</v>
      </c>
    </row>
    <row r="620" spans="1:2" x14ac:dyDescent="0.25">
      <c r="A620" t="s">
        <v>1247</v>
      </c>
      <c r="B620" s="9">
        <v>0</v>
      </c>
    </row>
    <row r="621" spans="1:2" x14ac:dyDescent="0.25">
      <c r="A621" t="s">
        <v>1248</v>
      </c>
      <c r="B621" s="9">
        <v>0</v>
      </c>
    </row>
    <row r="622" spans="1:2" x14ac:dyDescent="0.25">
      <c r="A622" t="s">
        <v>1249</v>
      </c>
      <c r="B622" s="9">
        <v>0</v>
      </c>
    </row>
    <row r="623" spans="1:2" x14ac:dyDescent="0.25">
      <c r="A623" t="s">
        <v>1250</v>
      </c>
      <c r="B623" s="9">
        <v>0</v>
      </c>
    </row>
    <row r="624" spans="1:2" x14ac:dyDescent="0.25">
      <c r="A624" t="s">
        <v>1251</v>
      </c>
      <c r="B624" s="9">
        <v>0</v>
      </c>
    </row>
    <row r="625" spans="1:2" x14ac:dyDescent="0.25">
      <c r="A625" t="s">
        <v>1252</v>
      </c>
      <c r="B625" s="9">
        <v>0</v>
      </c>
    </row>
    <row r="626" spans="1:2" x14ac:dyDescent="0.25">
      <c r="A626" t="s">
        <v>1253</v>
      </c>
      <c r="B626" s="9">
        <v>0</v>
      </c>
    </row>
    <row r="627" spans="1:2" x14ac:dyDescent="0.25">
      <c r="A627" t="s">
        <v>1254</v>
      </c>
      <c r="B627" s="9">
        <v>0</v>
      </c>
    </row>
    <row r="628" spans="1:2" x14ac:dyDescent="0.25">
      <c r="A628" t="s">
        <v>1255</v>
      </c>
      <c r="B628" s="9">
        <v>0</v>
      </c>
    </row>
    <row r="629" spans="1:2" x14ac:dyDescent="0.25">
      <c r="A629" t="s">
        <v>1256</v>
      </c>
      <c r="B629" s="9">
        <v>0</v>
      </c>
    </row>
    <row r="630" spans="1:2" x14ac:dyDescent="0.25">
      <c r="A630" t="s">
        <v>1257</v>
      </c>
      <c r="B630" s="9">
        <v>0</v>
      </c>
    </row>
    <row r="631" spans="1:2" x14ac:dyDescent="0.25">
      <c r="A631" t="s">
        <v>1258</v>
      </c>
      <c r="B631" s="9">
        <v>0</v>
      </c>
    </row>
    <row r="632" spans="1:2" x14ac:dyDescent="0.25">
      <c r="A632" t="s">
        <v>1259</v>
      </c>
      <c r="B632" s="9">
        <v>0</v>
      </c>
    </row>
    <row r="633" spans="1:2" x14ac:dyDescent="0.25">
      <c r="A633" t="s">
        <v>1260</v>
      </c>
      <c r="B633" s="9">
        <v>0</v>
      </c>
    </row>
    <row r="634" spans="1:2" x14ac:dyDescent="0.25">
      <c r="A634" t="s">
        <v>1261</v>
      </c>
      <c r="B634" s="9">
        <v>0</v>
      </c>
    </row>
    <row r="635" spans="1:2" x14ac:dyDescent="0.25">
      <c r="A635" t="s">
        <v>1262</v>
      </c>
      <c r="B635" s="9">
        <v>0</v>
      </c>
    </row>
    <row r="636" spans="1:2" x14ac:dyDescent="0.25">
      <c r="A636" t="s">
        <v>1263</v>
      </c>
      <c r="B636" s="9">
        <v>0</v>
      </c>
    </row>
    <row r="637" spans="1:2" x14ac:dyDescent="0.25">
      <c r="A637" t="s">
        <v>1264</v>
      </c>
      <c r="B637" s="9">
        <v>0</v>
      </c>
    </row>
    <row r="638" spans="1:2" x14ac:dyDescent="0.25">
      <c r="A638" t="s">
        <v>1265</v>
      </c>
      <c r="B638" s="9">
        <v>0</v>
      </c>
    </row>
    <row r="639" spans="1:2" x14ac:dyDescent="0.25">
      <c r="A639" t="s">
        <v>1266</v>
      </c>
      <c r="B639" s="9">
        <v>0</v>
      </c>
    </row>
    <row r="640" spans="1:2" x14ac:dyDescent="0.25">
      <c r="A640" t="s">
        <v>1267</v>
      </c>
      <c r="B640" s="9">
        <v>0</v>
      </c>
    </row>
    <row r="641" spans="1:2" x14ac:dyDescent="0.25">
      <c r="A641" t="s">
        <v>1268</v>
      </c>
      <c r="B641" s="9">
        <v>0</v>
      </c>
    </row>
    <row r="642" spans="1:2" x14ac:dyDescent="0.25">
      <c r="A642" t="s">
        <v>1269</v>
      </c>
      <c r="B642" s="9">
        <v>0</v>
      </c>
    </row>
    <row r="643" spans="1:2" x14ac:dyDescent="0.25">
      <c r="A643" t="s">
        <v>1270</v>
      </c>
      <c r="B643" s="9">
        <v>0</v>
      </c>
    </row>
    <row r="644" spans="1:2" x14ac:dyDescent="0.25">
      <c r="A644" t="s">
        <v>1271</v>
      </c>
      <c r="B644" s="9">
        <v>0</v>
      </c>
    </row>
    <row r="645" spans="1:2" x14ac:dyDescent="0.25">
      <c r="A645" t="s">
        <v>1272</v>
      </c>
      <c r="B645" s="9">
        <v>0</v>
      </c>
    </row>
    <row r="646" spans="1:2" x14ac:dyDescent="0.25">
      <c r="A646" t="s">
        <v>1273</v>
      </c>
      <c r="B646" s="9">
        <v>0</v>
      </c>
    </row>
    <row r="647" spans="1:2" x14ac:dyDescent="0.25">
      <c r="A647" t="s">
        <v>1274</v>
      </c>
      <c r="B647" s="9">
        <v>0</v>
      </c>
    </row>
    <row r="648" spans="1:2" x14ac:dyDescent="0.25">
      <c r="A648" t="s">
        <v>1275</v>
      </c>
      <c r="B648" s="9">
        <v>0</v>
      </c>
    </row>
    <row r="649" spans="1:2" x14ac:dyDescent="0.25">
      <c r="A649" t="s">
        <v>1276</v>
      </c>
      <c r="B649" s="9">
        <v>0</v>
      </c>
    </row>
    <row r="650" spans="1:2" x14ac:dyDescent="0.25">
      <c r="A650" t="s">
        <v>1277</v>
      </c>
      <c r="B650" s="9">
        <v>0</v>
      </c>
    </row>
    <row r="651" spans="1:2" x14ac:dyDescent="0.25">
      <c r="A651" t="s">
        <v>1278</v>
      </c>
      <c r="B651" s="9">
        <v>0</v>
      </c>
    </row>
    <row r="652" spans="1:2" x14ac:dyDescent="0.25">
      <c r="A652" t="s">
        <v>1279</v>
      </c>
      <c r="B652" s="9">
        <v>0</v>
      </c>
    </row>
    <row r="653" spans="1:2" x14ac:dyDescent="0.25">
      <c r="A653" t="s">
        <v>1280</v>
      </c>
      <c r="B653" s="9">
        <v>0</v>
      </c>
    </row>
    <row r="654" spans="1:2" x14ac:dyDescent="0.25">
      <c r="A654" t="s">
        <v>1281</v>
      </c>
      <c r="B654" s="9">
        <v>0</v>
      </c>
    </row>
    <row r="655" spans="1:2" x14ac:dyDescent="0.25">
      <c r="A655" t="s">
        <v>1282</v>
      </c>
      <c r="B655" s="9">
        <v>0</v>
      </c>
    </row>
    <row r="656" spans="1:2" x14ac:dyDescent="0.25">
      <c r="A656" t="s">
        <v>1283</v>
      </c>
      <c r="B656" s="9">
        <v>0</v>
      </c>
    </row>
    <row r="657" spans="1:2" x14ac:dyDescent="0.25">
      <c r="A657" t="s">
        <v>1284</v>
      </c>
      <c r="B657" s="9">
        <v>0</v>
      </c>
    </row>
    <row r="658" spans="1:2" x14ac:dyDescent="0.25">
      <c r="A658" t="s">
        <v>1285</v>
      </c>
      <c r="B658" s="9">
        <v>0</v>
      </c>
    </row>
    <row r="659" spans="1:2" x14ac:dyDescent="0.25">
      <c r="A659" t="s">
        <v>1286</v>
      </c>
      <c r="B659" s="9">
        <v>0</v>
      </c>
    </row>
    <row r="660" spans="1:2" x14ac:dyDescent="0.25">
      <c r="A660" t="s">
        <v>1287</v>
      </c>
      <c r="B660" s="9">
        <v>0</v>
      </c>
    </row>
    <row r="661" spans="1:2" x14ac:dyDescent="0.25">
      <c r="A661" t="s">
        <v>1288</v>
      </c>
      <c r="B661" s="9">
        <v>0</v>
      </c>
    </row>
    <row r="662" spans="1:2" x14ac:dyDescent="0.25">
      <c r="A662" t="s">
        <v>1289</v>
      </c>
      <c r="B662" s="9">
        <v>0</v>
      </c>
    </row>
    <row r="663" spans="1:2" x14ac:dyDescent="0.25">
      <c r="A663" t="s">
        <v>1290</v>
      </c>
      <c r="B663" s="9">
        <v>0</v>
      </c>
    </row>
    <row r="664" spans="1:2" x14ac:dyDescent="0.25">
      <c r="A664" t="s">
        <v>1291</v>
      </c>
      <c r="B664" s="9">
        <v>0</v>
      </c>
    </row>
    <row r="665" spans="1:2" x14ac:dyDescent="0.25">
      <c r="A665" t="s">
        <v>1292</v>
      </c>
      <c r="B665" s="9">
        <v>0</v>
      </c>
    </row>
    <row r="666" spans="1:2" x14ac:dyDescent="0.25">
      <c r="A666" t="s">
        <v>1293</v>
      </c>
      <c r="B666" s="9">
        <v>0</v>
      </c>
    </row>
    <row r="667" spans="1:2" x14ac:dyDescent="0.25">
      <c r="A667" t="s">
        <v>1294</v>
      </c>
      <c r="B667" s="9">
        <v>0</v>
      </c>
    </row>
    <row r="668" spans="1:2" x14ac:dyDescent="0.25">
      <c r="A668" t="s">
        <v>1295</v>
      </c>
      <c r="B668" s="9">
        <v>0</v>
      </c>
    </row>
    <row r="669" spans="1:2" x14ac:dyDescent="0.25">
      <c r="A669" t="s">
        <v>1296</v>
      </c>
      <c r="B669" s="9">
        <v>0</v>
      </c>
    </row>
    <row r="670" spans="1:2" x14ac:dyDescent="0.25">
      <c r="A670" t="s">
        <v>1297</v>
      </c>
      <c r="B670" s="9">
        <v>0</v>
      </c>
    </row>
    <row r="671" spans="1:2" x14ac:dyDescent="0.25">
      <c r="A671" t="s">
        <v>1298</v>
      </c>
      <c r="B671" s="9">
        <v>0</v>
      </c>
    </row>
    <row r="672" spans="1:2" x14ac:dyDescent="0.25">
      <c r="A672" t="s">
        <v>1299</v>
      </c>
      <c r="B672" s="9">
        <v>0</v>
      </c>
    </row>
    <row r="673" spans="1:2" x14ac:dyDescent="0.25">
      <c r="A673" t="s">
        <v>1300</v>
      </c>
      <c r="B673" s="9">
        <v>0</v>
      </c>
    </row>
    <row r="674" spans="1:2" x14ac:dyDescent="0.25">
      <c r="A674" t="s">
        <v>1301</v>
      </c>
      <c r="B674" s="9">
        <v>0</v>
      </c>
    </row>
    <row r="675" spans="1:2" x14ac:dyDescent="0.25">
      <c r="A675" t="s">
        <v>1302</v>
      </c>
      <c r="B675" s="9">
        <v>0</v>
      </c>
    </row>
    <row r="676" spans="1:2" x14ac:dyDescent="0.25">
      <c r="A676" t="s">
        <v>1303</v>
      </c>
      <c r="B676" s="9">
        <v>0</v>
      </c>
    </row>
    <row r="677" spans="1:2" x14ac:dyDescent="0.25">
      <c r="A677" t="s">
        <v>1304</v>
      </c>
      <c r="B677" s="9">
        <v>0</v>
      </c>
    </row>
    <row r="678" spans="1:2" x14ac:dyDescent="0.25">
      <c r="A678" t="s">
        <v>1305</v>
      </c>
      <c r="B678" s="9">
        <v>0</v>
      </c>
    </row>
    <row r="679" spans="1:2" x14ac:dyDescent="0.25">
      <c r="A679" t="s">
        <v>1306</v>
      </c>
      <c r="B679" s="9">
        <v>0</v>
      </c>
    </row>
    <row r="680" spans="1:2" x14ac:dyDescent="0.25">
      <c r="A680" t="s">
        <v>1307</v>
      </c>
      <c r="B680" s="9">
        <v>0</v>
      </c>
    </row>
    <row r="681" spans="1:2" x14ac:dyDescent="0.25">
      <c r="A681" t="s">
        <v>1308</v>
      </c>
      <c r="B681" s="9">
        <v>0</v>
      </c>
    </row>
    <row r="682" spans="1:2" x14ac:dyDescent="0.25">
      <c r="A682" t="s">
        <v>1309</v>
      </c>
      <c r="B682" s="9">
        <v>0</v>
      </c>
    </row>
    <row r="683" spans="1:2" x14ac:dyDescent="0.25">
      <c r="A683" t="s">
        <v>1310</v>
      </c>
      <c r="B683" s="9">
        <v>0</v>
      </c>
    </row>
    <row r="684" spans="1:2" x14ac:dyDescent="0.25">
      <c r="A684" t="s">
        <v>1311</v>
      </c>
      <c r="B684" s="9">
        <v>0</v>
      </c>
    </row>
    <row r="685" spans="1:2" x14ac:dyDescent="0.25">
      <c r="A685" t="s">
        <v>1312</v>
      </c>
      <c r="B685" s="9">
        <v>0</v>
      </c>
    </row>
    <row r="686" spans="1:2" x14ac:dyDescent="0.25">
      <c r="A686" t="s">
        <v>1313</v>
      </c>
      <c r="B686" s="9">
        <v>0</v>
      </c>
    </row>
    <row r="687" spans="1:2" x14ac:dyDescent="0.25">
      <c r="A687" t="s">
        <v>1314</v>
      </c>
      <c r="B687" s="9">
        <v>0</v>
      </c>
    </row>
    <row r="688" spans="1:2" x14ac:dyDescent="0.25">
      <c r="A688" t="s">
        <v>1315</v>
      </c>
      <c r="B688" s="9">
        <v>0</v>
      </c>
    </row>
    <row r="689" spans="1:2" x14ac:dyDescent="0.25">
      <c r="A689" t="s">
        <v>1316</v>
      </c>
      <c r="B689" s="9">
        <v>0</v>
      </c>
    </row>
    <row r="690" spans="1:2" x14ac:dyDescent="0.25">
      <c r="A690" t="s">
        <v>1317</v>
      </c>
      <c r="B690" s="9">
        <v>0</v>
      </c>
    </row>
    <row r="691" spans="1:2" x14ac:dyDescent="0.25">
      <c r="A691" t="s">
        <v>1318</v>
      </c>
      <c r="B691" s="9">
        <v>0</v>
      </c>
    </row>
    <row r="692" spans="1:2" x14ac:dyDescent="0.25">
      <c r="A692" t="s">
        <v>1319</v>
      </c>
      <c r="B692" s="9">
        <v>0</v>
      </c>
    </row>
    <row r="693" spans="1:2" x14ac:dyDescent="0.25">
      <c r="A693" t="s">
        <v>1320</v>
      </c>
      <c r="B693" s="9">
        <v>0</v>
      </c>
    </row>
    <row r="694" spans="1:2" x14ac:dyDescent="0.25">
      <c r="A694" t="s">
        <v>1321</v>
      </c>
      <c r="B694" s="9">
        <v>0</v>
      </c>
    </row>
    <row r="695" spans="1:2" x14ac:dyDescent="0.25">
      <c r="A695" t="s">
        <v>1322</v>
      </c>
      <c r="B695" s="9">
        <v>0</v>
      </c>
    </row>
    <row r="696" spans="1:2" x14ac:dyDescent="0.25">
      <c r="A696" t="s">
        <v>1323</v>
      </c>
      <c r="B696" s="9">
        <v>0</v>
      </c>
    </row>
    <row r="697" spans="1:2" x14ac:dyDescent="0.25">
      <c r="A697" t="s">
        <v>1324</v>
      </c>
      <c r="B697" s="9">
        <v>0</v>
      </c>
    </row>
    <row r="698" spans="1:2" x14ac:dyDescent="0.25">
      <c r="A698" t="s">
        <v>1325</v>
      </c>
      <c r="B698" s="9">
        <v>0</v>
      </c>
    </row>
    <row r="699" spans="1:2" x14ac:dyDescent="0.25">
      <c r="A699" t="s">
        <v>1326</v>
      </c>
      <c r="B699" s="9">
        <v>0</v>
      </c>
    </row>
    <row r="700" spans="1:2" x14ac:dyDescent="0.25">
      <c r="A700" t="s">
        <v>1327</v>
      </c>
      <c r="B700" s="9">
        <v>0</v>
      </c>
    </row>
    <row r="701" spans="1:2" x14ac:dyDescent="0.25">
      <c r="A701" t="s">
        <v>1328</v>
      </c>
      <c r="B701" s="9">
        <v>0</v>
      </c>
    </row>
    <row r="702" spans="1:2" x14ac:dyDescent="0.25">
      <c r="A702" t="s">
        <v>1329</v>
      </c>
      <c r="B702" s="9">
        <v>0</v>
      </c>
    </row>
    <row r="703" spans="1:2" x14ac:dyDescent="0.25">
      <c r="A703" t="s">
        <v>1330</v>
      </c>
      <c r="B703" s="9">
        <v>0</v>
      </c>
    </row>
    <row r="704" spans="1:2" x14ac:dyDescent="0.25">
      <c r="A704" t="s">
        <v>1331</v>
      </c>
      <c r="B704" s="9">
        <v>0</v>
      </c>
    </row>
    <row r="705" spans="1:2" x14ac:dyDescent="0.25">
      <c r="A705" t="s">
        <v>1332</v>
      </c>
      <c r="B705" s="9">
        <v>0</v>
      </c>
    </row>
    <row r="706" spans="1:2" x14ac:dyDescent="0.25">
      <c r="A706" t="s">
        <v>1333</v>
      </c>
      <c r="B706" s="9">
        <v>0</v>
      </c>
    </row>
    <row r="707" spans="1:2" x14ac:dyDescent="0.25">
      <c r="A707" t="s">
        <v>1334</v>
      </c>
      <c r="B707" s="9">
        <v>0</v>
      </c>
    </row>
    <row r="708" spans="1:2" x14ac:dyDescent="0.25">
      <c r="A708" t="s">
        <v>1335</v>
      </c>
      <c r="B708" s="9">
        <v>0</v>
      </c>
    </row>
    <row r="709" spans="1:2" x14ac:dyDescent="0.25">
      <c r="A709" t="s">
        <v>1336</v>
      </c>
      <c r="B709" s="9">
        <v>0</v>
      </c>
    </row>
    <row r="710" spans="1:2" x14ac:dyDescent="0.25">
      <c r="A710" t="s">
        <v>1337</v>
      </c>
      <c r="B710" s="9">
        <v>0</v>
      </c>
    </row>
    <row r="711" spans="1:2" x14ac:dyDescent="0.25">
      <c r="A711" t="s">
        <v>1338</v>
      </c>
      <c r="B711" s="9">
        <v>0</v>
      </c>
    </row>
    <row r="712" spans="1:2" x14ac:dyDescent="0.25">
      <c r="A712" t="s">
        <v>1339</v>
      </c>
      <c r="B712" s="9">
        <v>0</v>
      </c>
    </row>
    <row r="713" spans="1:2" x14ac:dyDescent="0.25">
      <c r="A713" t="s">
        <v>1340</v>
      </c>
      <c r="B713" s="9">
        <v>0</v>
      </c>
    </row>
    <row r="714" spans="1:2" x14ac:dyDescent="0.25">
      <c r="A714" t="s">
        <v>1341</v>
      </c>
      <c r="B714" s="9">
        <v>0</v>
      </c>
    </row>
    <row r="715" spans="1:2" x14ac:dyDescent="0.25">
      <c r="A715" t="s">
        <v>1342</v>
      </c>
      <c r="B715" s="9">
        <v>0</v>
      </c>
    </row>
    <row r="716" spans="1:2" x14ac:dyDescent="0.25">
      <c r="A716" t="s">
        <v>1343</v>
      </c>
      <c r="B716" s="9">
        <v>0</v>
      </c>
    </row>
    <row r="717" spans="1:2" x14ac:dyDescent="0.25">
      <c r="A717" t="s">
        <v>1344</v>
      </c>
      <c r="B717" s="9">
        <v>0</v>
      </c>
    </row>
    <row r="718" spans="1:2" x14ac:dyDescent="0.25">
      <c r="A718" t="s">
        <v>1345</v>
      </c>
      <c r="B718" s="9">
        <v>0</v>
      </c>
    </row>
    <row r="719" spans="1:2" x14ac:dyDescent="0.25">
      <c r="A719" t="s">
        <v>1346</v>
      </c>
      <c r="B719" s="9">
        <v>0</v>
      </c>
    </row>
    <row r="720" spans="1:2" x14ac:dyDescent="0.25">
      <c r="A720" t="s">
        <v>1347</v>
      </c>
      <c r="B720" s="9">
        <v>0</v>
      </c>
    </row>
    <row r="721" spans="1:2" x14ac:dyDescent="0.25">
      <c r="A721" t="s">
        <v>1348</v>
      </c>
      <c r="B721" s="9">
        <v>0</v>
      </c>
    </row>
    <row r="722" spans="1:2" x14ac:dyDescent="0.25">
      <c r="A722" t="s">
        <v>1349</v>
      </c>
      <c r="B722" s="9">
        <v>0</v>
      </c>
    </row>
    <row r="723" spans="1:2" x14ac:dyDescent="0.25">
      <c r="A723" t="s">
        <v>1350</v>
      </c>
      <c r="B723" s="9">
        <v>0</v>
      </c>
    </row>
    <row r="724" spans="1:2" x14ac:dyDescent="0.25">
      <c r="A724" t="s">
        <v>1351</v>
      </c>
      <c r="B724" s="9">
        <v>0</v>
      </c>
    </row>
    <row r="725" spans="1:2" x14ac:dyDescent="0.25">
      <c r="A725" t="s">
        <v>1352</v>
      </c>
      <c r="B725" s="9">
        <v>0</v>
      </c>
    </row>
    <row r="726" spans="1:2" x14ac:dyDescent="0.25">
      <c r="A726" t="s">
        <v>1353</v>
      </c>
      <c r="B726" s="9">
        <v>0</v>
      </c>
    </row>
    <row r="727" spans="1:2" x14ac:dyDescent="0.25">
      <c r="A727" t="s">
        <v>1354</v>
      </c>
      <c r="B727" s="9">
        <v>0</v>
      </c>
    </row>
    <row r="728" spans="1:2" x14ac:dyDescent="0.25">
      <c r="A728" t="s">
        <v>1355</v>
      </c>
      <c r="B728" s="9">
        <v>0</v>
      </c>
    </row>
    <row r="729" spans="1:2" x14ac:dyDescent="0.25">
      <c r="A729" t="s">
        <v>1356</v>
      </c>
      <c r="B729" s="9">
        <v>0</v>
      </c>
    </row>
    <row r="730" spans="1:2" x14ac:dyDescent="0.25">
      <c r="A730" t="s">
        <v>1357</v>
      </c>
      <c r="B730" s="9">
        <v>0</v>
      </c>
    </row>
    <row r="731" spans="1:2" x14ac:dyDescent="0.25">
      <c r="A731" t="s">
        <v>1358</v>
      </c>
      <c r="B731" s="9">
        <v>0</v>
      </c>
    </row>
    <row r="732" spans="1:2" x14ac:dyDescent="0.25">
      <c r="A732" t="s">
        <v>1359</v>
      </c>
      <c r="B732" s="9">
        <v>0</v>
      </c>
    </row>
    <row r="733" spans="1:2" x14ac:dyDescent="0.25">
      <c r="A733" t="s">
        <v>1360</v>
      </c>
      <c r="B733" s="9">
        <v>0</v>
      </c>
    </row>
    <row r="734" spans="1:2" x14ac:dyDescent="0.25">
      <c r="A734" t="s">
        <v>1361</v>
      </c>
      <c r="B734" s="9">
        <v>0</v>
      </c>
    </row>
    <row r="735" spans="1:2" x14ac:dyDescent="0.25">
      <c r="A735" t="s">
        <v>1362</v>
      </c>
      <c r="B735" s="9">
        <v>0</v>
      </c>
    </row>
    <row r="736" spans="1:2" x14ac:dyDescent="0.25">
      <c r="A736" t="s">
        <v>1363</v>
      </c>
      <c r="B736" s="9">
        <v>0</v>
      </c>
    </row>
    <row r="737" spans="1:2" x14ac:dyDescent="0.25">
      <c r="A737" t="s">
        <v>1364</v>
      </c>
      <c r="B737" s="9">
        <v>0</v>
      </c>
    </row>
    <row r="738" spans="1:2" x14ac:dyDescent="0.25">
      <c r="A738" t="s">
        <v>1365</v>
      </c>
      <c r="B738" s="9">
        <v>0</v>
      </c>
    </row>
    <row r="739" spans="1:2" x14ac:dyDescent="0.25">
      <c r="A739" t="s">
        <v>1366</v>
      </c>
      <c r="B739" s="9">
        <v>0</v>
      </c>
    </row>
    <row r="740" spans="1:2" x14ac:dyDescent="0.25">
      <c r="A740" t="s">
        <v>1367</v>
      </c>
      <c r="B740" s="9">
        <v>0</v>
      </c>
    </row>
    <row r="741" spans="1:2" x14ac:dyDescent="0.25">
      <c r="A741" t="s">
        <v>1368</v>
      </c>
      <c r="B741" s="9">
        <v>0</v>
      </c>
    </row>
    <row r="742" spans="1:2" x14ac:dyDescent="0.25">
      <c r="A742" t="s">
        <v>1369</v>
      </c>
      <c r="B742" s="9">
        <v>0</v>
      </c>
    </row>
    <row r="743" spans="1:2" x14ac:dyDescent="0.25">
      <c r="A743" t="s">
        <v>1370</v>
      </c>
      <c r="B743" s="9">
        <v>0</v>
      </c>
    </row>
    <row r="744" spans="1:2" x14ac:dyDescent="0.25">
      <c r="A744" t="s">
        <v>1371</v>
      </c>
      <c r="B744" s="9">
        <v>0</v>
      </c>
    </row>
    <row r="745" spans="1:2" x14ac:dyDescent="0.25">
      <c r="A745" t="s">
        <v>1372</v>
      </c>
      <c r="B745" s="9">
        <v>0</v>
      </c>
    </row>
    <row r="746" spans="1:2" x14ac:dyDescent="0.25">
      <c r="A746" t="s">
        <v>1373</v>
      </c>
      <c r="B746" s="9">
        <v>0</v>
      </c>
    </row>
    <row r="747" spans="1:2" x14ac:dyDescent="0.25">
      <c r="A747" t="s">
        <v>1374</v>
      </c>
      <c r="B747" s="9">
        <v>0</v>
      </c>
    </row>
    <row r="748" spans="1:2" x14ac:dyDescent="0.25">
      <c r="A748" t="s">
        <v>1375</v>
      </c>
      <c r="B748" s="9">
        <v>0</v>
      </c>
    </row>
    <row r="749" spans="1:2" x14ac:dyDescent="0.25">
      <c r="A749" t="s">
        <v>1376</v>
      </c>
      <c r="B749" s="9">
        <v>0</v>
      </c>
    </row>
    <row r="750" spans="1:2" x14ac:dyDescent="0.25">
      <c r="A750" t="s">
        <v>1377</v>
      </c>
      <c r="B750" s="9">
        <v>0</v>
      </c>
    </row>
    <row r="751" spans="1:2" x14ac:dyDescent="0.25">
      <c r="A751" t="s">
        <v>1378</v>
      </c>
      <c r="B751" s="9">
        <v>0</v>
      </c>
    </row>
    <row r="752" spans="1:2" x14ac:dyDescent="0.25">
      <c r="A752" t="s">
        <v>1379</v>
      </c>
      <c r="B752" s="9">
        <v>0</v>
      </c>
    </row>
    <row r="753" spans="1:2" x14ac:dyDescent="0.25">
      <c r="A753" t="s">
        <v>1380</v>
      </c>
      <c r="B753" s="9">
        <v>0</v>
      </c>
    </row>
    <row r="754" spans="1:2" x14ac:dyDescent="0.25">
      <c r="A754" t="s">
        <v>1381</v>
      </c>
      <c r="B754" s="9">
        <v>0</v>
      </c>
    </row>
    <row r="755" spans="1:2" x14ac:dyDescent="0.25">
      <c r="A755" t="s">
        <v>1382</v>
      </c>
      <c r="B755" s="9">
        <v>0</v>
      </c>
    </row>
    <row r="756" spans="1:2" x14ac:dyDescent="0.25">
      <c r="A756" t="s">
        <v>1383</v>
      </c>
      <c r="B756" s="9">
        <v>0</v>
      </c>
    </row>
    <row r="757" spans="1:2" x14ac:dyDescent="0.25">
      <c r="A757" t="s">
        <v>1384</v>
      </c>
      <c r="B757" s="9">
        <v>0</v>
      </c>
    </row>
    <row r="758" spans="1:2" x14ac:dyDescent="0.25">
      <c r="A758" t="s">
        <v>1385</v>
      </c>
      <c r="B758" s="9">
        <v>0</v>
      </c>
    </row>
    <row r="759" spans="1:2" x14ac:dyDescent="0.25">
      <c r="A759" t="s">
        <v>1386</v>
      </c>
      <c r="B759" s="9">
        <v>0</v>
      </c>
    </row>
    <row r="760" spans="1:2" x14ac:dyDescent="0.25">
      <c r="A760" t="s">
        <v>1387</v>
      </c>
      <c r="B760" s="9">
        <v>0</v>
      </c>
    </row>
    <row r="761" spans="1:2" x14ac:dyDescent="0.25">
      <c r="A761" t="s">
        <v>1388</v>
      </c>
      <c r="B761" s="9">
        <v>0</v>
      </c>
    </row>
    <row r="762" spans="1:2" x14ac:dyDescent="0.25">
      <c r="A762" t="s">
        <v>1389</v>
      </c>
      <c r="B762" s="9">
        <v>0</v>
      </c>
    </row>
    <row r="763" spans="1:2" x14ac:dyDescent="0.25">
      <c r="A763" t="s">
        <v>1390</v>
      </c>
      <c r="B763" s="9">
        <v>0</v>
      </c>
    </row>
    <row r="764" spans="1:2" x14ac:dyDescent="0.25">
      <c r="A764" t="s">
        <v>1391</v>
      </c>
      <c r="B764" s="9">
        <v>0</v>
      </c>
    </row>
    <row r="765" spans="1:2" x14ac:dyDescent="0.25">
      <c r="A765" t="s">
        <v>1392</v>
      </c>
      <c r="B765" s="9">
        <v>0</v>
      </c>
    </row>
    <row r="766" spans="1:2" x14ac:dyDescent="0.25">
      <c r="A766" t="s">
        <v>1393</v>
      </c>
      <c r="B766" s="9">
        <v>0</v>
      </c>
    </row>
    <row r="767" spans="1:2" x14ac:dyDescent="0.25">
      <c r="A767" t="s">
        <v>1394</v>
      </c>
      <c r="B767" s="9">
        <v>0</v>
      </c>
    </row>
    <row r="768" spans="1:2" x14ac:dyDescent="0.25">
      <c r="A768" t="s">
        <v>1395</v>
      </c>
      <c r="B768" s="9">
        <v>0</v>
      </c>
    </row>
    <row r="769" spans="1:2" x14ac:dyDescent="0.25">
      <c r="A769" t="s">
        <v>1396</v>
      </c>
      <c r="B769" s="9">
        <v>0</v>
      </c>
    </row>
    <row r="770" spans="1:2" x14ac:dyDescent="0.25">
      <c r="A770" t="s">
        <v>1397</v>
      </c>
      <c r="B770" s="9">
        <v>0</v>
      </c>
    </row>
    <row r="771" spans="1:2" x14ac:dyDescent="0.25">
      <c r="A771" t="s">
        <v>1398</v>
      </c>
      <c r="B771" s="9">
        <v>0</v>
      </c>
    </row>
    <row r="772" spans="1:2" x14ac:dyDescent="0.25">
      <c r="A772" t="s">
        <v>1399</v>
      </c>
      <c r="B772" s="9">
        <v>0</v>
      </c>
    </row>
    <row r="773" spans="1:2" x14ac:dyDescent="0.25">
      <c r="A773" t="s">
        <v>1400</v>
      </c>
      <c r="B773" s="9">
        <v>0</v>
      </c>
    </row>
    <row r="774" spans="1:2" x14ac:dyDescent="0.25">
      <c r="A774" t="s">
        <v>1401</v>
      </c>
      <c r="B774" s="9">
        <v>0</v>
      </c>
    </row>
    <row r="775" spans="1:2" x14ac:dyDescent="0.25">
      <c r="A775" t="s">
        <v>1402</v>
      </c>
      <c r="B775" s="9">
        <v>0</v>
      </c>
    </row>
    <row r="776" spans="1:2" x14ac:dyDescent="0.25">
      <c r="A776" t="s">
        <v>1403</v>
      </c>
      <c r="B776" s="9">
        <v>0</v>
      </c>
    </row>
    <row r="777" spans="1:2" x14ac:dyDescent="0.25">
      <c r="A777" t="s">
        <v>1404</v>
      </c>
      <c r="B777" s="9">
        <v>0</v>
      </c>
    </row>
    <row r="778" spans="1:2" x14ac:dyDescent="0.25">
      <c r="A778" t="s">
        <v>1405</v>
      </c>
      <c r="B778" s="9">
        <v>0</v>
      </c>
    </row>
    <row r="779" spans="1:2" x14ac:dyDescent="0.25">
      <c r="A779" t="s">
        <v>1406</v>
      </c>
      <c r="B779" s="9">
        <v>0</v>
      </c>
    </row>
    <row r="780" spans="1:2" x14ac:dyDescent="0.25">
      <c r="A780" t="s">
        <v>1407</v>
      </c>
      <c r="B780" s="9">
        <v>0</v>
      </c>
    </row>
    <row r="781" spans="1:2" x14ac:dyDescent="0.25">
      <c r="A781" t="s">
        <v>1408</v>
      </c>
      <c r="B781" s="9">
        <v>0</v>
      </c>
    </row>
    <row r="782" spans="1:2" x14ac:dyDescent="0.25">
      <c r="A782" t="s">
        <v>1409</v>
      </c>
      <c r="B782" s="9">
        <v>0</v>
      </c>
    </row>
    <row r="783" spans="1:2" x14ac:dyDescent="0.25">
      <c r="A783" t="s">
        <v>1410</v>
      </c>
      <c r="B783" s="9">
        <v>0</v>
      </c>
    </row>
    <row r="784" spans="1:2" x14ac:dyDescent="0.25">
      <c r="A784" t="s">
        <v>1411</v>
      </c>
      <c r="B784" s="9">
        <v>0</v>
      </c>
    </row>
    <row r="785" spans="1:2" x14ac:dyDescent="0.25">
      <c r="A785" t="s">
        <v>1412</v>
      </c>
      <c r="B785" s="9">
        <v>0</v>
      </c>
    </row>
    <row r="786" spans="1:2" x14ac:dyDescent="0.25">
      <c r="A786" t="s">
        <v>1413</v>
      </c>
      <c r="B786" s="9">
        <v>0</v>
      </c>
    </row>
    <row r="787" spans="1:2" x14ac:dyDescent="0.25">
      <c r="A787" t="s">
        <v>1414</v>
      </c>
      <c r="B787" s="9">
        <v>0</v>
      </c>
    </row>
    <row r="788" spans="1:2" x14ac:dyDescent="0.25">
      <c r="A788" t="s">
        <v>1415</v>
      </c>
      <c r="B788" s="9">
        <v>0</v>
      </c>
    </row>
    <row r="789" spans="1:2" x14ac:dyDescent="0.25">
      <c r="A789" t="s">
        <v>1416</v>
      </c>
      <c r="B789" s="9">
        <v>0</v>
      </c>
    </row>
    <row r="790" spans="1:2" x14ac:dyDescent="0.25">
      <c r="A790" t="s">
        <v>1417</v>
      </c>
      <c r="B790" s="9">
        <v>0</v>
      </c>
    </row>
    <row r="791" spans="1:2" x14ac:dyDescent="0.25">
      <c r="A791" t="s">
        <v>1418</v>
      </c>
      <c r="B791" s="9">
        <v>0</v>
      </c>
    </row>
    <row r="792" spans="1:2" x14ac:dyDescent="0.25">
      <c r="A792" t="s">
        <v>1419</v>
      </c>
      <c r="B792" s="9">
        <v>0</v>
      </c>
    </row>
    <row r="793" spans="1:2" x14ac:dyDescent="0.25">
      <c r="A793" t="s">
        <v>1420</v>
      </c>
      <c r="B793" s="9">
        <v>0</v>
      </c>
    </row>
    <row r="794" spans="1:2" x14ac:dyDescent="0.25">
      <c r="A794" t="s">
        <v>1421</v>
      </c>
      <c r="B794" s="9">
        <v>0</v>
      </c>
    </row>
    <row r="795" spans="1:2" x14ac:dyDescent="0.25">
      <c r="A795" t="s">
        <v>1422</v>
      </c>
      <c r="B795" s="9">
        <v>0</v>
      </c>
    </row>
    <row r="796" spans="1:2" x14ac:dyDescent="0.25">
      <c r="A796" t="s">
        <v>1423</v>
      </c>
      <c r="B796" s="9">
        <v>0</v>
      </c>
    </row>
    <row r="797" spans="1:2" x14ac:dyDescent="0.25">
      <c r="A797" t="s">
        <v>1424</v>
      </c>
      <c r="B797" s="9">
        <v>0</v>
      </c>
    </row>
    <row r="798" spans="1:2" x14ac:dyDescent="0.25">
      <c r="A798" t="s">
        <v>1425</v>
      </c>
      <c r="B798" s="9">
        <v>0</v>
      </c>
    </row>
    <row r="799" spans="1:2" x14ac:dyDescent="0.25">
      <c r="A799" t="s">
        <v>1426</v>
      </c>
      <c r="B799" s="9">
        <v>0</v>
      </c>
    </row>
    <row r="800" spans="1:2" x14ac:dyDescent="0.25">
      <c r="A800" t="s">
        <v>1427</v>
      </c>
      <c r="B800" s="9">
        <v>0</v>
      </c>
    </row>
    <row r="801" spans="1:2" x14ac:dyDescent="0.25">
      <c r="A801" t="s">
        <v>1428</v>
      </c>
      <c r="B801" s="9">
        <v>0</v>
      </c>
    </row>
    <row r="802" spans="1:2" x14ac:dyDescent="0.25">
      <c r="A802" t="s">
        <v>1429</v>
      </c>
      <c r="B802" s="9">
        <v>0</v>
      </c>
    </row>
    <row r="803" spans="1:2" x14ac:dyDescent="0.25">
      <c r="A803" t="s">
        <v>1430</v>
      </c>
      <c r="B803" s="9">
        <v>0</v>
      </c>
    </row>
    <row r="804" spans="1:2" x14ac:dyDescent="0.25">
      <c r="A804" t="s">
        <v>1431</v>
      </c>
      <c r="B804" s="9">
        <v>0</v>
      </c>
    </row>
    <row r="805" spans="1:2" x14ac:dyDescent="0.25">
      <c r="A805" t="s">
        <v>1432</v>
      </c>
      <c r="B805" s="9">
        <v>0</v>
      </c>
    </row>
    <row r="806" spans="1:2" x14ac:dyDescent="0.25">
      <c r="A806" t="s">
        <v>1433</v>
      </c>
      <c r="B806" s="9">
        <v>0</v>
      </c>
    </row>
    <row r="807" spans="1:2" x14ac:dyDescent="0.25">
      <c r="A807" t="s">
        <v>1434</v>
      </c>
      <c r="B807" s="9">
        <v>0</v>
      </c>
    </row>
    <row r="808" spans="1:2" x14ac:dyDescent="0.25">
      <c r="A808" t="s">
        <v>1435</v>
      </c>
      <c r="B808" s="9">
        <v>0</v>
      </c>
    </row>
    <row r="809" spans="1:2" x14ac:dyDescent="0.25">
      <c r="A809" t="s">
        <v>1436</v>
      </c>
      <c r="B809" s="9">
        <v>0</v>
      </c>
    </row>
    <row r="810" spans="1:2" x14ac:dyDescent="0.25">
      <c r="A810" t="s">
        <v>1437</v>
      </c>
      <c r="B810" s="9">
        <v>0</v>
      </c>
    </row>
    <row r="811" spans="1:2" x14ac:dyDescent="0.25">
      <c r="A811" t="s">
        <v>1438</v>
      </c>
      <c r="B811" s="9">
        <v>0</v>
      </c>
    </row>
    <row r="812" spans="1:2" x14ac:dyDescent="0.25">
      <c r="A812" t="s">
        <v>1439</v>
      </c>
      <c r="B812" s="9">
        <v>0</v>
      </c>
    </row>
    <row r="813" spans="1:2" x14ac:dyDescent="0.25">
      <c r="A813" t="s">
        <v>1440</v>
      </c>
      <c r="B813" s="9">
        <v>0</v>
      </c>
    </row>
    <row r="814" spans="1:2" x14ac:dyDescent="0.25">
      <c r="A814" t="s">
        <v>1441</v>
      </c>
      <c r="B814" s="9">
        <v>0</v>
      </c>
    </row>
    <row r="815" spans="1:2" x14ac:dyDescent="0.25">
      <c r="A815" t="s">
        <v>1442</v>
      </c>
      <c r="B815" s="9">
        <v>0</v>
      </c>
    </row>
    <row r="816" spans="1:2" x14ac:dyDescent="0.25">
      <c r="A816" t="s">
        <v>1443</v>
      </c>
      <c r="B816" s="9">
        <v>0</v>
      </c>
    </row>
    <row r="817" spans="1:2" x14ac:dyDescent="0.25">
      <c r="A817" t="s">
        <v>1444</v>
      </c>
      <c r="B817" s="9">
        <v>0</v>
      </c>
    </row>
    <row r="818" spans="1:2" x14ac:dyDescent="0.25">
      <c r="A818" t="s">
        <v>1445</v>
      </c>
      <c r="B818" s="9">
        <v>0</v>
      </c>
    </row>
    <row r="819" spans="1:2" x14ac:dyDescent="0.25">
      <c r="A819" t="s">
        <v>1446</v>
      </c>
      <c r="B819" s="9">
        <v>0</v>
      </c>
    </row>
    <row r="820" spans="1:2" x14ac:dyDescent="0.25">
      <c r="A820" t="s">
        <v>1447</v>
      </c>
      <c r="B820" s="9">
        <v>0</v>
      </c>
    </row>
    <row r="821" spans="1:2" x14ac:dyDescent="0.25">
      <c r="A821" t="s">
        <v>1448</v>
      </c>
      <c r="B821" s="9">
        <v>0</v>
      </c>
    </row>
    <row r="822" spans="1:2" x14ac:dyDescent="0.25">
      <c r="A822" t="s">
        <v>1449</v>
      </c>
      <c r="B822" s="9">
        <v>0</v>
      </c>
    </row>
    <row r="823" spans="1:2" x14ac:dyDescent="0.25">
      <c r="A823" t="s">
        <v>1450</v>
      </c>
      <c r="B823" s="9">
        <v>0</v>
      </c>
    </row>
    <row r="824" spans="1:2" x14ac:dyDescent="0.25">
      <c r="A824" t="s">
        <v>1451</v>
      </c>
      <c r="B824" s="9">
        <v>0</v>
      </c>
    </row>
    <row r="825" spans="1:2" x14ac:dyDescent="0.25">
      <c r="A825" t="s">
        <v>1452</v>
      </c>
      <c r="B825" s="9">
        <v>0</v>
      </c>
    </row>
    <row r="826" spans="1:2" x14ac:dyDescent="0.25">
      <c r="A826" t="s">
        <v>1453</v>
      </c>
      <c r="B826" s="9">
        <v>0</v>
      </c>
    </row>
    <row r="827" spans="1:2" x14ac:dyDescent="0.25">
      <c r="A827" t="s">
        <v>1454</v>
      </c>
      <c r="B827" s="9">
        <v>0</v>
      </c>
    </row>
    <row r="828" spans="1:2" x14ac:dyDescent="0.25">
      <c r="A828" t="s">
        <v>1455</v>
      </c>
      <c r="B828" s="9">
        <v>0</v>
      </c>
    </row>
    <row r="829" spans="1:2" x14ac:dyDescent="0.25">
      <c r="A829" t="s">
        <v>1456</v>
      </c>
      <c r="B829" s="9">
        <v>0</v>
      </c>
    </row>
    <row r="830" spans="1:2" x14ac:dyDescent="0.25">
      <c r="A830" t="s">
        <v>1457</v>
      </c>
      <c r="B830" s="9">
        <v>0</v>
      </c>
    </row>
    <row r="831" spans="1:2" x14ac:dyDescent="0.25">
      <c r="A831" t="s">
        <v>1458</v>
      </c>
      <c r="B831" s="9">
        <v>0</v>
      </c>
    </row>
    <row r="832" spans="1:2" x14ac:dyDescent="0.25">
      <c r="A832" t="s">
        <v>1459</v>
      </c>
      <c r="B832" s="9">
        <v>0</v>
      </c>
    </row>
    <row r="833" spans="1:2" x14ac:dyDescent="0.25">
      <c r="A833" t="s">
        <v>1460</v>
      </c>
      <c r="B833" s="9">
        <v>0</v>
      </c>
    </row>
    <row r="834" spans="1:2" x14ac:dyDescent="0.25">
      <c r="A834" t="s">
        <v>1461</v>
      </c>
      <c r="B834" s="9">
        <v>0</v>
      </c>
    </row>
    <row r="835" spans="1:2" x14ac:dyDescent="0.25">
      <c r="A835" t="s">
        <v>1462</v>
      </c>
      <c r="B835" s="9">
        <v>0</v>
      </c>
    </row>
    <row r="836" spans="1:2" x14ac:dyDescent="0.25">
      <c r="A836" t="s">
        <v>1463</v>
      </c>
      <c r="B836" s="9">
        <v>0</v>
      </c>
    </row>
    <row r="837" spans="1:2" x14ac:dyDescent="0.25">
      <c r="A837" t="s">
        <v>1464</v>
      </c>
      <c r="B837" s="9">
        <v>0</v>
      </c>
    </row>
    <row r="838" spans="1:2" x14ac:dyDescent="0.25">
      <c r="A838" t="s">
        <v>1465</v>
      </c>
      <c r="B838" s="9">
        <v>0</v>
      </c>
    </row>
    <row r="839" spans="1:2" x14ac:dyDescent="0.25">
      <c r="A839" t="s">
        <v>1466</v>
      </c>
      <c r="B839" s="9">
        <v>0</v>
      </c>
    </row>
    <row r="840" spans="1:2" x14ac:dyDescent="0.25">
      <c r="A840" t="s">
        <v>1467</v>
      </c>
      <c r="B840" s="9">
        <v>0</v>
      </c>
    </row>
    <row r="841" spans="1:2" x14ac:dyDescent="0.25">
      <c r="A841" t="s">
        <v>1468</v>
      </c>
      <c r="B841" s="9">
        <v>0</v>
      </c>
    </row>
    <row r="842" spans="1:2" x14ac:dyDescent="0.25">
      <c r="A842" t="s">
        <v>1469</v>
      </c>
      <c r="B842" s="9">
        <v>0</v>
      </c>
    </row>
    <row r="843" spans="1:2" x14ac:dyDescent="0.25">
      <c r="A843" t="s">
        <v>1470</v>
      </c>
      <c r="B843" s="9">
        <v>0</v>
      </c>
    </row>
    <row r="844" spans="1:2" x14ac:dyDescent="0.25">
      <c r="A844" t="s">
        <v>1471</v>
      </c>
      <c r="B844" s="9">
        <v>0</v>
      </c>
    </row>
    <row r="845" spans="1:2" x14ac:dyDescent="0.25">
      <c r="A845" t="s">
        <v>1472</v>
      </c>
      <c r="B845" s="9">
        <v>0</v>
      </c>
    </row>
    <row r="846" spans="1:2" x14ac:dyDescent="0.25">
      <c r="A846" t="s">
        <v>1473</v>
      </c>
      <c r="B846" s="9">
        <v>0</v>
      </c>
    </row>
    <row r="847" spans="1:2" x14ac:dyDescent="0.25">
      <c r="A847" t="s">
        <v>1474</v>
      </c>
      <c r="B847" s="9">
        <v>0</v>
      </c>
    </row>
    <row r="848" spans="1:2" x14ac:dyDescent="0.25">
      <c r="A848" t="s">
        <v>1475</v>
      </c>
      <c r="B848" s="9">
        <v>0</v>
      </c>
    </row>
    <row r="849" spans="1:2" x14ac:dyDescent="0.25">
      <c r="A849" t="s">
        <v>1476</v>
      </c>
      <c r="B849" s="9">
        <v>0</v>
      </c>
    </row>
    <row r="850" spans="1:2" x14ac:dyDescent="0.25">
      <c r="A850" t="s">
        <v>1477</v>
      </c>
      <c r="B850" s="9">
        <v>0</v>
      </c>
    </row>
    <row r="851" spans="1:2" x14ac:dyDescent="0.25">
      <c r="A851" t="s">
        <v>1478</v>
      </c>
      <c r="B851" s="9">
        <v>0</v>
      </c>
    </row>
    <row r="852" spans="1:2" x14ac:dyDescent="0.25">
      <c r="A852" t="s">
        <v>1479</v>
      </c>
      <c r="B852" s="9">
        <v>0</v>
      </c>
    </row>
    <row r="853" spans="1:2" x14ac:dyDescent="0.25">
      <c r="A853" t="s">
        <v>1480</v>
      </c>
      <c r="B853" s="9">
        <v>0</v>
      </c>
    </row>
    <row r="854" spans="1:2" x14ac:dyDescent="0.25">
      <c r="A854" t="s">
        <v>1481</v>
      </c>
      <c r="B854" s="9">
        <v>0</v>
      </c>
    </row>
    <row r="855" spans="1:2" x14ac:dyDescent="0.25">
      <c r="A855" t="s">
        <v>1482</v>
      </c>
      <c r="B855" s="9">
        <v>0</v>
      </c>
    </row>
    <row r="856" spans="1:2" x14ac:dyDescent="0.25">
      <c r="A856" t="s">
        <v>1483</v>
      </c>
      <c r="B856" s="9">
        <v>0</v>
      </c>
    </row>
    <row r="857" spans="1:2" x14ac:dyDescent="0.25">
      <c r="A857" t="s">
        <v>1484</v>
      </c>
      <c r="B857" s="9">
        <v>0</v>
      </c>
    </row>
    <row r="858" spans="1:2" x14ac:dyDescent="0.25">
      <c r="A858" t="s">
        <v>1485</v>
      </c>
      <c r="B858" s="9">
        <v>0</v>
      </c>
    </row>
    <row r="859" spans="1:2" x14ac:dyDescent="0.25">
      <c r="A859" t="s">
        <v>1486</v>
      </c>
      <c r="B859" s="9">
        <v>0</v>
      </c>
    </row>
    <row r="860" spans="1:2" x14ac:dyDescent="0.25">
      <c r="A860" t="s">
        <v>1487</v>
      </c>
      <c r="B860" s="9">
        <v>0</v>
      </c>
    </row>
    <row r="861" spans="1:2" x14ac:dyDescent="0.25">
      <c r="A861" t="s">
        <v>1488</v>
      </c>
      <c r="B861" s="9">
        <v>0</v>
      </c>
    </row>
    <row r="862" spans="1:2" x14ac:dyDescent="0.25">
      <c r="A862" t="s">
        <v>1489</v>
      </c>
      <c r="B862" s="9">
        <v>0</v>
      </c>
    </row>
    <row r="863" spans="1:2" x14ac:dyDescent="0.25">
      <c r="A863" t="s">
        <v>1490</v>
      </c>
      <c r="B863" s="9">
        <v>0</v>
      </c>
    </row>
    <row r="864" spans="1:2" x14ac:dyDescent="0.25">
      <c r="A864" t="s">
        <v>1491</v>
      </c>
      <c r="B864" s="9">
        <v>0</v>
      </c>
    </row>
    <row r="865" spans="1:2" x14ac:dyDescent="0.25">
      <c r="A865" t="s">
        <v>1492</v>
      </c>
      <c r="B865" s="9">
        <v>0</v>
      </c>
    </row>
    <row r="866" spans="1:2" x14ac:dyDescent="0.25">
      <c r="A866" t="s">
        <v>1493</v>
      </c>
      <c r="B866" s="9">
        <v>0</v>
      </c>
    </row>
    <row r="867" spans="1:2" x14ac:dyDescent="0.25">
      <c r="A867" t="s">
        <v>1494</v>
      </c>
      <c r="B867" s="9">
        <v>0</v>
      </c>
    </row>
    <row r="868" spans="1:2" x14ac:dyDescent="0.25">
      <c r="A868" t="s">
        <v>1495</v>
      </c>
      <c r="B868" s="9">
        <v>0</v>
      </c>
    </row>
    <row r="869" spans="1:2" x14ac:dyDescent="0.25">
      <c r="A869" t="s">
        <v>1496</v>
      </c>
      <c r="B869" s="9">
        <v>0</v>
      </c>
    </row>
    <row r="870" spans="1:2" x14ac:dyDescent="0.25">
      <c r="A870" t="s">
        <v>1497</v>
      </c>
      <c r="B870" s="9">
        <v>0</v>
      </c>
    </row>
    <row r="871" spans="1:2" x14ac:dyDescent="0.25">
      <c r="A871" t="s">
        <v>1498</v>
      </c>
      <c r="B871" s="9">
        <v>0</v>
      </c>
    </row>
    <row r="872" spans="1:2" x14ac:dyDescent="0.25">
      <c r="A872" t="s">
        <v>1499</v>
      </c>
      <c r="B872" s="9">
        <v>0</v>
      </c>
    </row>
    <row r="873" spans="1:2" x14ac:dyDescent="0.25">
      <c r="A873" t="s">
        <v>1500</v>
      </c>
      <c r="B873" s="9">
        <v>0</v>
      </c>
    </row>
    <row r="874" spans="1:2" x14ac:dyDescent="0.25">
      <c r="A874" t="s">
        <v>1501</v>
      </c>
      <c r="B874" s="9">
        <v>0</v>
      </c>
    </row>
    <row r="875" spans="1:2" x14ac:dyDescent="0.25">
      <c r="A875" t="s">
        <v>1502</v>
      </c>
      <c r="B875" s="9">
        <v>0</v>
      </c>
    </row>
    <row r="876" spans="1:2" x14ac:dyDescent="0.25">
      <c r="A876" t="s">
        <v>1503</v>
      </c>
      <c r="B876" s="9">
        <v>0</v>
      </c>
    </row>
    <row r="877" spans="1:2" x14ac:dyDescent="0.25">
      <c r="A877" t="s">
        <v>1504</v>
      </c>
      <c r="B877" s="9">
        <v>0</v>
      </c>
    </row>
    <row r="878" spans="1:2" x14ac:dyDescent="0.25">
      <c r="A878" t="s">
        <v>1505</v>
      </c>
      <c r="B878" s="9">
        <v>0</v>
      </c>
    </row>
    <row r="879" spans="1:2" x14ac:dyDescent="0.25">
      <c r="A879" t="s">
        <v>1506</v>
      </c>
      <c r="B879" s="9">
        <v>0</v>
      </c>
    </row>
    <row r="880" spans="1:2" x14ac:dyDescent="0.25">
      <c r="A880" t="s">
        <v>1507</v>
      </c>
      <c r="B880" s="9">
        <v>0.05</v>
      </c>
    </row>
    <row r="881" spans="1:2" x14ac:dyDescent="0.25">
      <c r="A881" t="s">
        <v>1508</v>
      </c>
      <c r="B881" s="9">
        <v>0.05</v>
      </c>
    </row>
    <row r="882" spans="1:2" x14ac:dyDescent="0.25">
      <c r="A882" t="s">
        <v>1509</v>
      </c>
      <c r="B882" s="9">
        <v>0.05</v>
      </c>
    </row>
    <row r="883" spans="1:2" x14ac:dyDescent="0.25">
      <c r="A883" t="s">
        <v>1510</v>
      </c>
      <c r="B883" s="9">
        <v>0.05</v>
      </c>
    </row>
    <row r="884" spans="1:2" x14ac:dyDescent="0.25">
      <c r="A884" t="s">
        <v>1511</v>
      </c>
      <c r="B884" s="9">
        <v>0</v>
      </c>
    </row>
    <row r="885" spans="1:2" x14ac:dyDescent="0.25">
      <c r="A885" t="s">
        <v>1512</v>
      </c>
      <c r="B885" s="9">
        <v>0</v>
      </c>
    </row>
    <row r="886" spans="1:2" x14ac:dyDescent="0.25">
      <c r="A886" t="s">
        <v>1513</v>
      </c>
      <c r="B886" s="9">
        <v>0</v>
      </c>
    </row>
    <row r="887" spans="1:2" x14ac:dyDescent="0.25">
      <c r="A887" t="s">
        <v>1514</v>
      </c>
      <c r="B887" s="9">
        <v>0</v>
      </c>
    </row>
    <row r="888" spans="1:2" x14ac:dyDescent="0.25">
      <c r="A888" t="s">
        <v>1515</v>
      </c>
      <c r="B888" s="9">
        <v>0</v>
      </c>
    </row>
    <row r="889" spans="1:2" x14ac:dyDescent="0.25">
      <c r="A889" t="s">
        <v>1516</v>
      </c>
      <c r="B889" s="9">
        <v>0</v>
      </c>
    </row>
    <row r="890" spans="1:2" x14ac:dyDescent="0.25">
      <c r="A890" t="s">
        <v>1517</v>
      </c>
      <c r="B890" s="9">
        <v>0</v>
      </c>
    </row>
    <row r="891" spans="1:2" x14ac:dyDescent="0.25">
      <c r="A891" t="s">
        <v>1518</v>
      </c>
      <c r="B891" s="9">
        <v>0</v>
      </c>
    </row>
    <row r="892" spans="1:2" x14ac:dyDescent="0.25">
      <c r="A892" t="s">
        <v>1519</v>
      </c>
      <c r="B892" s="9">
        <v>0</v>
      </c>
    </row>
    <row r="893" spans="1:2" x14ac:dyDescent="0.25">
      <c r="A893" t="s">
        <v>1520</v>
      </c>
      <c r="B893" s="9">
        <v>0</v>
      </c>
    </row>
    <row r="894" spans="1:2" x14ac:dyDescent="0.25">
      <c r="A894" t="s">
        <v>1521</v>
      </c>
      <c r="B894" s="9">
        <v>0</v>
      </c>
    </row>
    <row r="895" spans="1:2" x14ac:dyDescent="0.25">
      <c r="A895" t="s">
        <v>1522</v>
      </c>
      <c r="B895" s="9">
        <v>0</v>
      </c>
    </row>
    <row r="896" spans="1:2" x14ac:dyDescent="0.25">
      <c r="A896" t="s">
        <v>1523</v>
      </c>
      <c r="B896" s="9">
        <v>0</v>
      </c>
    </row>
    <row r="897" spans="1:2" x14ac:dyDescent="0.25">
      <c r="A897" t="s">
        <v>1524</v>
      </c>
      <c r="B897" s="9">
        <v>0</v>
      </c>
    </row>
    <row r="898" spans="1:2" x14ac:dyDescent="0.25">
      <c r="A898" t="s">
        <v>1525</v>
      </c>
      <c r="B898" s="9">
        <v>0</v>
      </c>
    </row>
    <row r="899" spans="1:2" x14ac:dyDescent="0.25">
      <c r="A899" t="s">
        <v>1526</v>
      </c>
      <c r="B899" s="9">
        <v>0</v>
      </c>
    </row>
    <row r="900" spans="1:2" x14ac:dyDescent="0.25">
      <c r="A900" t="s">
        <v>1527</v>
      </c>
      <c r="B900" s="9">
        <v>0</v>
      </c>
    </row>
    <row r="901" spans="1:2" x14ac:dyDescent="0.25">
      <c r="A901" t="s">
        <v>1528</v>
      </c>
      <c r="B901" s="9">
        <v>0</v>
      </c>
    </row>
    <row r="902" spans="1:2" x14ac:dyDescent="0.25">
      <c r="A902" t="s">
        <v>1529</v>
      </c>
      <c r="B902" s="9">
        <v>0</v>
      </c>
    </row>
    <row r="903" spans="1:2" x14ac:dyDescent="0.25">
      <c r="A903" t="s">
        <v>1530</v>
      </c>
      <c r="B903" s="9">
        <v>0</v>
      </c>
    </row>
    <row r="904" spans="1:2" x14ac:dyDescent="0.25">
      <c r="A904" t="s">
        <v>1531</v>
      </c>
      <c r="B904" s="9">
        <v>0</v>
      </c>
    </row>
    <row r="905" spans="1:2" x14ac:dyDescent="0.25">
      <c r="A905" t="s">
        <v>1532</v>
      </c>
      <c r="B905" s="9">
        <v>0</v>
      </c>
    </row>
    <row r="906" spans="1:2" x14ac:dyDescent="0.25">
      <c r="A906" t="s">
        <v>1533</v>
      </c>
      <c r="B906" s="9">
        <v>0</v>
      </c>
    </row>
    <row r="907" spans="1:2" x14ac:dyDescent="0.25">
      <c r="A907" t="s">
        <v>1534</v>
      </c>
      <c r="B907" s="9">
        <v>0</v>
      </c>
    </row>
    <row r="908" spans="1:2" x14ac:dyDescent="0.25">
      <c r="A908" t="s">
        <v>1535</v>
      </c>
      <c r="B908" s="9">
        <v>0</v>
      </c>
    </row>
    <row r="909" spans="1:2" x14ac:dyDescent="0.25">
      <c r="A909" t="s">
        <v>1536</v>
      </c>
      <c r="B909" s="9">
        <v>0</v>
      </c>
    </row>
    <row r="910" spans="1:2" x14ac:dyDescent="0.25">
      <c r="A910" t="s">
        <v>1537</v>
      </c>
      <c r="B910" s="9">
        <v>0</v>
      </c>
    </row>
    <row r="911" spans="1:2" x14ac:dyDescent="0.25">
      <c r="A911" t="s">
        <v>1538</v>
      </c>
      <c r="B911" s="9">
        <v>0</v>
      </c>
    </row>
    <row r="912" spans="1:2" x14ac:dyDescent="0.25">
      <c r="A912" t="s">
        <v>1539</v>
      </c>
      <c r="B912" s="9">
        <v>0</v>
      </c>
    </row>
    <row r="913" spans="1:2" x14ac:dyDescent="0.25">
      <c r="A913" t="s">
        <v>1540</v>
      </c>
      <c r="B913" s="9">
        <v>0</v>
      </c>
    </row>
    <row r="914" spans="1:2" x14ac:dyDescent="0.25">
      <c r="A914" t="s">
        <v>1541</v>
      </c>
      <c r="B914" s="9">
        <v>0</v>
      </c>
    </row>
    <row r="915" spans="1:2" x14ac:dyDescent="0.25">
      <c r="A915" t="s">
        <v>1542</v>
      </c>
      <c r="B915" s="9">
        <v>0</v>
      </c>
    </row>
    <row r="916" spans="1:2" x14ac:dyDescent="0.25">
      <c r="A916" t="s">
        <v>1543</v>
      </c>
      <c r="B916" s="9">
        <v>0</v>
      </c>
    </row>
    <row r="917" spans="1:2" x14ac:dyDescent="0.25">
      <c r="A917" t="s">
        <v>1544</v>
      </c>
      <c r="B917" s="9">
        <v>0</v>
      </c>
    </row>
    <row r="918" spans="1:2" x14ac:dyDescent="0.25">
      <c r="A918" t="s">
        <v>1545</v>
      </c>
      <c r="B918" s="9">
        <v>0</v>
      </c>
    </row>
    <row r="919" spans="1:2" x14ac:dyDescent="0.25">
      <c r="A919" t="s">
        <v>1546</v>
      </c>
      <c r="B919" s="9">
        <v>0</v>
      </c>
    </row>
    <row r="920" spans="1:2" x14ac:dyDescent="0.25">
      <c r="A920" t="s">
        <v>1547</v>
      </c>
      <c r="B920" s="9">
        <v>0</v>
      </c>
    </row>
    <row r="921" spans="1:2" x14ac:dyDescent="0.25">
      <c r="A921" t="s">
        <v>1548</v>
      </c>
      <c r="B921" s="9">
        <v>0</v>
      </c>
    </row>
    <row r="922" spans="1:2" x14ac:dyDescent="0.25">
      <c r="A922" t="s">
        <v>1549</v>
      </c>
      <c r="B922" s="9">
        <v>0</v>
      </c>
    </row>
    <row r="923" spans="1:2" x14ac:dyDescent="0.25">
      <c r="A923" t="s">
        <v>1550</v>
      </c>
      <c r="B923" s="9">
        <v>0</v>
      </c>
    </row>
    <row r="924" spans="1:2" x14ac:dyDescent="0.25">
      <c r="A924" t="s">
        <v>1551</v>
      </c>
      <c r="B924" s="9">
        <v>0</v>
      </c>
    </row>
    <row r="925" spans="1:2" x14ac:dyDescent="0.25">
      <c r="A925" t="s">
        <v>1552</v>
      </c>
      <c r="B925" s="9">
        <v>0</v>
      </c>
    </row>
    <row r="926" spans="1:2" x14ac:dyDescent="0.25">
      <c r="A926" t="s">
        <v>1553</v>
      </c>
      <c r="B926" s="9">
        <v>0</v>
      </c>
    </row>
    <row r="927" spans="1:2" x14ac:dyDescent="0.25">
      <c r="A927" t="s">
        <v>1554</v>
      </c>
      <c r="B927" s="9">
        <v>0</v>
      </c>
    </row>
    <row r="928" spans="1:2" x14ac:dyDescent="0.25">
      <c r="A928" t="s">
        <v>1555</v>
      </c>
      <c r="B928" s="9">
        <v>0</v>
      </c>
    </row>
    <row r="929" spans="1:2" x14ac:dyDescent="0.25">
      <c r="A929" t="s">
        <v>1556</v>
      </c>
      <c r="B929" s="9">
        <v>0</v>
      </c>
    </row>
    <row r="930" spans="1:2" x14ac:dyDescent="0.25">
      <c r="A930" t="s">
        <v>1557</v>
      </c>
      <c r="B930" s="9">
        <v>0</v>
      </c>
    </row>
    <row r="931" spans="1:2" x14ac:dyDescent="0.25">
      <c r="A931" t="s">
        <v>1558</v>
      </c>
      <c r="B931" s="9">
        <v>0</v>
      </c>
    </row>
    <row r="932" spans="1:2" x14ac:dyDescent="0.25">
      <c r="A932" t="s">
        <v>1559</v>
      </c>
      <c r="B932" s="9">
        <v>0</v>
      </c>
    </row>
    <row r="933" spans="1:2" x14ac:dyDescent="0.25">
      <c r="A933" t="s">
        <v>1560</v>
      </c>
      <c r="B933" s="9">
        <v>0</v>
      </c>
    </row>
    <row r="934" spans="1:2" x14ac:dyDescent="0.25">
      <c r="A934" t="s">
        <v>1561</v>
      </c>
      <c r="B934" s="9">
        <v>0</v>
      </c>
    </row>
    <row r="935" spans="1:2" x14ac:dyDescent="0.25">
      <c r="A935" t="s">
        <v>1562</v>
      </c>
      <c r="B935" s="9">
        <v>0</v>
      </c>
    </row>
    <row r="936" spans="1:2" x14ac:dyDescent="0.25">
      <c r="A936" t="s">
        <v>1563</v>
      </c>
      <c r="B936" s="9">
        <v>0</v>
      </c>
    </row>
    <row r="937" spans="1:2" x14ac:dyDescent="0.25">
      <c r="A937" t="s">
        <v>1564</v>
      </c>
      <c r="B937" s="9">
        <v>0</v>
      </c>
    </row>
    <row r="938" spans="1:2" x14ac:dyDescent="0.25">
      <c r="A938" t="s">
        <v>1565</v>
      </c>
      <c r="B938" s="9">
        <v>0</v>
      </c>
    </row>
    <row r="939" spans="1:2" x14ac:dyDescent="0.25">
      <c r="A939" t="s">
        <v>1566</v>
      </c>
      <c r="B939" s="9">
        <v>0</v>
      </c>
    </row>
    <row r="940" spans="1:2" x14ac:dyDescent="0.25">
      <c r="A940" t="s">
        <v>1567</v>
      </c>
      <c r="B940" s="9">
        <v>0</v>
      </c>
    </row>
    <row r="941" spans="1:2" x14ac:dyDescent="0.25">
      <c r="A941" t="s">
        <v>1568</v>
      </c>
      <c r="B941" s="9">
        <v>0</v>
      </c>
    </row>
    <row r="942" spans="1:2" x14ac:dyDescent="0.25">
      <c r="A942" t="s">
        <v>1569</v>
      </c>
      <c r="B942" s="9">
        <v>0</v>
      </c>
    </row>
    <row r="943" spans="1:2" x14ac:dyDescent="0.25">
      <c r="A943" t="s">
        <v>1570</v>
      </c>
      <c r="B943" s="9">
        <v>0</v>
      </c>
    </row>
    <row r="944" spans="1:2" x14ac:dyDescent="0.25">
      <c r="A944" t="s">
        <v>1571</v>
      </c>
      <c r="B944" s="9">
        <v>0</v>
      </c>
    </row>
    <row r="945" spans="1:2" x14ac:dyDescent="0.25">
      <c r="A945" t="s">
        <v>1572</v>
      </c>
      <c r="B945" s="9">
        <v>0</v>
      </c>
    </row>
    <row r="946" spans="1:2" x14ac:dyDescent="0.25">
      <c r="A946" t="s">
        <v>1573</v>
      </c>
      <c r="B946" s="9">
        <v>0</v>
      </c>
    </row>
    <row r="947" spans="1:2" x14ac:dyDescent="0.25">
      <c r="A947" t="s">
        <v>1574</v>
      </c>
      <c r="B947" s="9">
        <v>0</v>
      </c>
    </row>
    <row r="948" spans="1:2" x14ac:dyDescent="0.25">
      <c r="A948" t="s">
        <v>1575</v>
      </c>
      <c r="B948" s="9">
        <v>0</v>
      </c>
    </row>
    <row r="949" spans="1:2" x14ac:dyDescent="0.25">
      <c r="A949" t="s">
        <v>1576</v>
      </c>
      <c r="B949" s="9">
        <v>0</v>
      </c>
    </row>
    <row r="950" spans="1:2" x14ac:dyDescent="0.25">
      <c r="A950" t="s">
        <v>1577</v>
      </c>
      <c r="B950" s="9">
        <v>0</v>
      </c>
    </row>
    <row r="951" spans="1:2" x14ac:dyDescent="0.25">
      <c r="A951" t="s">
        <v>1578</v>
      </c>
      <c r="B951" s="9">
        <v>0</v>
      </c>
    </row>
    <row r="952" spans="1:2" x14ac:dyDescent="0.25">
      <c r="A952" t="s">
        <v>1579</v>
      </c>
      <c r="B952" s="9">
        <v>0</v>
      </c>
    </row>
    <row r="953" spans="1:2" x14ac:dyDescent="0.25">
      <c r="A953" t="s">
        <v>1580</v>
      </c>
      <c r="B953" s="9">
        <v>0</v>
      </c>
    </row>
    <row r="954" spans="1:2" x14ac:dyDescent="0.25">
      <c r="A954" t="s">
        <v>1581</v>
      </c>
      <c r="B954" s="9">
        <v>0</v>
      </c>
    </row>
    <row r="955" spans="1:2" x14ac:dyDescent="0.25">
      <c r="A955" t="s">
        <v>1582</v>
      </c>
      <c r="B955" s="9">
        <v>0</v>
      </c>
    </row>
    <row r="956" spans="1:2" x14ac:dyDescent="0.25">
      <c r="A956" t="s">
        <v>1583</v>
      </c>
      <c r="B956" s="9">
        <v>0</v>
      </c>
    </row>
    <row r="957" spans="1:2" x14ac:dyDescent="0.25">
      <c r="A957" t="s">
        <v>1584</v>
      </c>
      <c r="B957" s="9">
        <v>0</v>
      </c>
    </row>
    <row r="958" spans="1:2" x14ac:dyDescent="0.25">
      <c r="A958" t="s">
        <v>1585</v>
      </c>
      <c r="B958" s="9">
        <v>0</v>
      </c>
    </row>
    <row r="959" spans="1:2" x14ac:dyDescent="0.25">
      <c r="A959" t="s">
        <v>1586</v>
      </c>
      <c r="B959" s="9">
        <v>0</v>
      </c>
    </row>
    <row r="960" spans="1:2" x14ac:dyDescent="0.25">
      <c r="A960" t="s">
        <v>1587</v>
      </c>
      <c r="B960" s="9">
        <v>0</v>
      </c>
    </row>
    <row r="961" spans="1:2" x14ac:dyDescent="0.25">
      <c r="A961" t="s">
        <v>1588</v>
      </c>
      <c r="B961" s="9">
        <v>0</v>
      </c>
    </row>
    <row r="962" spans="1:2" x14ac:dyDescent="0.25">
      <c r="A962" t="s">
        <v>1589</v>
      </c>
      <c r="B962" s="9">
        <v>0</v>
      </c>
    </row>
    <row r="963" spans="1:2" x14ac:dyDescent="0.25">
      <c r="A963" t="s">
        <v>1590</v>
      </c>
      <c r="B963" s="9">
        <v>0</v>
      </c>
    </row>
    <row r="964" spans="1:2" x14ac:dyDescent="0.25">
      <c r="A964" t="s">
        <v>1591</v>
      </c>
      <c r="B964" s="9">
        <v>0</v>
      </c>
    </row>
    <row r="965" spans="1:2" x14ac:dyDescent="0.25">
      <c r="A965" t="s">
        <v>1592</v>
      </c>
      <c r="B965" s="9">
        <v>0</v>
      </c>
    </row>
    <row r="966" spans="1:2" x14ac:dyDescent="0.25">
      <c r="A966" t="s">
        <v>1593</v>
      </c>
      <c r="B966" s="9">
        <v>0</v>
      </c>
    </row>
    <row r="967" spans="1:2" x14ac:dyDescent="0.25">
      <c r="A967" t="s">
        <v>1594</v>
      </c>
      <c r="B967" s="9">
        <v>0</v>
      </c>
    </row>
    <row r="968" spans="1:2" x14ac:dyDescent="0.25">
      <c r="A968" t="s">
        <v>1595</v>
      </c>
      <c r="B968" s="9">
        <v>0</v>
      </c>
    </row>
    <row r="969" spans="1:2" x14ac:dyDescent="0.25">
      <c r="A969" t="s">
        <v>1596</v>
      </c>
      <c r="B969" s="9">
        <v>0</v>
      </c>
    </row>
    <row r="970" spans="1:2" x14ac:dyDescent="0.25">
      <c r="A970" t="s">
        <v>1597</v>
      </c>
      <c r="B970" s="9">
        <v>0.05</v>
      </c>
    </row>
    <row r="971" spans="1:2" x14ac:dyDescent="0.25">
      <c r="A971" t="s">
        <v>1598</v>
      </c>
      <c r="B971" s="9">
        <v>0</v>
      </c>
    </row>
    <row r="972" spans="1:2" x14ac:dyDescent="0.25">
      <c r="A972" t="s">
        <v>1599</v>
      </c>
      <c r="B972" s="9">
        <v>0</v>
      </c>
    </row>
    <row r="973" spans="1:2" x14ac:dyDescent="0.25">
      <c r="A973" t="s">
        <v>1600</v>
      </c>
      <c r="B973" s="9">
        <v>0</v>
      </c>
    </row>
    <row r="974" spans="1:2" x14ac:dyDescent="0.25">
      <c r="A974" t="s">
        <v>1601</v>
      </c>
      <c r="B974" s="9">
        <v>0</v>
      </c>
    </row>
    <row r="975" spans="1:2" x14ac:dyDescent="0.25">
      <c r="A975" t="s">
        <v>1602</v>
      </c>
      <c r="B975" s="9">
        <v>0</v>
      </c>
    </row>
    <row r="976" spans="1:2" x14ac:dyDescent="0.25">
      <c r="A976" t="s">
        <v>1603</v>
      </c>
      <c r="B976" s="9">
        <v>0</v>
      </c>
    </row>
    <row r="977" spans="1:2" x14ac:dyDescent="0.25">
      <c r="A977" t="s">
        <v>1604</v>
      </c>
      <c r="B977" s="9">
        <v>0</v>
      </c>
    </row>
    <row r="978" spans="1:2" x14ac:dyDescent="0.25">
      <c r="A978" t="s">
        <v>1605</v>
      </c>
      <c r="B978" s="9">
        <v>0</v>
      </c>
    </row>
    <row r="979" spans="1:2" x14ac:dyDescent="0.25">
      <c r="A979" t="s">
        <v>1606</v>
      </c>
      <c r="B979" s="9">
        <v>0</v>
      </c>
    </row>
    <row r="980" spans="1:2" x14ac:dyDescent="0.25">
      <c r="A980" t="s">
        <v>1607</v>
      </c>
      <c r="B980" s="9">
        <v>0</v>
      </c>
    </row>
    <row r="981" spans="1:2" x14ac:dyDescent="0.25">
      <c r="A981" t="s">
        <v>1608</v>
      </c>
      <c r="B981" s="9">
        <v>0</v>
      </c>
    </row>
    <row r="982" spans="1:2" x14ac:dyDescent="0.25">
      <c r="A982" t="s">
        <v>1609</v>
      </c>
      <c r="B982" s="9">
        <v>0</v>
      </c>
    </row>
    <row r="983" spans="1:2" x14ac:dyDescent="0.25">
      <c r="A983" t="s">
        <v>1610</v>
      </c>
      <c r="B983" s="9">
        <v>0</v>
      </c>
    </row>
    <row r="984" spans="1:2" x14ac:dyDescent="0.25">
      <c r="A984" t="s">
        <v>1611</v>
      </c>
      <c r="B984" s="9">
        <v>0</v>
      </c>
    </row>
    <row r="985" spans="1:2" x14ac:dyDescent="0.25">
      <c r="A985" t="s">
        <v>1612</v>
      </c>
      <c r="B985" s="9">
        <v>0</v>
      </c>
    </row>
    <row r="986" spans="1:2" x14ac:dyDescent="0.25">
      <c r="A986" t="s">
        <v>1613</v>
      </c>
      <c r="B986" s="9">
        <v>0</v>
      </c>
    </row>
    <row r="987" spans="1:2" x14ac:dyDescent="0.25">
      <c r="A987" t="s">
        <v>1614</v>
      </c>
      <c r="B987" s="9">
        <v>0</v>
      </c>
    </row>
    <row r="988" spans="1:2" x14ac:dyDescent="0.25">
      <c r="A988" t="s">
        <v>1615</v>
      </c>
      <c r="B988" s="9">
        <v>0</v>
      </c>
    </row>
    <row r="989" spans="1:2" x14ac:dyDescent="0.25">
      <c r="A989" t="s">
        <v>1616</v>
      </c>
      <c r="B989" s="9">
        <v>0</v>
      </c>
    </row>
    <row r="990" spans="1:2" x14ac:dyDescent="0.25">
      <c r="A990" t="s">
        <v>1617</v>
      </c>
      <c r="B990" s="9">
        <v>0</v>
      </c>
    </row>
    <row r="991" spans="1:2" x14ac:dyDescent="0.25">
      <c r="A991" t="s">
        <v>1618</v>
      </c>
      <c r="B991" s="9">
        <v>0</v>
      </c>
    </row>
    <row r="992" spans="1:2" x14ac:dyDescent="0.25">
      <c r="A992" t="s">
        <v>1619</v>
      </c>
      <c r="B992" s="9">
        <v>0</v>
      </c>
    </row>
    <row r="993" spans="1:2" x14ac:dyDescent="0.25">
      <c r="A993" t="s">
        <v>1620</v>
      </c>
      <c r="B993" s="9">
        <v>0</v>
      </c>
    </row>
    <row r="994" spans="1:2" x14ac:dyDescent="0.25">
      <c r="A994" t="s">
        <v>1621</v>
      </c>
      <c r="B994" s="9">
        <v>0</v>
      </c>
    </row>
    <row r="995" spans="1:2" x14ac:dyDescent="0.25">
      <c r="A995" t="s">
        <v>1622</v>
      </c>
      <c r="B995" s="9">
        <v>0</v>
      </c>
    </row>
    <row r="996" spans="1:2" x14ac:dyDescent="0.25">
      <c r="A996" t="s">
        <v>1623</v>
      </c>
      <c r="B996" s="9">
        <v>0</v>
      </c>
    </row>
    <row r="997" spans="1:2" x14ac:dyDescent="0.25">
      <c r="A997" t="s">
        <v>1624</v>
      </c>
      <c r="B997" s="9">
        <v>0</v>
      </c>
    </row>
    <row r="998" spans="1:2" x14ac:dyDescent="0.25">
      <c r="A998" t="s">
        <v>1625</v>
      </c>
      <c r="B998" s="9">
        <v>0</v>
      </c>
    </row>
    <row r="999" spans="1:2" x14ac:dyDescent="0.25">
      <c r="A999" t="s">
        <v>1626</v>
      </c>
      <c r="B999" s="9">
        <v>0</v>
      </c>
    </row>
    <row r="1000" spans="1:2" x14ac:dyDescent="0.25">
      <c r="A1000" t="s">
        <v>1627</v>
      </c>
      <c r="B1000" s="9">
        <v>0</v>
      </c>
    </row>
    <row r="1001" spans="1:2" x14ac:dyDescent="0.25">
      <c r="A1001" t="s">
        <v>1628</v>
      </c>
      <c r="B1001" s="9">
        <v>0</v>
      </c>
    </row>
    <row r="1002" spans="1:2" x14ac:dyDescent="0.25">
      <c r="A1002" t="s">
        <v>1629</v>
      </c>
      <c r="B1002" s="9">
        <v>0</v>
      </c>
    </row>
    <row r="1003" spans="1:2" x14ac:dyDescent="0.25">
      <c r="A1003" t="s">
        <v>1630</v>
      </c>
      <c r="B1003" s="9">
        <v>0</v>
      </c>
    </row>
    <row r="1004" spans="1:2" x14ac:dyDescent="0.25">
      <c r="A1004" t="s">
        <v>1631</v>
      </c>
      <c r="B1004" s="9">
        <v>0</v>
      </c>
    </row>
    <row r="1005" spans="1:2" x14ac:dyDescent="0.25">
      <c r="A1005" t="s">
        <v>1632</v>
      </c>
      <c r="B1005" s="9">
        <v>0</v>
      </c>
    </row>
    <row r="1006" spans="1:2" x14ac:dyDescent="0.25">
      <c r="A1006" t="s">
        <v>1633</v>
      </c>
      <c r="B1006" s="9">
        <v>0</v>
      </c>
    </row>
    <row r="1007" spans="1:2" x14ac:dyDescent="0.25">
      <c r="A1007" t="s">
        <v>1634</v>
      </c>
      <c r="B1007" s="9">
        <v>0</v>
      </c>
    </row>
    <row r="1008" spans="1:2" x14ac:dyDescent="0.25">
      <c r="A1008" t="s">
        <v>1635</v>
      </c>
      <c r="B1008" s="9">
        <v>0</v>
      </c>
    </row>
    <row r="1009" spans="1:2" x14ac:dyDescent="0.25">
      <c r="A1009" t="s">
        <v>1636</v>
      </c>
      <c r="B1009" s="9">
        <v>0</v>
      </c>
    </row>
    <row r="1010" spans="1:2" x14ac:dyDescent="0.25">
      <c r="A1010" t="s">
        <v>1637</v>
      </c>
      <c r="B1010" s="9">
        <v>0</v>
      </c>
    </row>
    <row r="1011" spans="1:2" x14ac:dyDescent="0.25">
      <c r="A1011" t="s">
        <v>1638</v>
      </c>
      <c r="B1011" s="9">
        <v>0</v>
      </c>
    </row>
    <row r="1012" spans="1:2" x14ac:dyDescent="0.25">
      <c r="A1012" t="s">
        <v>1639</v>
      </c>
      <c r="B1012" s="9">
        <v>0</v>
      </c>
    </row>
    <row r="1013" spans="1:2" x14ac:dyDescent="0.25">
      <c r="A1013" t="s">
        <v>1640</v>
      </c>
      <c r="B1013" s="9">
        <v>0</v>
      </c>
    </row>
    <row r="1014" spans="1:2" x14ac:dyDescent="0.25">
      <c r="A1014" t="s">
        <v>1641</v>
      </c>
      <c r="B1014" s="9">
        <v>0</v>
      </c>
    </row>
    <row r="1015" spans="1:2" x14ac:dyDescent="0.25">
      <c r="A1015" t="s">
        <v>1642</v>
      </c>
      <c r="B1015" s="9">
        <v>0</v>
      </c>
    </row>
    <row r="1016" spans="1:2" x14ac:dyDescent="0.25">
      <c r="A1016" t="s">
        <v>1643</v>
      </c>
      <c r="B1016" s="9">
        <v>0</v>
      </c>
    </row>
    <row r="1017" spans="1:2" x14ac:dyDescent="0.25">
      <c r="A1017" t="s">
        <v>1644</v>
      </c>
      <c r="B1017" s="9">
        <v>0</v>
      </c>
    </row>
    <row r="1018" spans="1:2" x14ac:dyDescent="0.25">
      <c r="A1018" t="s">
        <v>1645</v>
      </c>
      <c r="B1018" s="9">
        <v>0</v>
      </c>
    </row>
    <row r="1019" spans="1:2" x14ac:dyDescent="0.25">
      <c r="A1019" t="s">
        <v>1646</v>
      </c>
      <c r="B1019" s="9">
        <v>0</v>
      </c>
    </row>
    <row r="1020" spans="1:2" x14ac:dyDescent="0.25">
      <c r="A1020" t="s">
        <v>1647</v>
      </c>
      <c r="B1020" s="9">
        <v>0</v>
      </c>
    </row>
    <row r="1021" spans="1:2" x14ac:dyDescent="0.25">
      <c r="A1021" t="s">
        <v>1648</v>
      </c>
      <c r="B1021" s="9">
        <v>0</v>
      </c>
    </row>
    <row r="1022" spans="1:2" x14ac:dyDescent="0.25">
      <c r="A1022" t="s">
        <v>1649</v>
      </c>
      <c r="B1022" s="9">
        <v>0</v>
      </c>
    </row>
    <row r="1023" spans="1:2" x14ac:dyDescent="0.25">
      <c r="A1023" t="s">
        <v>1650</v>
      </c>
      <c r="B1023" s="9">
        <v>0</v>
      </c>
    </row>
    <row r="1024" spans="1:2" x14ac:dyDescent="0.25">
      <c r="A1024" t="s">
        <v>1651</v>
      </c>
      <c r="B1024" s="9">
        <v>0</v>
      </c>
    </row>
    <row r="1025" spans="1:2" x14ac:dyDescent="0.25">
      <c r="A1025" t="s">
        <v>1652</v>
      </c>
      <c r="B1025" s="9">
        <v>0</v>
      </c>
    </row>
    <row r="1026" spans="1:2" x14ac:dyDescent="0.25">
      <c r="A1026" t="s">
        <v>1653</v>
      </c>
      <c r="B1026" s="9">
        <v>0</v>
      </c>
    </row>
    <row r="1027" spans="1:2" x14ac:dyDescent="0.25">
      <c r="A1027" t="s">
        <v>1654</v>
      </c>
      <c r="B1027" s="9">
        <v>0</v>
      </c>
    </row>
    <row r="1028" spans="1:2" x14ac:dyDescent="0.25">
      <c r="A1028" t="s">
        <v>1655</v>
      </c>
      <c r="B1028" s="9">
        <v>0</v>
      </c>
    </row>
    <row r="1029" spans="1:2" x14ac:dyDescent="0.25">
      <c r="A1029" t="s">
        <v>1656</v>
      </c>
      <c r="B1029" s="9">
        <v>0</v>
      </c>
    </row>
    <row r="1030" spans="1:2" x14ac:dyDescent="0.25">
      <c r="A1030" t="s">
        <v>1657</v>
      </c>
      <c r="B1030" s="9">
        <v>0</v>
      </c>
    </row>
    <row r="1031" spans="1:2" x14ac:dyDescent="0.25">
      <c r="A1031" t="s">
        <v>1658</v>
      </c>
      <c r="B1031" s="9">
        <v>0</v>
      </c>
    </row>
    <row r="1032" spans="1:2" x14ac:dyDescent="0.25">
      <c r="A1032" t="s">
        <v>1659</v>
      </c>
      <c r="B1032" s="9">
        <v>0</v>
      </c>
    </row>
    <row r="1033" spans="1:2" x14ac:dyDescent="0.25">
      <c r="A1033" t="s">
        <v>1660</v>
      </c>
      <c r="B1033" s="9">
        <v>0</v>
      </c>
    </row>
    <row r="1034" spans="1:2" x14ac:dyDescent="0.25">
      <c r="A1034" t="s">
        <v>1661</v>
      </c>
      <c r="B1034" s="9">
        <v>0</v>
      </c>
    </row>
    <row r="1035" spans="1:2" x14ac:dyDescent="0.25">
      <c r="A1035" t="s">
        <v>1662</v>
      </c>
      <c r="B1035" s="9">
        <v>0</v>
      </c>
    </row>
    <row r="1036" spans="1:2" x14ac:dyDescent="0.25">
      <c r="A1036" t="s">
        <v>1663</v>
      </c>
      <c r="B1036" s="9">
        <v>0</v>
      </c>
    </row>
    <row r="1037" spans="1:2" x14ac:dyDescent="0.25">
      <c r="A1037" t="s">
        <v>1664</v>
      </c>
      <c r="B1037" s="9">
        <v>0</v>
      </c>
    </row>
    <row r="1038" spans="1:2" x14ac:dyDescent="0.25">
      <c r="A1038" t="s">
        <v>1665</v>
      </c>
      <c r="B1038" s="9">
        <v>0</v>
      </c>
    </row>
    <row r="1039" spans="1:2" x14ac:dyDescent="0.25">
      <c r="A1039" t="s">
        <v>1666</v>
      </c>
      <c r="B1039" s="9">
        <v>0</v>
      </c>
    </row>
    <row r="1040" spans="1:2" x14ac:dyDescent="0.25">
      <c r="A1040" t="s">
        <v>1667</v>
      </c>
      <c r="B1040" s="9">
        <v>0</v>
      </c>
    </row>
    <row r="1041" spans="1:2" x14ac:dyDescent="0.25">
      <c r="A1041" t="s">
        <v>1668</v>
      </c>
      <c r="B1041" s="9">
        <v>0</v>
      </c>
    </row>
    <row r="1042" spans="1:2" x14ac:dyDescent="0.25">
      <c r="A1042" t="s">
        <v>1669</v>
      </c>
      <c r="B1042" s="9">
        <v>0</v>
      </c>
    </row>
    <row r="1043" spans="1:2" x14ac:dyDescent="0.25">
      <c r="A1043" t="s">
        <v>1670</v>
      </c>
      <c r="B1043" s="9">
        <v>0</v>
      </c>
    </row>
    <row r="1044" spans="1:2" x14ac:dyDescent="0.25">
      <c r="A1044" t="s">
        <v>1671</v>
      </c>
      <c r="B1044" s="9">
        <v>0</v>
      </c>
    </row>
    <row r="1045" spans="1:2" x14ac:dyDescent="0.25">
      <c r="A1045" t="s">
        <v>1672</v>
      </c>
      <c r="B1045" s="9">
        <v>0</v>
      </c>
    </row>
    <row r="1046" spans="1:2" x14ac:dyDescent="0.25">
      <c r="A1046" t="s">
        <v>1673</v>
      </c>
      <c r="B1046" s="9">
        <v>0</v>
      </c>
    </row>
    <row r="1047" spans="1:2" x14ac:dyDescent="0.25">
      <c r="A1047" t="s">
        <v>1674</v>
      </c>
      <c r="B1047" s="9">
        <v>0</v>
      </c>
    </row>
    <row r="1048" spans="1:2" x14ac:dyDescent="0.25">
      <c r="A1048" t="s">
        <v>1675</v>
      </c>
      <c r="B1048" s="9">
        <v>0</v>
      </c>
    </row>
    <row r="1049" spans="1:2" x14ac:dyDescent="0.25">
      <c r="A1049" t="s">
        <v>1676</v>
      </c>
      <c r="B1049" s="9">
        <v>0</v>
      </c>
    </row>
    <row r="1050" spans="1:2" x14ac:dyDescent="0.25">
      <c r="A1050" t="s">
        <v>1677</v>
      </c>
      <c r="B1050" s="9">
        <v>0</v>
      </c>
    </row>
    <row r="1051" spans="1:2" x14ac:dyDescent="0.25">
      <c r="A1051" t="s">
        <v>1678</v>
      </c>
      <c r="B1051" s="9">
        <v>0</v>
      </c>
    </row>
    <row r="1052" spans="1:2" x14ac:dyDescent="0.25">
      <c r="A1052" t="s">
        <v>1679</v>
      </c>
      <c r="B1052" s="9">
        <v>0</v>
      </c>
    </row>
    <row r="1053" spans="1:2" x14ac:dyDescent="0.25">
      <c r="A1053" t="s">
        <v>1680</v>
      </c>
      <c r="B1053" s="9">
        <v>0</v>
      </c>
    </row>
    <row r="1054" spans="1:2" x14ac:dyDescent="0.25">
      <c r="A1054" t="s">
        <v>1681</v>
      </c>
      <c r="B1054" s="9">
        <v>0</v>
      </c>
    </row>
    <row r="1055" spans="1:2" x14ac:dyDescent="0.25">
      <c r="A1055" t="s">
        <v>1682</v>
      </c>
      <c r="B1055" s="9">
        <v>0</v>
      </c>
    </row>
    <row r="1056" spans="1:2" x14ac:dyDescent="0.25">
      <c r="A1056" t="s">
        <v>1683</v>
      </c>
      <c r="B1056" s="9">
        <v>0</v>
      </c>
    </row>
    <row r="1057" spans="1:2" x14ac:dyDescent="0.25">
      <c r="A1057" t="s">
        <v>1684</v>
      </c>
      <c r="B1057" s="9">
        <v>0</v>
      </c>
    </row>
    <row r="1058" spans="1:2" x14ac:dyDescent="0.25">
      <c r="A1058" t="s">
        <v>1685</v>
      </c>
      <c r="B1058" s="9">
        <v>0</v>
      </c>
    </row>
    <row r="1059" spans="1:2" x14ac:dyDescent="0.25">
      <c r="A1059" t="s">
        <v>1686</v>
      </c>
      <c r="B1059" s="9">
        <v>0</v>
      </c>
    </row>
    <row r="1060" spans="1:2" x14ac:dyDescent="0.25">
      <c r="A1060" t="s">
        <v>1687</v>
      </c>
      <c r="B1060" s="9">
        <v>0</v>
      </c>
    </row>
    <row r="1061" spans="1:2" x14ac:dyDescent="0.25">
      <c r="A1061" t="s">
        <v>1688</v>
      </c>
      <c r="B1061" s="9">
        <v>0</v>
      </c>
    </row>
    <row r="1062" spans="1:2" x14ac:dyDescent="0.25">
      <c r="A1062" t="s">
        <v>1689</v>
      </c>
      <c r="B1062" s="9">
        <v>0</v>
      </c>
    </row>
    <row r="1063" spans="1:2" x14ac:dyDescent="0.25">
      <c r="A1063" t="s">
        <v>1690</v>
      </c>
      <c r="B1063" s="9">
        <v>0</v>
      </c>
    </row>
    <row r="1064" spans="1:2" x14ac:dyDescent="0.25">
      <c r="A1064" t="s">
        <v>1691</v>
      </c>
      <c r="B1064" s="9">
        <v>0</v>
      </c>
    </row>
    <row r="1065" spans="1:2" x14ac:dyDescent="0.25">
      <c r="A1065" t="s">
        <v>1692</v>
      </c>
      <c r="B1065" s="9">
        <v>0</v>
      </c>
    </row>
    <row r="1066" spans="1:2" x14ac:dyDescent="0.25">
      <c r="A1066" t="s">
        <v>1693</v>
      </c>
      <c r="B1066" s="9">
        <v>0</v>
      </c>
    </row>
    <row r="1067" spans="1:2" x14ac:dyDescent="0.25">
      <c r="A1067" t="s">
        <v>1694</v>
      </c>
      <c r="B1067" s="9">
        <v>0</v>
      </c>
    </row>
    <row r="1068" spans="1:2" x14ac:dyDescent="0.25">
      <c r="A1068" t="s">
        <v>1695</v>
      </c>
      <c r="B1068" s="9">
        <v>0</v>
      </c>
    </row>
    <row r="1069" spans="1:2" x14ac:dyDescent="0.25">
      <c r="A1069" t="s">
        <v>1696</v>
      </c>
      <c r="B1069" s="9">
        <v>0</v>
      </c>
    </row>
    <row r="1070" spans="1:2" x14ac:dyDescent="0.25">
      <c r="A1070" t="s">
        <v>1697</v>
      </c>
      <c r="B1070" s="9">
        <v>0</v>
      </c>
    </row>
    <row r="1071" spans="1:2" x14ac:dyDescent="0.25">
      <c r="A1071" t="s">
        <v>1698</v>
      </c>
      <c r="B1071" s="9">
        <v>0</v>
      </c>
    </row>
    <row r="1072" spans="1:2" x14ac:dyDescent="0.25">
      <c r="A1072" t="s">
        <v>1699</v>
      </c>
      <c r="B1072" s="9">
        <v>0</v>
      </c>
    </row>
    <row r="1073" spans="1:2" x14ac:dyDescent="0.25">
      <c r="A1073" t="s">
        <v>1700</v>
      </c>
      <c r="B1073" s="9">
        <v>0</v>
      </c>
    </row>
    <row r="1074" spans="1:2" x14ac:dyDescent="0.25">
      <c r="A1074" t="s">
        <v>1701</v>
      </c>
      <c r="B1074" s="9">
        <v>0</v>
      </c>
    </row>
    <row r="1075" spans="1:2" x14ac:dyDescent="0.25">
      <c r="A1075" t="s">
        <v>1702</v>
      </c>
      <c r="B1075" s="9">
        <v>0</v>
      </c>
    </row>
    <row r="1076" spans="1:2" x14ac:dyDescent="0.25">
      <c r="A1076" t="s">
        <v>1703</v>
      </c>
      <c r="B1076" s="9">
        <v>0</v>
      </c>
    </row>
    <row r="1077" spans="1:2" x14ac:dyDescent="0.25">
      <c r="A1077" t="s">
        <v>1704</v>
      </c>
      <c r="B1077" s="9">
        <v>0</v>
      </c>
    </row>
    <row r="1078" spans="1:2" x14ac:dyDescent="0.25">
      <c r="A1078" t="s">
        <v>1705</v>
      </c>
      <c r="B1078" s="9">
        <v>0</v>
      </c>
    </row>
    <row r="1079" spans="1:2" x14ac:dyDescent="0.25">
      <c r="A1079" t="s">
        <v>1706</v>
      </c>
      <c r="B1079" s="9">
        <v>0</v>
      </c>
    </row>
    <row r="1080" spans="1:2" x14ac:dyDescent="0.25">
      <c r="A1080" t="s">
        <v>1707</v>
      </c>
      <c r="B1080" s="9">
        <v>0</v>
      </c>
    </row>
    <row r="1081" spans="1:2" x14ac:dyDescent="0.25">
      <c r="A1081" t="s">
        <v>1708</v>
      </c>
      <c r="B1081" s="9">
        <v>0</v>
      </c>
    </row>
    <row r="1082" spans="1:2" x14ac:dyDescent="0.25">
      <c r="A1082" t="s">
        <v>1709</v>
      </c>
      <c r="B1082" s="9">
        <v>0</v>
      </c>
    </row>
    <row r="1083" spans="1:2" x14ac:dyDescent="0.25">
      <c r="A1083" t="s">
        <v>1710</v>
      </c>
      <c r="B1083" s="9">
        <v>0</v>
      </c>
    </row>
    <row r="1084" spans="1:2" x14ac:dyDescent="0.25">
      <c r="A1084" t="s">
        <v>1711</v>
      </c>
      <c r="B1084" s="9">
        <v>0</v>
      </c>
    </row>
    <row r="1085" spans="1:2" x14ac:dyDescent="0.25">
      <c r="A1085" t="s">
        <v>1712</v>
      </c>
      <c r="B1085" s="9">
        <v>0</v>
      </c>
    </row>
    <row r="1086" spans="1:2" x14ac:dyDescent="0.25">
      <c r="A1086" t="s">
        <v>1713</v>
      </c>
      <c r="B1086" s="9">
        <v>0</v>
      </c>
    </row>
    <row r="1087" spans="1:2" x14ac:dyDescent="0.25">
      <c r="A1087" t="s">
        <v>1714</v>
      </c>
      <c r="B1087" s="9">
        <v>0</v>
      </c>
    </row>
    <row r="1088" spans="1:2" x14ac:dyDescent="0.25">
      <c r="A1088" t="s">
        <v>1715</v>
      </c>
      <c r="B1088" s="9">
        <v>0.05</v>
      </c>
    </row>
    <row r="1089" spans="1:2" x14ac:dyDescent="0.25">
      <c r="A1089" t="s">
        <v>1716</v>
      </c>
      <c r="B1089" s="9">
        <v>0.05</v>
      </c>
    </row>
    <row r="1090" spans="1:2" x14ac:dyDescent="0.25">
      <c r="A1090" t="s">
        <v>1717</v>
      </c>
      <c r="B1090" s="9">
        <v>0</v>
      </c>
    </row>
    <row r="1091" spans="1:2" x14ac:dyDescent="0.25">
      <c r="A1091" t="s">
        <v>1718</v>
      </c>
      <c r="B1091" s="9">
        <v>0</v>
      </c>
    </row>
    <row r="1092" spans="1:2" x14ac:dyDescent="0.25">
      <c r="A1092" t="s">
        <v>1719</v>
      </c>
      <c r="B1092" s="9">
        <v>0</v>
      </c>
    </row>
    <row r="1093" spans="1:2" x14ac:dyDescent="0.25">
      <c r="A1093" t="s">
        <v>1720</v>
      </c>
      <c r="B1093" s="9">
        <v>0</v>
      </c>
    </row>
    <row r="1094" spans="1:2" x14ac:dyDescent="0.25">
      <c r="A1094" t="s">
        <v>1721</v>
      </c>
      <c r="B1094" s="9">
        <v>0</v>
      </c>
    </row>
    <row r="1095" spans="1:2" x14ac:dyDescent="0.25">
      <c r="A1095" t="s">
        <v>1722</v>
      </c>
      <c r="B1095" s="9">
        <v>0</v>
      </c>
    </row>
    <row r="1096" spans="1:2" x14ac:dyDescent="0.25">
      <c r="A1096" t="s">
        <v>1723</v>
      </c>
      <c r="B1096" s="9">
        <v>0</v>
      </c>
    </row>
    <row r="1097" spans="1:2" x14ac:dyDescent="0.25">
      <c r="A1097" t="s">
        <v>1724</v>
      </c>
      <c r="B1097" s="9">
        <v>0</v>
      </c>
    </row>
    <row r="1098" spans="1:2" x14ac:dyDescent="0.25">
      <c r="A1098" t="s">
        <v>1725</v>
      </c>
      <c r="B1098" s="9">
        <v>0</v>
      </c>
    </row>
    <row r="1099" spans="1:2" x14ac:dyDescent="0.25">
      <c r="A1099" t="s">
        <v>1726</v>
      </c>
      <c r="B1099" s="9">
        <v>0</v>
      </c>
    </row>
    <row r="1100" spans="1:2" x14ac:dyDescent="0.25">
      <c r="A1100" t="s">
        <v>1727</v>
      </c>
      <c r="B1100" s="9">
        <v>0</v>
      </c>
    </row>
    <row r="1101" spans="1:2" x14ac:dyDescent="0.25">
      <c r="A1101" t="s">
        <v>1728</v>
      </c>
      <c r="B1101" s="9">
        <v>0</v>
      </c>
    </row>
    <row r="1102" spans="1:2" x14ac:dyDescent="0.25">
      <c r="A1102" t="s">
        <v>1729</v>
      </c>
      <c r="B1102" s="9">
        <v>0</v>
      </c>
    </row>
    <row r="1103" spans="1:2" x14ac:dyDescent="0.25">
      <c r="A1103" t="s">
        <v>1730</v>
      </c>
      <c r="B1103" s="9">
        <v>0</v>
      </c>
    </row>
    <row r="1104" spans="1:2" x14ac:dyDescent="0.25">
      <c r="A1104" t="s">
        <v>1731</v>
      </c>
      <c r="B1104" s="9">
        <v>0.05</v>
      </c>
    </row>
    <row r="1105" spans="1:2" x14ac:dyDescent="0.25">
      <c r="A1105" t="s">
        <v>1732</v>
      </c>
      <c r="B1105" s="9">
        <v>0.05</v>
      </c>
    </row>
    <row r="1106" spans="1:2" x14ac:dyDescent="0.25">
      <c r="A1106" t="s">
        <v>1733</v>
      </c>
      <c r="B1106" s="9">
        <v>0</v>
      </c>
    </row>
    <row r="1107" spans="1:2" x14ac:dyDescent="0.25">
      <c r="A1107" t="s">
        <v>1734</v>
      </c>
      <c r="B1107" s="9">
        <v>0</v>
      </c>
    </row>
    <row r="1108" spans="1:2" x14ac:dyDescent="0.25">
      <c r="A1108" t="s">
        <v>1735</v>
      </c>
      <c r="B1108" s="9">
        <v>0</v>
      </c>
    </row>
    <row r="1109" spans="1:2" x14ac:dyDescent="0.25">
      <c r="A1109" t="s">
        <v>1736</v>
      </c>
      <c r="B1109" s="9">
        <v>0</v>
      </c>
    </row>
    <row r="1110" spans="1:2" x14ac:dyDescent="0.25">
      <c r="A1110" t="s">
        <v>1737</v>
      </c>
      <c r="B1110" s="9">
        <v>0</v>
      </c>
    </row>
    <row r="1111" spans="1:2" x14ac:dyDescent="0.25">
      <c r="A1111" t="s">
        <v>1738</v>
      </c>
      <c r="B1111" s="9">
        <v>0</v>
      </c>
    </row>
    <row r="1112" spans="1:2" x14ac:dyDescent="0.25">
      <c r="A1112" t="s">
        <v>1739</v>
      </c>
      <c r="B1112" s="9">
        <v>0</v>
      </c>
    </row>
    <row r="1113" spans="1:2" x14ac:dyDescent="0.25">
      <c r="A1113" t="s">
        <v>1740</v>
      </c>
      <c r="B1113" s="9">
        <v>0</v>
      </c>
    </row>
    <row r="1114" spans="1:2" x14ac:dyDescent="0.25">
      <c r="A1114" t="s">
        <v>1741</v>
      </c>
      <c r="B1114" s="9">
        <v>0</v>
      </c>
    </row>
    <row r="1115" spans="1:2" x14ac:dyDescent="0.25">
      <c r="A1115" t="s">
        <v>1742</v>
      </c>
      <c r="B1115" s="9">
        <v>0</v>
      </c>
    </row>
    <row r="1116" spans="1:2" x14ac:dyDescent="0.25">
      <c r="A1116" t="s">
        <v>1743</v>
      </c>
      <c r="B1116" s="9">
        <v>0</v>
      </c>
    </row>
    <row r="1117" spans="1:2" x14ac:dyDescent="0.25">
      <c r="A1117" t="s">
        <v>1744</v>
      </c>
      <c r="B1117" s="9">
        <v>0</v>
      </c>
    </row>
    <row r="1118" spans="1:2" x14ac:dyDescent="0.25">
      <c r="A1118" t="s">
        <v>1745</v>
      </c>
      <c r="B1118" s="9">
        <v>0</v>
      </c>
    </row>
    <row r="1119" spans="1:2" x14ac:dyDescent="0.25">
      <c r="A1119" t="s">
        <v>1746</v>
      </c>
      <c r="B1119" s="9">
        <v>0</v>
      </c>
    </row>
    <row r="1120" spans="1:2" x14ac:dyDescent="0.25">
      <c r="A1120" t="s">
        <v>1747</v>
      </c>
      <c r="B1120" s="9">
        <v>0</v>
      </c>
    </row>
    <row r="1121" spans="1:2" x14ac:dyDescent="0.25">
      <c r="A1121" t="s">
        <v>1748</v>
      </c>
      <c r="B1121" s="9">
        <v>0</v>
      </c>
    </row>
    <row r="1122" spans="1:2" x14ac:dyDescent="0.25">
      <c r="A1122" t="s">
        <v>1749</v>
      </c>
      <c r="B1122" s="9">
        <v>0</v>
      </c>
    </row>
    <row r="1123" spans="1:2" x14ac:dyDescent="0.25">
      <c r="A1123" t="s">
        <v>1750</v>
      </c>
      <c r="B1123" s="9">
        <v>0</v>
      </c>
    </row>
    <row r="1124" spans="1:2" x14ac:dyDescent="0.25">
      <c r="A1124" t="s">
        <v>1751</v>
      </c>
      <c r="B1124" s="9">
        <v>0.05</v>
      </c>
    </row>
    <row r="1125" spans="1:2" x14ac:dyDescent="0.25">
      <c r="A1125" t="s">
        <v>1752</v>
      </c>
      <c r="B1125" s="9">
        <v>0.05</v>
      </c>
    </row>
    <row r="1126" spans="1:2" x14ac:dyDescent="0.25">
      <c r="A1126" t="s">
        <v>1753</v>
      </c>
      <c r="B1126" s="9">
        <v>0</v>
      </c>
    </row>
    <row r="1127" spans="1:2" x14ac:dyDescent="0.25">
      <c r="A1127" t="s">
        <v>1754</v>
      </c>
      <c r="B1127" s="9">
        <v>0.05</v>
      </c>
    </row>
    <row r="1128" spans="1:2" x14ac:dyDescent="0.25">
      <c r="A1128" t="s">
        <v>1755</v>
      </c>
      <c r="B1128" s="9">
        <v>0</v>
      </c>
    </row>
    <row r="1129" spans="1:2" x14ac:dyDescent="0.25">
      <c r="A1129" t="s">
        <v>1756</v>
      </c>
      <c r="B1129" s="9">
        <v>0</v>
      </c>
    </row>
    <row r="1130" spans="1:2" x14ac:dyDescent="0.25">
      <c r="A1130" t="s">
        <v>1757</v>
      </c>
      <c r="B1130" s="9">
        <v>0</v>
      </c>
    </row>
    <row r="1131" spans="1:2" x14ac:dyDescent="0.25">
      <c r="A1131" t="s">
        <v>1758</v>
      </c>
      <c r="B1131" s="9">
        <v>0</v>
      </c>
    </row>
    <row r="1132" spans="1:2" x14ac:dyDescent="0.25">
      <c r="A1132" t="s">
        <v>1759</v>
      </c>
      <c r="B1132" s="9">
        <v>0</v>
      </c>
    </row>
    <row r="1133" spans="1:2" x14ac:dyDescent="0.25">
      <c r="A1133" t="s">
        <v>1760</v>
      </c>
      <c r="B1133" s="9">
        <v>0</v>
      </c>
    </row>
    <row r="1134" spans="1:2" x14ac:dyDescent="0.25">
      <c r="A1134" t="s">
        <v>1761</v>
      </c>
      <c r="B1134" s="9">
        <v>0.05</v>
      </c>
    </row>
    <row r="1135" spans="1:2" x14ac:dyDescent="0.25">
      <c r="A1135" t="s">
        <v>1762</v>
      </c>
      <c r="B1135" s="9">
        <v>0</v>
      </c>
    </row>
    <row r="1136" spans="1:2" x14ac:dyDescent="0.25">
      <c r="A1136" t="s">
        <v>1763</v>
      </c>
      <c r="B1136" s="9">
        <v>0</v>
      </c>
    </row>
    <row r="1137" spans="1:2" x14ac:dyDescent="0.25">
      <c r="A1137" t="s">
        <v>1764</v>
      </c>
      <c r="B1137" s="9">
        <v>0</v>
      </c>
    </row>
    <row r="1138" spans="1:2" x14ac:dyDescent="0.25">
      <c r="A1138" t="s">
        <v>1765</v>
      </c>
      <c r="B1138" s="9">
        <v>0</v>
      </c>
    </row>
    <row r="1139" spans="1:2" x14ac:dyDescent="0.25">
      <c r="A1139" t="s">
        <v>1766</v>
      </c>
      <c r="B1139" s="9">
        <v>0</v>
      </c>
    </row>
    <row r="1140" spans="1:2" x14ac:dyDescent="0.25">
      <c r="A1140" t="s">
        <v>1767</v>
      </c>
      <c r="B1140" s="9">
        <v>0</v>
      </c>
    </row>
    <row r="1141" spans="1:2" x14ac:dyDescent="0.25">
      <c r="A1141" t="s">
        <v>1768</v>
      </c>
      <c r="B1141" s="9">
        <v>0.05</v>
      </c>
    </row>
    <row r="1142" spans="1:2" x14ac:dyDescent="0.25">
      <c r="A1142" t="s">
        <v>1769</v>
      </c>
      <c r="B1142" s="9">
        <v>0.05</v>
      </c>
    </row>
    <row r="1143" spans="1:2" x14ac:dyDescent="0.25">
      <c r="A1143" t="s">
        <v>1770</v>
      </c>
      <c r="B1143" s="9">
        <v>0.05</v>
      </c>
    </row>
    <row r="1144" spans="1:2" x14ac:dyDescent="0.25">
      <c r="A1144" t="s">
        <v>1771</v>
      </c>
      <c r="B1144" s="9">
        <v>0.05</v>
      </c>
    </row>
    <row r="1145" spans="1:2" x14ac:dyDescent="0.25">
      <c r="A1145" t="s">
        <v>1772</v>
      </c>
      <c r="B1145" s="9">
        <v>0.05</v>
      </c>
    </row>
    <row r="1146" spans="1:2" x14ac:dyDescent="0.25">
      <c r="A1146" t="s">
        <v>1773</v>
      </c>
      <c r="B1146" s="9">
        <v>0.05</v>
      </c>
    </row>
    <row r="1147" spans="1:2" x14ac:dyDescent="0.25">
      <c r="A1147" t="s">
        <v>1774</v>
      </c>
      <c r="B1147" s="9">
        <v>0.05</v>
      </c>
    </row>
    <row r="1148" spans="1:2" x14ac:dyDescent="0.25">
      <c r="A1148" t="s">
        <v>1775</v>
      </c>
      <c r="B1148" s="9">
        <v>0</v>
      </c>
    </row>
    <row r="1149" spans="1:2" x14ac:dyDescent="0.25">
      <c r="A1149" t="s">
        <v>1776</v>
      </c>
      <c r="B1149" s="9">
        <v>0</v>
      </c>
    </row>
    <row r="1150" spans="1:2" x14ac:dyDescent="0.25">
      <c r="A1150" t="s">
        <v>1777</v>
      </c>
      <c r="B1150" s="9">
        <v>0</v>
      </c>
    </row>
    <row r="1151" spans="1:2" x14ac:dyDescent="0.25">
      <c r="A1151" t="s">
        <v>1778</v>
      </c>
      <c r="B1151" s="9">
        <v>0</v>
      </c>
    </row>
    <row r="1152" spans="1:2" x14ac:dyDescent="0.25">
      <c r="A1152" t="s">
        <v>1779</v>
      </c>
      <c r="B1152" s="9">
        <v>0</v>
      </c>
    </row>
    <row r="1153" spans="1:2" x14ac:dyDescent="0.25">
      <c r="A1153" t="s">
        <v>1780</v>
      </c>
      <c r="B1153" s="9">
        <v>0</v>
      </c>
    </row>
    <row r="1154" spans="1:2" x14ac:dyDescent="0.25">
      <c r="A1154" t="s">
        <v>1781</v>
      </c>
      <c r="B1154" s="9">
        <v>0</v>
      </c>
    </row>
    <row r="1155" spans="1:2" x14ac:dyDescent="0.25">
      <c r="A1155" t="s">
        <v>1782</v>
      </c>
      <c r="B1155" s="9">
        <v>0</v>
      </c>
    </row>
    <row r="1156" spans="1:2" x14ac:dyDescent="0.25">
      <c r="A1156" t="s">
        <v>1783</v>
      </c>
      <c r="B1156" s="9">
        <v>0</v>
      </c>
    </row>
    <row r="1157" spans="1:2" x14ac:dyDescent="0.25">
      <c r="A1157" t="s">
        <v>1784</v>
      </c>
      <c r="B1157" s="9">
        <v>0.05</v>
      </c>
    </row>
    <row r="1158" spans="1:2" x14ac:dyDescent="0.25">
      <c r="A1158" t="s">
        <v>1785</v>
      </c>
      <c r="B1158" s="9">
        <v>0.05</v>
      </c>
    </row>
    <row r="1159" spans="1:2" x14ac:dyDescent="0.25">
      <c r="A1159" t="s">
        <v>1786</v>
      </c>
      <c r="B1159" s="9">
        <v>0.05</v>
      </c>
    </row>
    <row r="1160" spans="1:2" x14ac:dyDescent="0.25">
      <c r="A1160" t="s">
        <v>1787</v>
      </c>
      <c r="B1160" s="9">
        <v>0.05</v>
      </c>
    </row>
    <row r="1161" spans="1:2" x14ac:dyDescent="0.25">
      <c r="A1161" t="s">
        <v>1788</v>
      </c>
      <c r="B1161" s="9">
        <v>0.05</v>
      </c>
    </row>
    <row r="1162" spans="1:2" x14ac:dyDescent="0.25">
      <c r="A1162" t="s">
        <v>1789</v>
      </c>
      <c r="B1162" s="9">
        <v>0</v>
      </c>
    </row>
    <row r="1163" spans="1:2" x14ac:dyDescent="0.25">
      <c r="A1163" t="s">
        <v>1790</v>
      </c>
      <c r="B1163" s="9">
        <v>0</v>
      </c>
    </row>
    <row r="1164" spans="1:2" x14ac:dyDescent="0.25">
      <c r="A1164" t="s">
        <v>1791</v>
      </c>
      <c r="B1164" s="9">
        <v>0</v>
      </c>
    </row>
    <row r="1165" spans="1:2" x14ac:dyDescent="0.25">
      <c r="A1165" t="s">
        <v>1792</v>
      </c>
      <c r="B1165" s="9">
        <v>0</v>
      </c>
    </row>
    <row r="1166" spans="1:2" x14ac:dyDescent="0.25">
      <c r="A1166" t="s">
        <v>1793</v>
      </c>
      <c r="B1166" s="9">
        <v>0</v>
      </c>
    </row>
    <row r="1167" spans="1:2" x14ac:dyDescent="0.25">
      <c r="A1167" t="s">
        <v>1794</v>
      </c>
      <c r="B1167" s="9">
        <v>0</v>
      </c>
    </row>
    <row r="1168" spans="1:2" x14ac:dyDescent="0.25">
      <c r="A1168" t="s">
        <v>1795</v>
      </c>
      <c r="B1168" s="9">
        <v>0</v>
      </c>
    </row>
    <row r="1169" spans="1:2" x14ac:dyDescent="0.25">
      <c r="A1169" t="s">
        <v>1796</v>
      </c>
      <c r="B1169" s="9">
        <v>0</v>
      </c>
    </row>
    <row r="1170" spans="1:2" x14ac:dyDescent="0.25">
      <c r="A1170" t="s">
        <v>1797</v>
      </c>
      <c r="B1170" s="9">
        <v>0</v>
      </c>
    </row>
    <row r="1171" spans="1:2" x14ac:dyDescent="0.25">
      <c r="A1171" t="s">
        <v>1798</v>
      </c>
      <c r="B1171" s="9">
        <v>0</v>
      </c>
    </row>
    <row r="1172" spans="1:2" x14ac:dyDescent="0.25">
      <c r="A1172" t="s">
        <v>1799</v>
      </c>
      <c r="B1172" s="9">
        <v>0</v>
      </c>
    </row>
    <row r="1173" spans="1:2" x14ac:dyDescent="0.25">
      <c r="A1173" t="s">
        <v>1800</v>
      </c>
      <c r="B1173" s="9">
        <v>0</v>
      </c>
    </row>
    <row r="1174" spans="1:2" x14ac:dyDescent="0.25">
      <c r="A1174" t="s">
        <v>1801</v>
      </c>
      <c r="B1174" s="9">
        <v>0</v>
      </c>
    </row>
    <row r="1175" spans="1:2" x14ac:dyDescent="0.25">
      <c r="A1175" t="s">
        <v>1802</v>
      </c>
      <c r="B1175" s="9">
        <v>0</v>
      </c>
    </row>
    <row r="1176" spans="1:2" x14ac:dyDescent="0.25">
      <c r="A1176" t="s">
        <v>1803</v>
      </c>
      <c r="B1176" s="9">
        <v>0</v>
      </c>
    </row>
    <row r="1177" spans="1:2" x14ac:dyDescent="0.25">
      <c r="A1177" t="s">
        <v>1804</v>
      </c>
      <c r="B1177" s="9">
        <v>0</v>
      </c>
    </row>
    <row r="1178" spans="1:2" x14ac:dyDescent="0.25">
      <c r="A1178" t="s">
        <v>1805</v>
      </c>
      <c r="B1178" s="9">
        <v>0</v>
      </c>
    </row>
    <row r="1179" spans="1:2" x14ac:dyDescent="0.25">
      <c r="A1179" t="s">
        <v>1806</v>
      </c>
      <c r="B1179" s="9">
        <v>0</v>
      </c>
    </row>
    <row r="1180" spans="1:2" x14ac:dyDescent="0.25">
      <c r="A1180" t="s">
        <v>1807</v>
      </c>
      <c r="B1180" s="9">
        <v>0</v>
      </c>
    </row>
    <row r="1181" spans="1:2" x14ac:dyDescent="0.25">
      <c r="A1181" t="s">
        <v>1808</v>
      </c>
      <c r="B1181" s="9">
        <v>0</v>
      </c>
    </row>
    <row r="1182" spans="1:2" x14ac:dyDescent="0.25">
      <c r="A1182" t="s">
        <v>1809</v>
      </c>
      <c r="B1182" s="9">
        <v>0</v>
      </c>
    </row>
    <row r="1183" spans="1:2" x14ac:dyDescent="0.25">
      <c r="A1183" t="s">
        <v>1810</v>
      </c>
      <c r="B1183" s="9">
        <v>0</v>
      </c>
    </row>
    <row r="1184" spans="1:2" x14ac:dyDescent="0.25">
      <c r="A1184" t="s">
        <v>1811</v>
      </c>
      <c r="B1184" s="9">
        <v>0</v>
      </c>
    </row>
    <row r="1185" spans="1:2" x14ac:dyDescent="0.25">
      <c r="A1185" t="s">
        <v>1812</v>
      </c>
      <c r="B1185" s="9">
        <v>0</v>
      </c>
    </row>
    <row r="1186" spans="1:2" x14ac:dyDescent="0.25">
      <c r="A1186" t="s">
        <v>1813</v>
      </c>
      <c r="B1186" s="9">
        <v>0</v>
      </c>
    </row>
    <row r="1187" spans="1:2" x14ac:dyDescent="0.25">
      <c r="A1187" t="s">
        <v>1814</v>
      </c>
      <c r="B1187" s="9">
        <v>0</v>
      </c>
    </row>
    <row r="1188" spans="1:2" x14ac:dyDescent="0.25">
      <c r="A1188" t="s">
        <v>1815</v>
      </c>
      <c r="B1188" s="9">
        <v>0</v>
      </c>
    </row>
    <row r="1189" spans="1:2" x14ac:dyDescent="0.25">
      <c r="A1189" t="s">
        <v>1816</v>
      </c>
      <c r="B1189" s="9">
        <v>0</v>
      </c>
    </row>
    <row r="1190" spans="1:2" x14ac:dyDescent="0.25">
      <c r="A1190" t="s">
        <v>1817</v>
      </c>
      <c r="B1190" s="9">
        <v>0</v>
      </c>
    </row>
    <row r="1191" spans="1:2" x14ac:dyDescent="0.25">
      <c r="A1191" t="s">
        <v>1818</v>
      </c>
      <c r="B1191" s="9">
        <v>0</v>
      </c>
    </row>
    <row r="1192" spans="1:2" x14ac:dyDescent="0.25">
      <c r="A1192" t="s">
        <v>1819</v>
      </c>
      <c r="B1192" s="9">
        <v>0</v>
      </c>
    </row>
    <row r="1193" spans="1:2" x14ac:dyDescent="0.25">
      <c r="A1193" t="s">
        <v>1820</v>
      </c>
      <c r="B1193" s="9">
        <v>0</v>
      </c>
    </row>
    <row r="1194" spans="1:2" x14ac:dyDescent="0.25">
      <c r="A1194" t="s">
        <v>1821</v>
      </c>
      <c r="B1194" s="9">
        <v>0</v>
      </c>
    </row>
    <row r="1195" spans="1:2" x14ac:dyDescent="0.25">
      <c r="A1195" t="s">
        <v>1822</v>
      </c>
      <c r="B1195" s="9">
        <v>0</v>
      </c>
    </row>
    <row r="1196" spans="1:2" x14ac:dyDescent="0.25">
      <c r="A1196" t="s">
        <v>1823</v>
      </c>
      <c r="B1196" s="9">
        <v>0</v>
      </c>
    </row>
    <row r="1197" spans="1:2" x14ac:dyDescent="0.25">
      <c r="A1197" t="s">
        <v>1824</v>
      </c>
      <c r="B1197" s="9">
        <v>0</v>
      </c>
    </row>
    <row r="1198" spans="1:2" x14ac:dyDescent="0.25">
      <c r="A1198" t="s">
        <v>1825</v>
      </c>
      <c r="B1198" s="9">
        <v>0</v>
      </c>
    </row>
    <row r="1199" spans="1:2" x14ac:dyDescent="0.25">
      <c r="A1199" t="s">
        <v>1826</v>
      </c>
      <c r="B1199" s="9">
        <v>0</v>
      </c>
    </row>
    <row r="1200" spans="1:2" x14ac:dyDescent="0.25">
      <c r="A1200" t="s">
        <v>1827</v>
      </c>
      <c r="B1200" s="9">
        <v>0</v>
      </c>
    </row>
    <row r="1201" spans="1:2" x14ac:dyDescent="0.25">
      <c r="A1201" t="s">
        <v>1828</v>
      </c>
      <c r="B1201" s="9">
        <v>0</v>
      </c>
    </row>
    <row r="1202" spans="1:2" x14ac:dyDescent="0.25">
      <c r="A1202" t="s">
        <v>1829</v>
      </c>
      <c r="B1202" s="9">
        <v>0</v>
      </c>
    </row>
    <row r="1203" spans="1:2" x14ac:dyDescent="0.25">
      <c r="A1203" t="s">
        <v>1830</v>
      </c>
      <c r="B1203" s="9">
        <v>0</v>
      </c>
    </row>
    <row r="1204" spans="1:2" x14ac:dyDescent="0.25">
      <c r="A1204" t="s">
        <v>1831</v>
      </c>
      <c r="B1204" s="9">
        <v>0.05</v>
      </c>
    </row>
    <row r="1205" spans="1:2" x14ac:dyDescent="0.25">
      <c r="A1205" t="s">
        <v>1832</v>
      </c>
      <c r="B1205" s="9">
        <v>0</v>
      </c>
    </row>
    <row r="1206" spans="1:2" x14ac:dyDescent="0.25">
      <c r="A1206" t="s">
        <v>1833</v>
      </c>
      <c r="B1206" s="9">
        <v>0</v>
      </c>
    </row>
    <row r="1207" spans="1:2" x14ac:dyDescent="0.25">
      <c r="A1207" t="s">
        <v>1834</v>
      </c>
      <c r="B1207" s="9">
        <v>0</v>
      </c>
    </row>
    <row r="1208" spans="1:2" x14ac:dyDescent="0.25">
      <c r="A1208" t="s">
        <v>1835</v>
      </c>
      <c r="B1208" s="9">
        <v>0</v>
      </c>
    </row>
    <row r="1209" spans="1:2" x14ac:dyDescent="0.25">
      <c r="A1209" t="s">
        <v>1836</v>
      </c>
      <c r="B1209" s="9">
        <v>0</v>
      </c>
    </row>
    <row r="1210" spans="1:2" x14ac:dyDescent="0.25">
      <c r="A1210" t="s">
        <v>1837</v>
      </c>
      <c r="B1210" s="9">
        <v>0</v>
      </c>
    </row>
    <row r="1211" spans="1:2" x14ac:dyDescent="0.25">
      <c r="A1211" t="s">
        <v>1838</v>
      </c>
      <c r="B1211" s="9">
        <v>0</v>
      </c>
    </row>
    <row r="1212" spans="1:2" x14ac:dyDescent="0.25">
      <c r="A1212" t="s">
        <v>1839</v>
      </c>
      <c r="B1212" s="9">
        <v>0</v>
      </c>
    </row>
    <row r="1213" spans="1:2" x14ac:dyDescent="0.25">
      <c r="A1213" t="s">
        <v>1840</v>
      </c>
      <c r="B1213" s="9">
        <v>0</v>
      </c>
    </row>
    <row r="1214" spans="1:2" x14ac:dyDescent="0.25">
      <c r="A1214" t="s">
        <v>1841</v>
      </c>
      <c r="B1214" s="9">
        <v>0</v>
      </c>
    </row>
    <row r="1215" spans="1:2" x14ac:dyDescent="0.25">
      <c r="A1215" t="s">
        <v>1842</v>
      </c>
      <c r="B1215" s="9">
        <v>0</v>
      </c>
    </row>
    <row r="1216" spans="1:2" x14ac:dyDescent="0.25">
      <c r="A1216" t="s">
        <v>1843</v>
      </c>
      <c r="B1216" s="9">
        <v>0</v>
      </c>
    </row>
    <row r="1217" spans="1:2" x14ac:dyDescent="0.25">
      <c r="A1217" t="s">
        <v>1844</v>
      </c>
      <c r="B1217" s="9">
        <v>0</v>
      </c>
    </row>
    <row r="1218" spans="1:2" x14ac:dyDescent="0.25">
      <c r="A1218" t="s">
        <v>1845</v>
      </c>
      <c r="B1218" s="9">
        <v>0</v>
      </c>
    </row>
    <row r="1219" spans="1:2" x14ac:dyDescent="0.25">
      <c r="A1219" t="s">
        <v>1846</v>
      </c>
      <c r="B1219" s="9">
        <v>0</v>
      </c>
    </row>
    <row r="1220" spans="1:2" x14ac:dyDescent="0.25">
      <c r="A1220" t="s">
        <v>1847</v>
      </c>
      <c r="B1220" s="9">
        <v>0</v>
      </c>
    </row>
    <row r="1221" spans="1:2" x14ac:dyDescent="0.25">
      <c r="A1221" t="s">
        <v>1848</v>
      </c>
      <c r="B1221" s="9">
        <v>0</v>
      </c>
    </row>
    <row r="1222" spans="1:2" x14ac:dyDescent="0.25">
      <c r="A1222" t="s">
        <v>1849</v>
      </c>
      <c r="B1222" s="9">
        <v>0</v>
      </c>
    </row>
    <row r="1223" spans="1:2" x14ac:dyDescent="0.25">
      <c r="A1223" t="s">
        <v>1850</v>
      </c>
      <c r="B1223" s="9">
        <v>0</v>
      </c>
    </row>
    <row r="1224" spans="1:2" x14ac:dyDescent="0.25">
      <c r="A1224" t="s">
        <v>1851</v>
      </c>
      <c r="B1224" s="9">
        <v>0</v>
      </c>
    </row>
    <row r="1225" spans="1:2" x14ac:dyDescent="0.25">
      <c r="A1225" t="s">
        <v>1852</v>
      </c>
      <c r="B1225" s="9">
        <v>0</v>
      </c>
    </row>
    <row r="1226" spans="1:2" x14ac:dyDescent="0.25">
      <c r="A1226" t="s">
        <v>1853</v>
      </c>
      <c r="B1226" s="9">
        <v>0</v>
      </c>
    </row>
    <row r="1227" spans="1:2" x14ac:dyDescent="0.25">
      <c r="A1227" t="s">
        <v>1854</v>
      </c>
      <c r="B1227" s="9">
        <v>0</v>
      </c>
    </row>
    <row r="1228" spans="1:2" x14ac:dyDescent="0.25">
      <c r="A1228" t="s">
        <v>1855</v>
      </c>
      <c r="B1228" s="9">
        <v>0</v>
      </c>
    </row>
    <row r="1229" spans="1:2" x14ac:dyDescent="0.25">
      <c r="A1229" t="s">
        <v>1856</v>
      </c>
      <c r="B1229" s="9">
        <v>0</v>
      </c>
    </row>
    <row r="1230" spans="1:2" x14ac:dyDescent="0.25">
      <c r="A1230" t="s">
        <v>1857</v>
      </c>
      <c r="B1230" s="9">
        <v>0</v>
      </c>
    </row>
    <row r="1231" spans="1:2" x14ac:dyDescent="0.25">
      <c r="A1231" t="s">
        <v>1858</v>
      </c>
      <c r="B1231" s="9">
        <v>0</v>
      </c>
    </row>
    <row r="1232" spans="1:2" x14ac:dyDescent="0.25">
      <c r="A1232" t="s">
        <v>1859</v>
      </c>
      <c r="B1232" s="9">
        <v>0</v>
      </c>
    </row>
    <row r="1233" spans="1:2" x14ac:dyDescent="0.25">
      <c r="A1233" t="s">
        <v>1860</v>
      </c>
      <c r="B1233" s="9">
        <v>0</v>
      </c>
    </row>
    <row r="1234" spans="1:2" x14ac:dyDescent="0.25">
      <c r="A1234" t="s">
        <v>1861</v>
      </c>
      <c r="B1234" s="9">
        <v>0</v>
      </c>
    </row>
    <row r="1235" spans="1:2" x14ac:dyDescent="0.25">
      <c r="A1235" t="s">
        <v>1862</v>
      </c>
      <c r="B1235" s="9">
        <v>0</v>
      </c>
    </row>
    <row r="1236" spans="1:2" x14ac:dyDescent="0.25">
      <c r="A1236" t="s">
        <v>1863</v>
      </c>
      <c r="B1236" s="9">
        <v>0</v>
      </c>
    </row>
    <row r="1237" spans="1:2" x14ac:dyDescent="0.25">
      <c r="A1237" t="s">
        <v>1864</v>
      </c>
      <c r="B1237" s="9">
        <v>0</v>
      </c>
    </row>
    <row r="1238" spans="1:2" x14ac:dyDescent="0.25">
      <c r="A1238" t="s">
        <v>1865</v>
      </c>
      <c r="B1238" s="9">
        <v>0</v>
      </c>
    </row>
    <row r="1239" spans="1:2" x14ac:dyDescent="0.25">
      <c r="A1239" t="s">
        <v>1866</v>
      </c>
      <c r="B1239" s="9">
        <v>0</v>
      </c>
    </row>
    <row r="1240" spans="1:2" x14ac:dyDescent="0.25">
      <c r="A1240" t="s">
        <v>1867</v>
      </c>
      <c r="B1240" s="9">
        <v>0</v>
      </c>
    </row>
    <row r="1241" spans="1:2" x14ac:dyDescent="0.25">
      <c r="A1241" t="s">
        <v>1868</v>
      </c>
      <c r="B1241" s="9">
        <v>0</v>
      </c>
    </row>
    <row r="1242" spans="1:2" x14ac:dyDescent="0.25">
      <c r="A1242" t="s">
        <v>1869</v>
      </c>
      <c r="B1242" s="9">
        <v>0</v>
      </c>
    </row>
    <row r="1243" spans="1:2" x14ac:dyDescent="0.25">
      <c r="A1243" t="s">
        <v>1870</v>
      </c>
      <c r="B1243" s="9">
        <v>0</v>
      </c>
    </row>
    <row r="1244" spans="1:2" x14ac:dyDescent="0.25">
      <c r="A1244" t="s">
        <v>1871</v>
      </c>
      <c r="B1244" s="9">
        <v>0</v>
      </c>
    </row>
    <row r="1245" spans="1:2" x14ac:dyDescent="0.25">
      <c r="A1245" t="s">
        <v>1872</v>
      </c>
      <c r="B1245" s="9">
        <v>0</v>
      </c>
    </row>
    <row r="1246" spans="1:2" x14ac:dyDescent="0.25">
      <c r="A1246" t="s">
        <v>1873</v>
      </c>
      <c r="B1246" s="9">
        <v>0</v>
      </c>
    </row>
    <row r="1247" spans="1:2" x14ac:dyDescent="0.25">
      <c r="A1247" t="s">
        <v>1874</v>
      </c>
      <c r="B1247" s="9">
        <v>0</v>
      </c>
    </row>
    <row r="1248" spans="1:2" x14ac:dyDescent="0.25">
      <c r="A1248" t="s">
        <v>1875</v>
      </c>
      <c r="B1248" s="9">
        <v>0</v>
      </c>
    </row>
    <row r="1249" spans="1:2" x14ac:dyDescent="0.25">
      <c r="A1249" t="s">
        <v>1876</v>
      </c>
      <c r="B1249" s="9">
        <v>0</v>
      </c>
    </row>
    <row r="1250" spans="1:2" x14ac:dyDescent="0.25">
      <c r="A1250" t="s">
        <v>1877</v>
      </c>
      <c r="B1250" s="9">
        <v>0</v>
      </c>
    </row>
    <row r="1251" spans="1:2" x14ac:dyDescent="0.25">
      <c r="A1251" t="s">
        <v>1878</v>
      </c>
      <c r="B1251" s="9">
        <v>0</v>
      </c>
    </row>
    <row r="1252" spans="1:2" x14ac:dyDescent="0.25">
      <c r="A1252" t="s">
        <v>1879</v>
      </c>
      <c r="B1252" s="9">
        <v>0</v>
      </c>
    </row>
    <row r="1253" spans="1:2" x14ac:dyDescent="0.25">
      <c r="A1253" t="s">
        <v>1880</v>
      </c>
      <c r="B1253" s="9">
        <v>0</v>
      </c>
    </row>
    <row r="1254" spans="1:2" x14ac:dyDescent="0.25">
      <c r="A1254" t="s">
        <v>1881</v>
      </c>
      <c r="B1254" s="9">
        <v>0</v>
      </c>
    </row>
    <row r="1255" spans="1:2" x14ac:dyDescent="0.25">
      <c r="A1255" t="s">
        <v>1882</v>
      </c>
      <c r="B1255" s="9">
        <v>0</v>
      </c>
    </row>
    <row r="1256" spans="1:2" x14ac:dyDescent="0.25">
      <c r="A1256" t="s">
        <v>1883</v>
      </c>
      <c r="B1256" s="9">
        <v>0</v>
      </c>
    </row>
    <row r="1257" spans="1:2" x14ac:dyDescent="0.25">
      <c r="A1257" t="s">
        <v>1884</v>
      </c>
      <c r="B1257" s="9">
        <v>0</v>
      </c>
    </row>
    <row r="1258" spans="1:2" x14ac:dyDescent="0.25">
      <c r="A1258" t="s">
        <v>1885</v>
      </c>
      <c r="B1258" s="9">
        <v>0</v>
      </c>
    </row>
    <row r="1259" spans="1:2" x14ac:dyDescent="0.25">
      <c r="A1259" t="s">
        <v>1886</v>
      </c>
      <c r="B1259" s="9">
        <v>0</v>
      </c>
    </row>
    <row r="1260" spans="1:2" x14ac:dyDescent="0.25">
      <c r="A1260" t="s">
        <v>1887</v>
      </c>
      <c r="B1260" s="9">
        <v>0</v>
      </c>
    </row>
    <row r="1261" spans="1:2" x14ac:dyDescent="0.25">
      <c r="A1261" t="s">
        <v>1888</v>
      </c>
      <c r="B1261" s="9">
        <v>0</v>
      </c>
    </row>
    <row r="1262" spans="1:2" x14ac:dyDescent="0.25">
      <c r="A1262" t="s">
        <v>1889</v>
      </c>
      <c r="B1262" s="9">
        <v>0</v>
      </c>
    </row>
    <row r="1263" spans="1:2" x14ac:dyDescent="0.25">
      <c r="A1263" t="s">
        <v>1890</v>
      </c>
      <c r="B1263" s="9">
        <v>0</v>
      </c>
    </row>
    <row r="1264" spans="1:2" x14ac:dyDescent="0.25">
      <c r="A1264" t="s">
        <v>1891</v>
      </c>
      <c r="B1264" s="9">
        <v>0</v>
      </c>
    </row>
    <row r="1265" spans="1:2" x14ac:dyDescent="0.25">
      <c r="A1265" t="s">
        <v>1892</v>
      </c>
      <c r="B1265" s="9">
        <v>0</v>
      </c>
    </row>
    <row r="1266" spans="1:2" x14ac:dyDescent="0.25">
      <c r="A1266" t="s">
        <v>1893</v>
      </c>
      <c r="B1266" s="9">
        <v>0</v>
      </c>
    </row>
    <row r="1267" spans="1:2" x14ac:dyDescent="0.25">
      <c r="A1267" t="s">
        <v>1894</v>
      </c>
      <c r="B1267" s="9">
        <v>0</v>
      </c>
    </row>
    <row r="1268" spans="1:2" x14ac:dyDescent="0.25">
      <c r="A1268" t="s">
        <v>1895</v>
      </c>
      <c r="B1268" s="9">
        <v>0</v>
      </c>
    </row>
    <row r="1269" spans="1:2" x14ac:dyDescent="0.25">
      <c r="A1269" t="s">
        <v>1896</v>
      </c>
      <c r="B1269" s="9">
        <v>0</v>
      </c>
    </row>
    <row r="1270" spans="1:2" x14ac:dyDescent="0.25">
      <c r="A1270" t="s">
        <v>1897</v>
      </c>
      <c r="B1270" s="9">
        <v>0</v>
      </c>
    </row>
    <row r="1271" spans="1:2" x14ac:dyDescent="0.25">
      <c r="A1271" t="s">
        <v>1898</v>
      </c>
      <c r="B1271" s="9">
        <v>0</v>
      </c>
    </row>
    <row r="1272" spans="1:2" x14ac:dyDescent="0.25">
      <c r="A1272" t="s">
        <v>1899</v>
      </c>
      <c r="B1272" s="9">
        <v>0</v>
      </c>
    </row>
    <row r="1273" spans="1:2" x14ac:dyDescent="0.25">
      <c r="A1273" t="s">
        <v>1900</v>
      </c>
      <c r="B1273" s="9">
        <v>0</v>
      </c>
    </row>
    <row r="1274" spans="1:2" x14ac:dyDescent="0.25">
      <c r="A1274" t="s">
        <v>1901</v>
      </c>
      <c r="B1274" s="9">
        <v>0</v>
      </c>
    </row>
    <row r="1275" spans="1:2" x14ac:dyDescent="0.25">
      <c r="A1275" t="s">
        <v>1902</v>
      </c>
      <c r="B1275" s="9">
        <v>0</v>
      </c>
    </row>
    <row r="1276" spans="1:2" x14ac:dyDescent="0.25">
      <c r="A1276" t="s">
        <v>1903</v>
      </c>
      <c r="B1276" s="9">
        <v>0</v>
      </c>
    </row>
    <row r="1277" spans="1:2" x14ac:dyDescent="0.25">
      <c r="A1277" t="s">
        <v>1904</v>
      </c>
      <c r="B1277" s="9">
        <v>0</v>
      </c>
    </row>
    <row r="1278" spans="1:2" x14ac:dyDescent="0.25">
      <c r="A1278" t="s">
        <v>1905</v>
      </c>
      <c r="B1278" s="9">
        <v>0</v>
      </c>
    </row>
    <row r="1279" spans="1:2" x14ac:dyDescent="0.25">
      <c r="A1279" t="s">
        <v>1906</v>
      </c>
      <c r="B1279" s="9">
        <v>0</v>
      </c>
    </row>
    <row r="1280" spans="1:2" x14ac:dyDescent="0.25">
      <c r="A1280" t="s">
        <v>1907</v>
      </c>
      <c r="B1280" s="9">
        <v>0</v>
      </c>
    </row>
    <row r="1281" spans="1:2" x14ac:dyDescent="0.25">
      <c r="A1281" t="s">
        <v>1908</v>
      </c>
      <c r="B1281" s="9">
        <v>0</v>
      </c>
    </row>
    <row r="1282" spans="1:2" x14ac:dyDescent="0.25">
      <c r="A1282" t="s">
        <v>1909</v>
      </c>
      <c r="B1282" s="9">
        <v>0</v>
      </c>
    </row>
    <row r="1283" spans="1:2" x14ac:dyDescent="0.25">
      <c r="A1283" t="s">
        <v>1910</v>
      </c>
      <c r="B1283" s="9">
        <v>0</v>
      </c>
    </row>
    <row r="1284" spans="1:2" x14ac:dyDescent="0.25">
      <c r="A1284" t="s">
        <v>1911</v>
      </c>
      <c r="B1284" s="9">
        <v>0</v>
      </c>
    </row>
    <row r="1285" spans="1:2" x14ac:dyDescent="0.25">
      <c r="A1285" t="s">
        <v>1912</v>
      </c>
      <c r="B1285" s="9">
        <v>0</v>
      </c>
    </row>
    <row r="1286" spans="1:2" x14ac:dyDescent="0.25">
      <c r="A1286" t="s">
        <v>1913</v>
      </c>
      <c r="B1286" s="9">
        <v>0</v>
      </c>
    </row>
    <row r="1287" spans="1:2" x14ac:dyDescent="0.25">
      <c r="A1287" t="s">
        <v>1914</v>
      </c>
      <c r="B1287" s="9">
        <v>0</v>
      </c>
    </row>
    <row r="1288" spans="1:2" x14ac:dyDescent="0.25">
      <c r="A1288" t="s">
        <v>1915</v>
      </c>
      <c r="B1288" s="9">
        <v>0</v>
      </c>
    </row>
    <row r="1289" spans="1:2" x14ac:dyDescent="0.25">
      <c r="A1289" t="s">
        <v>1916</v>
      </c>
      <c r="B1289" s="9">
        <v>0</v>
      </c>
    </row>
    <row r="1290" spans="1:2" x14ac:dyDescent="0.25">
      <c r="A1290" t="s">
        <v>1917</v>
      </c>
      <c r="B1290" s="9">
        <v>0</v>
      </c>
    </row>
    <row r="1291" spans="1:2" x14ac:dyDescent="0.25">
      <c r="A1291" t="s">
        <v>1918</v>
      </c>
      <c r="B1291" s="9">
        <v>0</v>
      </c>
    </row>
    <row r="1292" spans="1:2" x14ac:dyDescent="0.25">
      <c r="A1292" t="s">
        <v>1919</v>
      </c>
      <c r="B1292" s="9">
        <v>0</v>
      </c>
    </row>
    <row r="1293" spans="1:2" x14ac:dyDescent="0.25">
      <c r="A1293" t="s">
        <v>1920</v>
      </c>
      <c r="B1293" s="9">
        <v>0</v>
      </c>
    </row>
    <row r="1294" spans="1:2" x14ac:dyDescent="0.25">
      <c r="A1294" t="s">
        <v>1921</v>
      </c>
      <c r="B1294" s="9">
        <v>0</v>
      </c>
    </row>
    <row r="1295" spans="1:2" x14ac:dyDescent="0.25">
      <c r="A1295" t="s">
        <v>1922</v>
      </c>
      <c r="B1295" s="9">
        <v>0</v>
      </c>
    </row>
    <row r="1296" spans="1:2" x14ac:dyDescent="0.25">
      <c r="A1296" t="s">
        <v>1923</v>
      </c>
      <c r="B1296" s="9">
        <v>0</v>
      </c>
    </row>
    <row r="1297" spans="1:2" x14ac:dyDescent="0.25">
      <c r="A1297" t="s">
        <v>1924</v>
      </c>
      <c r="B1297" s="9">
        <v>0</v>
      </c>
    </row>
    <row r="1298" spans="1:2" x14ac:dyDescent="0.25">
      <c r="A1298" t="s">
        <v>1925</v>
      </c>
      <c r="B1298" s="9">
        <v>0</v>
      </c>
    </row>
    <row r="1299" spans="1:2" x14ac:dyDescent="0.25">
      <c r="A1299" t="s">
        <v>1926</v>
      </c>
      <c r="B1299" s="9">
        <v>0</v>
      </c>
    </row>
    <row r="1300" spans="1:2" x14ac:dyDescent="0.25">
      <c r="A1300" t="s">
        <v>1927</v>
      </c>
      <c r="B1300" s="9">
        <v>0</v>
      </c>
    </row>
    <row r="1301" spans="1:2" x14ac:dyDescent="0.25">
      <c r="A1301" t="s">
        <v>1928</v>
      </c>
      <c r="B1301" s="9">
        <v>0</v>
      </c>
    </row>
    <row r="1302" spans="1:2" x14ac:dyDescent="0.25">
      <c r="A1302" t="s">
        <v>1929</v>
      </c>
      <c r="B1302" s="9">
        <v>0</v>
      </c>
    </row>
    <row r="1303" spans="1:2" x14ac:dyDescent="0.25">
      <c r="A1303" t="s">
        <v>1930</v>
      </c>
      <c r="B1303" s="9">
        <v>0</v>
      </c>
    </row>
    <row r="1304" spans="1:2" x14ac:dyDescent="0.25">
      <c r="A1304" t="s">
        <v>1931</v>
      </c>
      <c r="B1304" s="9">
        <v>0</v>
      </c>
    </row>
    <row r="1305" spans="1:2" x14ac:dyDescent="0.25">
      <c r="A1305" t="s">
        <v>1932</v>
      </c>
      <c r="B1305" s="9">
        <v>0</v>
      </c>
    </row>
    <row r="1306" spans="1:2" x14ac:dyDescent="0.25">
      <c r="A1306" t="s">
        <v>1933</v>
      </c>
      <c r="B1306" s="9">
        <v>0</v>
      </c>
    </row>
    <row r="1307" spans="1:2" x14ac:dyDescent="0.25">
      <c r="A1307" t="s">
        <v>1934</v>
      </c>
      <c r="B1307" s="9">
        <v>0</v>
      </c>
    </row>
    <row r="1308" spans="1:2" x14ac:dyDescent="0.25">
      <c r="A1308" t="s">
        <v>1935</v>
      </c>
      <c r="B1308" s="9">
        <v>0</v>
      </c>
    </row>
    <row r="1309" spans="1:2" x14ac:dyDescent="0.25">
      <c r="A1309" t="s">
        <v>1936</v>
      </c>
      <c r="B1309" s="9">
        <v>0</v>
      </c>
    </row>
    <row r="1310" spans="1:2" x14ac:dyDescent="0.25">
      <c r="A1310" t="s">
        <v>1937</v>
      </c>
      <c r="B1310" s="9">
        <v>0</v>
      </c>
    </row>
    <row r="1311" spans="1:2" x14ac:dyDescent="0.25">
      <c r="A1311" t="s">
        <v>1938</v>
      </c>
      <c r="B1311" s="9">
        <v>0</v>
      </c>
    </row>
    <row r="1312" spans="1:2" x14ac:dyDescent="0.25">
      <c r="A1312" t="s">
        <v>1939</v>
      </c>
      <c r="B1312" s="9">
        <v>0</v>
      </c>
    </row>
    <row r="1313" spans="1:2" x14ac:dyDescent="0.25">
      <c r="A1313" t="s">
        <v>1940</v>
      </c>
      <c r="B1313" s="9">
        <v>0</v>
      </c>
    </row>
    <row r="1314" spans="1:2" x14ac:dyDescent="0.25">
      <c r="A1314" t="s">
        <v>1941</v>
      </c>
      <c r="B1314" s="9">
        <v>0.05</v>
      </c>
    </row>
    <row r="1315" spans="1:2" x14ac:dyDescent="0.25">
      <c r="A1315" t="s">
        <v>1942</v>
      </c>
      <c r="B1315" s="9">
        <v>0.05</v>
      </c>
    </row>
    <row r="1316" spans="1:2" x14ac:dyDescent="0.25">
      <c r="A1316" t="s">
        <v>1943</v>
      </c>
      <c r="B1316" s="9">
        <v>0</v>
      </c>
    </row>
    <row r="1317" spans="1:2" x14ac:dyDescent="0.25">
      <c r="A1317" t="s">
        <v>1944</v>
      </c>
      <c r="B1317" s="9">
        <v>0</v>
      </c>
    </row>
    <row r="1318" spans="1:2" x14ac:dyDescent="0.25">
      <c r="A1318" t="s">
        <v>1945</v>
      </c>
      <c r="B1318" s="9">
        <v>0.04</v>
      </c>
    </row>
    <row r="1319" spans="1:2" x14ac:dyDescent="0.25">
      <c r="A1319" t="s">
        <v>1946</v>
      </c>
      <c r="B1319" s="9">
        <v>0.08</v>
      </c>
    </row>
    <row r="1320" spans="1:2" x14ac:dyDescent="0.25">
      <c r="A1320" t="s">
        <v>1947</v>
      </c>
      <c r="B1320" s="9">
        <v>0</v>
      </c>
    </row>
    <row r="1321" spans="1:2" x14ac:dyDescent="0.25">
      <c r="A1321" t="s">
        <v>1948</v>
      </c>
      <c r="B1321" s="9">
        <v>0</v>
      </c>
    </row>
    <row r="1322" spans="1:2" x14ac:dyDescent="0.25">
      <c r="A1322" t="s">
        <v>1949</v>
      </c>
      <c r="B1322" s="9">
        <v>0</v>
      </c>
    </row>
    <row r="1323" spans="1:2" x14ac:dyDescent="0.25">
      <c r="A1323" t="s">
        <v>1950</v>
      </c>
      <c r="B1323" s="9">
        <v>0</v>
      </c>
    </row>
    <row r="1324" spans="1:2" x14ac:dyDescent="0.25">
      <c r="A1324" t="s">
        <v>1951</v>
      </c>
      <c r="B1324" s="9">
        <v>0</v>
      </c>
    </row>
    <row r="1325" spans="1:2" x14ac:dyDescent="0.25">
      <c r="A1325" t="s">
        <v>1952</v>
      </c>
      <c r="B1325" s="9">
        <v>0</v>
      </c>
    </row>
    <row r="1326" spans="1:2" x14ac:dyDescent="0.25">
      <c r="A1326" t="s">
        <v>1953</v>
      </c>
      <c r="B1326" s="9">
        <v>0</v>
      </c>
    </row>
    <row r="1327" spans="1:2" x14ac:dyDescent="0.25">
      <c r="A1327" t="s">
        <v>1954</v>
      </c>
      <c r="B1327" s="9">
        <v>0.04</v>
      </c>
    </row>
    <row r="1328" spans="1:2" x14ac:dyDescent="0.25">
      <c r="A1328" t="s">
        <v>1955</v>
      </c>
      <c r="B1328" s="9">
        <v>0</v>
      </c>
    </row>
    <row r="1329" spans="1:2" x14ac:dyDescent="0.25">
      <c r="A1329" t="s">
        <v>1956</v>
      </c>
      <c r="B1329" s="9">
        <v>0</v>
      </c>
    </row>
    <row r="1330" spans="1:2" x14ac:dyDescent="0.25">
      <c r="A1330" t="s">
        <v>1957</v>
      </c>
      <c r="B1330" s="9">
        <v>0</v>
      </c>
    </row>
    <row r="1331" spans="1:2" x14ac:dyDescent="0.25">
      <c r="A1331" t="s">
        <v>1958</v>
      </c>
      <c r="B1331" s="9">
        <v>0.04</v>
      </c>
    </row>
    <row r="1332" spans="1:2" x14ac:dyDescent="0.25">
      <c r="A1332" t="s">
        <v>1959</v>
      </c>
      <c r="B1332" s="9">
        <v>0.04</v>
      </c>
    </row>
    <row r="1333" spans="1:2" x14ac:dyDescent="0.25">
      <c r="A1333" t="s">
        <v>1960</v>
      </c>
      <c r="B1333" s="9">
        <v>0.06</v>
      </c>
    </row>
    <row r="1334" spans="1:2" x14ac:dyDescent="0.25">
      <c r="A1334" t="s">
        <v>1961</v>
      </c>
      <c r="B1334" s="9">
        <v>0.04</v>
      </c>
    </row>
    <row r="1335" spans="1:2" x14ac:dyDescent="0.25">
      <c r="A1335" t="s">
        <v>1962</v>
      </c>
      <c r="B1335" s="9">
        <v>0</v>
      </c>
    </row>
    <row r="1336" spans="1:2" x14ac:dyDescent="0.25">
      <c r="A1336" t="s">
        <v>1963</v>
      </c>
      <c r="B1336" s="9">
        <v>0</v>
      </c>
    </row>
    <row r="1337" spans="1:2" x14ac:dyDescent="0.25">
      <c r="A1337" t="s">
        <v>1964</v>
      </c>
      <c r="B1337" s="9">
        <v>0.04</v>
      </c>
    </row>
    <row r="1338" spans="1:2" x14ac:dyDescent="0.25">
      <c r="A1338" t="s">
        <v>1965</v>
      </c>
      <c r="B1338" s="9">
        <v>0.04</v>
      </c>
    </row>
    <row r="1339" spans="1:2" x14ac:dyDescent="0.25">
      <c r="A1339" t="s">
        <v>1966</v>
      </c>
      <c r="B1339" s="9">
        <v>0.06</v>
      </c>
    </row>
    <row r="1340" spans="1:2" x14ac:dyDescent="0.25">
      <c r="A1340" t="s">
        <v>1967</v>
      </c>
      <c r="B1340" s="9">
        <v>0.06</v>
      </c>
    </row>
    <row r="1341" spans="1:2" x14ac:dyDescent="0.25">
      <c r="A1341" t="s">
        <v>1968</v>
      </c>
      <c r="B1341" s="9">
        <v>0.1</v>
      </c>
    </row>
    <row r="1342" spans="1:2" x14ac:dyDescent="0.25">
      <c r="A1342" t="s">
        <v>1969</v>
      </c>
      <c r="B1342" s="9">
        <v>0.1</v>
      </c>
    </row>
    <row r="1343" spans="1:2" x14ac:dyDescent="0.25">
      <c r="A1343" t="s">
        <v>1970</v>
      </c>
      <c r="B1343" s="9">
        <v>0.1</v>
      </c>
    </row>
    <row r="1344" spans="1:2" x14ac:dyDescent="0.25">
      <c r="A1344" t="s">
        <v>1971</v>
      </c>
      <c r="B1344" s="9">
        <v>0.2</v>
      </c>
    </row>
    <row r="1345" spans="1:2" x14ac:dyDescent="0.25">
      <c r="A1345" t="s">
        <v>1972</v>
      </c>
      <c r="B1345" s="9">
        <v>0.1</v>
      </c>
    </row>
    <row r="1346" spans="1:2" x14ac:dyDescent="0.25">
      <c r="A1346" t="s">
        <v>1973</v>
      </c>
      <c r="B1346" s="9">
        <v>0.2</v>
      </c>
    </row>
    <row r="1347" spans="1:2" x14ac:dyDescent="0.25">
      <c r="A1347" t="s">
        <v>1974</v>
      </c>
      <c r="B1347" s="9">
        <v>0.1</v>
      </c>
    </row>
    <row r="1348" spans="1:2" x14ac:dyDescent="0.25">
      <c r="A1348" t="s">
        <v>1975</v>
      </c>
      <c r="B1348" s="9">
        <v>0.2</v>
      </c>
    </row>
    <row r="1349" spans="1:2" x14ac:dyDescent="0.25">
      <c r="A1349" t="s">
        <v>1976</v>
      </c>
      <c r="B1349" s="9">
        <v>0.1</v>
      </c>
    </row>
    <row r="1350" spans="1:2" x14ac:dyDescent="0.25">
      <c r="A1350" t="s">
        <v>1977</v>
      </c>
      <c r="B1350" s="9">
        <v>0.1</v>
      </c>
    </row>
    <row r="1351" spans="1:2" x14ac:dyDescent="0.25">
      <c r="A1351" t="s">
        <v>1978</v>
      </c>
      <c r="B1351" s="9">
        <v>0.2</v>
      </c>
    </row>
    <row r="1352" spans="1:2" x14ac:dyDescent="0.25">
      <c r="A1352" t="s">
        <v>1979</v>
      </c>
      <c r="B1352" s="9">
        <v>0.1</v>
      </c>
    </row>
    <row r="1353" spans="1:2" x14ac:dyDescent="0.25">
      <c r="A1353" t="s">
        <v>1980</v>
      </c>
      <c r="B1353" s="9">
        <v>0.1</v>
      </c>
    </row>
    <row r="1354" spans="1:2" x14ac:dyDescent="0.25">
      <c r="A1354" t="s">
        <v>1981</v>
      </c>
      <c r="B1354" s="9">
        <v>0.15</v>
      </c>
    </row>
    <row r="1355" spans="1:2" x14ac:dyDescent="0.25">
      <c r="A1355" t="s">
        <v>1982</v>
      </c>
      <c r="B1355" s="9">
        <v>0.15</v>
      </c>
    </row>
    <row r="1356" spans="1:2" x14ac:dyDescent="0.25">
      <c r="A1356" t="s">
        <v>1983</v>
      </c>
      <c r="B1356" s="9">
        <v>0.1</v>
      </c>
    </row>
    <row r="1357" spans="1:2" x14ac:dyDescent="0.25">
      <c r="A1357" t="s">
        <v>1984</v>
      </c>
      <c r="B1357" s="9">
        <v>0.1</v>
      </c>
    </row>
    <row r="1358" spans="1:2" x14ac:dyDescent="0.25">
      <c r="A1358" t="s">
        <v>1985</v>
      </c>
      <c r="B1358" s="9">
        <v>0.2</v>
      </c>
    </row>
    <row r="1359" spans="1:2" x14ac:dyDescent="0.25">
      <c r="A1359" t="s">
        <v>1986</v>
      </c>
      <c r="B1359" s="9">
        <v>0</v>
      </c>
    </row>
    <row r="1360" spans="1:2" x14ac:dyDescent="0.25">
      <c r="A1360" t="s">
        <v>1987</v>
      </c>
      <c r="B1360" s="9">
        <v>0</v>
      </c>
    </row>
    <row r="1361" spans="1:2" x14ac:dyDescent="0.25">
      <c r="A1361" t="s">
        <v>1988</v>
      </c>
      <c r="B1361" s="9">
        <v>0.08</v>
      </c>
    </row>
    <row r="1362" spans="1:2" x14ac:dyDescent="0.25">
      <c r="A1362" t="s">
        <v>1989</v>
      </c>
      <c r="B1362" s="9">
        <v>0</v>
      </c>
    </row>
    <row r="1363" spans="1:2" x14ac:dyDescent="0.25">
      <c r="A1363" t="s">
        <v>1990</v>
      </c>
      <c r="B1363" s="9">
        <v>0</v>
      </c>
    </row>
    <row r="1364" spans="1:2" x14ac:dyDescent="0.25">
      <c r="A1364" t="s">
        <v>1991</v>
      </c>
      <c r="B1364" s="9">
        <v>0.08</v>
      </c>
    </row>
    <row r="1365" spans="1:2" x14ac:dyDescent="0.25">
      <c r="A1365" t="s">
        <v>1992</v>
      </c>
      <c r="B1365" s="9">
        <v>0.08</v>
      </c>
    </row>
    <row r="1366" spans="1:2" x14ac:dyDescent="0.25">
      <c r="A1366" t="s">
        <v>1993</v>
      </c>
      <c r="B1366" s="9">
        <v>0</v>
      </c>
    </row>
    <row r="1367" spans="1:2" x14ac:dyDescent="0.25">
      <c r="A1367" t="s">
        <v>1994</v>
      </c>
      <c r="B1367" s="9">
        <v>0.08</v>
      </c>
    </row>
    <row r="1368" spans="1:2" x14ac:dyDescent="0.25">
      <c r="A1368" t="s">
        <v>1995</v>
      </c>
      <c r="B1368" s="9">
        <v>0</v>
      </c>
    </row>
    <row r="1369" spans="1:2" x14ac:dyDescent="0.25">
      <c r="A1369" t="s">
        <v>1996</v>
      </c>
      <c r="B1369" s="9">
        <v>0.08</v>
      </c>
    </row>
    <row r="1370" spans="1:2" x14ac:dyDescent="0.25">
      <c r="A1370" t="s">
        <v>1997</v>
      </c>
      <c r="B1370" s="9">
        <v>0.3</v>
      </c>
    </row>
    <row r="1371" spans="1:2" x14ac:dyDescent="0.25">
      <c r="A1371" t="s">
        <v>1998</v>
      </c>
      <c r="B1371" s="9">
        <v>0.3</v>
      </c>
    </row>
    <row r="1372" spans="1:2" x14ac:dyDescent="0.25">
      <c r="A1372" t="s">
        <v>1999</v>
      </c>
      <c r="B1372" s="9">
        <v>0.3</v>
      </c>
    </row>
    <row r="1373" spans="1:2" x14ac:dyDescent="0.25">
      <c r="A1373" t="s">
        <v>2000</v>
      </c>
      <c r="B1373" s="9">
        <v>0.3</v>
      </c>
    </row>
    <row r="1374" spans="1:2" x14ac:dyDescent="0.25">
      <c r="A1374" t="s">
        <v>2001</v>
      </c>
      <c r="B1374" s="9">
        <v>0.25</v>
      </c>
    </row>
    <row r="1375" spans="1:2" x14ac:dyDescent="0.25">
      <c r="A1375" t="s">
        <v>2002</v>
      </c>
      <c r="B1375" s="9">
        <v>0.3</v>
      </c>
    </row>
    <row r="1376" spans="1:2" x14ac:dyDescent="0.25">
      <c r="A1376" t="s">
        <v>2003</v>
      </c>
      <c r="B1376" s="9">
        <v>0.3</v>
      </c>
    </row>
    <row r="1377" spans="1:2" x14ac:dyDescent="0.25">
      <c r="A1377" t="s">
        <v>2004</v>
      </c>
      <c r="B1377" s="9">
        <v>0.3</v>
      </c>
    </row>
    <row r="1378" spans="1:2" x14ac:dyDescent="0.25">
      <c r="A1378" t="s">
        <v>2005</v>
      </c>
      <c r="B1378" s="9">
        <v>0.3</v>
      </c>
    </row>
    <row r="1379" spans="1:2" x14ac:dyDescent="0.25">
      <c r="A1379" t="s">
        <v>2006</v>
      </c>
      <c r="B1379" s="9">
        <v>0.3</v>
      </c>
    </row>
    <row r="1380" spans="1:2" x14ac:dyDescent="0.25">
      <c r="A1380" t="s">
        <v>2007</v>
      </c>
      <c r="B1380" s="9">
        <v>0.08</v>
      </c>
    </row>
    <row r="1381" spans="1:2" x14ac:dyDescent="0.25">
      <c r="A1381" t="s">
        <v>2008</v>
      </c>
      <c r="B1381" s="9">
        <v>0.2</v>
      </c>
    </row>
    <row r="1382" spans="1:2" x14ac:dyDescent="0.25">
      <c r="A1382" t="s">
        <v>2009</v>
      </c>
      <c r="B1382" s="9">
        <v>0</v>
      </c>
    </row>
    <row r="1383" spans="1:2" x14ac:dyDescent="0.25">
      <c r="A1383" t="s">
        <v>2010</v>
      </c>
      <c r="B1383" s="9">
        <v>0</v>
      </c>
    </row>
    <row r="1384" spans="1:2" x14ac:dyDescent="0.25">
      <c r="A1384" t="s">
        <v>2011</v>
      </c>
      <c r="B1384" s="9">
        <v>0</v>
      </c>
    </row>
    <row r="1385" spans="1:2" x14ac:dyDescent="0.25">
      <c r="A1385" t="s">
        <v>2012</v>
      </c>
      <c r="B1385" s="9">
        <v>0</v>
      </c>
    </row>
    <row r="1386" spans="1:2" x14ac:dyDescent="0.25">
      <c r="A1386" t="s">
        <v>2013</v>
      </c>
      <c r="B1386" s="9">
        <v>0</v>
      </c>
    </row>
    <row r="1387" spans="1:2" x14ac:dyDescent="0.25">
      <c r="A1387" t="s">
        <v>2014</v>
      </c>
      <c r="B1387" s="9">
        <v>0</v>
      </c>
    </row>
    <row r="1388" spans="1:2" x14ac:dyDescent="0.25">
      <c r="A1388" t="s">
        <v>2015</v>
      </c>
      <c r="B1388" s="9">
        <v>0</v>
      </c>
    </row>
    <row r="1389" spans="1:2" x14ac:dyDescent="0.25">
      <c r="A1389" t="s">
        <v>2016</v>
      </c>
      <c r="B1389" s="9">
        <v>0</v>
      </c>
    </row>
    <row r="1390" spans="1:2" x14ac:dyDescent="0.25">
      <c r="A1390" t="s">
        <v>2017</v>
      </c>
      <c r="B1390" s="9">
        <v>0</v>
      </c>
    </row>
    <row r="1391" spans="1:2" x14ac:dyDescent="0.25">
      <c r="A1391" t="s">
        <v>2018</v>
      </c>
      <c r="B1391" s="9">
        <v>0</v>
      </c>
    </row>
    <row r="1392" spans="1:2" x14ac:dyDescent="0.25">
      <c r="A1392" t="s">
        <v>2019</v>
      </c>
      <c r="B1392" s="9">
        <v>0</v>
      </c>
    </row>
    <row r="1393" spans="1:2" x14ac:dyDescent="0.25">
      <c r="A1393" t="s">
        <v>2020</v>
      </c>
      <c r="B1393" s="9">
        <v>0</v>
      </c>
    </row>
    <row r="1394" spans="1:2" x14ac:dyDescent="0.25">
      <c r="A1394" t="s">
        <v>2021</v>
      </c>
      <c r="B1394" s="9">
        <v>0</v>
      </c>
    </row>
    <row r="1395" spans="1:2" x14ac:dyDescent="0.25">
      <c r="A1395" t="s">
        <v>2022</v>
      </c>
      <c r="B1395" s="9">
        <v>0</v>
      </c>
    </row>
    <row r="1396" spans="1:2" x14ac:dyDescent="0.25">
      <c r="A1396" t="s">
        <v>2023</v>
      </c>
      <c r="B1396" s="9">
        <v>0</v>
      </c>
    </row>
    <row r="1397" spans="1:2" x14ac:dyDescent="0.25">
      <c r="A1397" t="s">
        <v>2024</v>
      </c>
      <c r="B1397" s="9">
        <v>0</v>
      </c>
    </row>
    <row r="1398" spans="1:2" x14ac:dyDescent="0.25">
      <c r="A1398" t="s">
        <v>2025</v>
      </c>
      <c r="B1398" s="9">
        <v>0</v>
      </c>
    </row>
    <row r="1399" spans="1:2" x14ac:dyDescent="0.25">
      <c r="A1399" t="s">
        <v>2026</v>
      </c>
      <c r="B1399" s="9">
        <v>0</v>
      </c>
    </row>
    <row r="1400" spans="1:2" x14ac:dyDescent="0.25">
      <c r="A1400" t="s">
        <v>2027</v>
      </c>
      <c r="B1400" s="9">
        <v>0</v>
      </c>
    </row>
    <row r="1401" spans="1:2" x14ac:dyDescent="0.25">
      <c r="A1401" t="s">
        <v>2028</v>
      </c>
      <c r="B1401" s="9">
        <v>0</v>
      </c>
    </row>
    <row r="1402" spans="1:2" x14ac:dyDescent="0.25">
      <c r="A1402" t="s">
        <v>2029</v>
      </c>
      <c r="B1402" s="9">
        <v>0</v>
      </c>
    </row>
    <row r="1403" spans="1:2" x14ac:dyDescent="0.25">
      <c r="A1403" t="s">
        <v>2030</v>
      </c>
      <c r="B1403" s="9">
        <v>0</v>
      </c>
    </row>
    <row r="1404" spans="1:2" x14ac:dyDescent="0.25">
      <c r="A1404" t="s">
        <v>2031</v>
      </c>
      <c r="B1404" s="9">
        <v>0</v>
      </c>
    </row>
    <row r="1405" spans="1:2" x14ac:dyDescent="0.25">
      <c r="A1405" t="s">
        <v>2032</v>
      </c>
      <c r="B1405" s="9">
        <v>0</v>
      </c>
    </row>
    <row r="1406" spans="1:2" x14ac:dyDescent="0.25">
      <c r="A1406" t="s">
        <v>2033</v>
      </c>
      <c r="B1406" s="9">
        <v>0</v>
      </c>
    </row>
    <row r="1407" spans="1:2" x14ac:dyDescent="0.25">
      <c r="A1407" t="s">
        <v>2034</v>
      </c>
      <c r="B1407" s="9">
        <v>0</v>
      </c>
    </row>
    <row r="1408" spans="1:2" x14ac:dyDescent="0.25">
      <c r="A1408" t="s">
        <v>2035</v>
      </c>
      <c r="B1408" s="9">
        <v>0</v>
      </c>
    </row>
    <row r="1409" spans="1:2" x14ac:dyDescent="0.25">
      <c r="A1409" t="s">
        <v>2036</v>
      </c>
      <c r="B1409" s="9">
        <v>0</v>
      </c>
    </row>
    <row r="1410" spans="1:2" x14ac:dyDescent="0.25">
      <c r="A1410" t="s">
        <v>2037</v>
      </c>
      <c r="B1410" s="9">
        <v>0.1</v>
      </c>
    </row>
    <row r="1411" spans="1:2" x14ac:dyDescent="0.25">
      <c r="A1411" t="s">
        <v>2038</v>
      </c>
      <c r="B1411" s="9">
        <v>0</v>
      </c>
    </row>
    <row r="1412" spans="1:2" x14ac:dyDescent="0.25">
      <c r="A1412" t="s">
        <v>2039</v>
      </c>
      <c r="B1412" s="9">
        <v>0.1</v>
      </c>
    </row>
    <row r="1413" spans="1:2" x14ac:dyDescent="0.25">
      <c r="A1413" t="s">
        <v>2040</v>
      </c>
      <c r="B1413" s="9">
        <v>0</v>
      </c>
    </row>
    <row r="1414" spans="1:2" x14ac:dyDescent="0.25">
      <c r="A1414" t="s">
        <v>2041</v>
      </c>
      <c r="B1414" s="9">
        <v>0.1</v>
      </c>
    </row>
    <row r="1415" spans="1:2" x14ac:dyDescent="0.25">
      <c r="A1415" t="s">
        <v>2042</v>
      </c>
      <c r="B1415" s="9">
        <v>0</v>
      </c>
    </row>
    <row r="1416" spans="1:2" x14ac:dyDescent="0.25">
      <c r="A1416" t="s">
        <v>2043</v>
      </c>
      <c r="B1416" s="9">
        <v>0</v>
      </c>
    </row>
    <row r="1417" spans="1:2" x14ac:dyDescent="0.25">
      <c r="A1417" t="s">
        <v>2044</v>
      </c>
      <c r="B1417" s="9">
        <v>0</v>
      </c>
    </row>
    <row r="1418" spans="1:2" x14ac:dyDescent="0.25">
      <c r="A1418" t="s">
        <v>2045</v>
      </c>
      <c r="B1418" s="9">
        <v>0.1</v>
      </c>
    </row>
    <row r="1419" spans="1:2" x14ac:dyDescent="0.25">
      <c r="A1419" t="s">
        <v>2046</v>
      </c>
      <c r="B1419" s="9">
        <v>0</v>
      </c>
    </row>
    <row r="1420" spans="1:2" x14ac:dyDescent="0.25">
      <c r="A1420" t="s">
        <v>2047</v>
      </c>
      <c r="B1420" s="9">
        <v>0.1</v>
      </c>
    </row>
    <row r="1421" spans="1:2" x14ac:dyDescent="0.25">
      <c r="A1421" t="s">
        <v>2048</v>
      </c>
      <c r="B1421" s="9">
        <v>0</v>
      </c>
    </row>
    <row r="1422" spans="1:2" x14ac:dyDescent="0.25">
      <c r="A1422" t="s">
        <v>2049</v>
      </c>
      <c r="B1422" s="9">
        <v>0</v>
      </c>
    </row>
    <row r="1423" spans="1:2" x14ac:dyDescent="0.25">
      <c r="A1423" t="s">
        <v>2050</v>
      </c>
      <c r="B1423" s="9">
        <v>0</v>
      </c>
    </row>
    <row r="1424" spans="1:2" x14ac:dyDescent="0.25">
      <c r="A1424" t="s">
        <v>2051</v>
      </c>
      <c r="B1424" s="9">
        <v>0</v>
      </c>
    </row>
    <row r="1425" spans="1:2" x14ac:dyDescent="0.25">
      <c r="A1425" t="s">
        <v>2052</v>
      </c>
      <c r="B1425" s="9">
        <v>0</v>
      </c>
    </row>
    <row r="1426" spans="1:2" x14ac:dyDescent="0.25">
      <c r="A1426" t="s">
        <v>2053</v>
      </c>
      <c r="B1426" s="9">
        <v>0.3</v>
      </c>
    </row>
    <row r="1427" spans="1:2" x14ac:dyDescent="0.25">
      <c r="A1427" t="s">
        <v>2054</v>
      </c>
      <c r="B1427" s="9">
        <v>0.3</v>
      </c>
    </row>
    <row r="1428" spans="1:2" x14ac:dyDescent="0.25">
      <c r="A1428" t="s">
        <v>2055</v>
      </c>
      <c r="B1428" s="9">
        <v>0.3</v>
      </c>
    </row>
    <row r="1429" spans="1:2" x14ac:dyDescent="0.25">
      <c r="A1429" t="s">
        <v>2056</v>
      </c>
      <c r="B1429" s="9">
        <v>0.3</v>
      </c>
    </row>
    <row r="1430" spans="1:2" x14ac:dyDescent="0.25">
      <c r="A1430" t="s">
        <v>2057</v>
      </c>
      <c r="B1430" s="9">
        <v>0.3</v>
      </c>
    </row>
    <row r="1431" spans="1:2" x14ac:dyDescent="0.25">
      <c r="A1431" t="s">
        <v>2058</v>
      </c>
      <c r="B1431" s="9">
        <v>0</v>
      </c>
    </row>
    <row r="1432" spans="1:2" x14ac:dyDescent="0.25">
      <c r="A1432" t="s">
        <v>2059</v>
      </c>
      <c r="B1432" s="9">
        <v>0.3</v>
      </c>
    </row>
    <row r="1433" spans="1:2" x14ac:dyDescent="0.25">
      <c r="A1433" t="s">
        <v>2060</v>
      </c>
      <c r="B1433" s="9">
        <v>3</v>
      </c>
    </row>
    <row r="1434" spans="1:2" x14ac:dyDescent="0.25">
      <c r="A1434" t="s">
        <v>2061</v>
      </c>
      <c r="B1434" s="9">
        <v>3</v>
      </c>
    </row>
    <row r="1435" spans="1:2" x14ac:dyDescent="0.25">
      <c r="A1435" t="s">
        <v>2062</v>
      </c>
      <c r="B1435" s="9">
        <v>0.3</v>
      </c>
    </row>
    <row r="1436" spans="1:2" x14ac:dyDescent="0.25">
      <c r="A1436" t="s">
        <v>2063</v>
      </c>
      <c r="B1436" s="9">
        <v>3</v>
      </c>
    </row>
    <row r="1437" spans="1:2" x14ac:dyDescent="0.25">
      <c r="A1437" t="s">
        <v>2064</v>
      </c>
      <c r="B1437" s="9">
        <v>0.3</v>
      </c>
    </row>
    <row r="1438" spans="1:2" x14ac:dyDescent="0.25">
      <c r="A1438" t="s">
        <v>2065</v>
      </c>
      <c r="B1438" s="9">
        <v>0.3</v>
      </c>
    </row>
    <row r="1439" spans="1:2" x14ac:dyDescent="0.25">
      <c r="A1439" t="s">
        <v>2066</v>
      </c>
      <c r="B1439" s="9">
        <v>0.3</v>
      </c>
    </row>
    <row r="1440" spans="1:2" x14ac:dyDescent="0.25">
      <c r="A1440" t="s">
        <v>2067</v>
      </c>
      <c r="B1440" s="9">
        <v>0.3</v>
      </c>
    </row>
    <row r="1441" spans="1:2" x14ac:dyDescent="0.25">
      <c r="A1441" t="s">
        <v>2068</v>
      </c>
      <c r="B1441" s="9">
        <v>0.3</v>
      </c>
    </row>
    <row r="1442" spans="1:2" x14ac:dyDescent="0.25">
      <c r="A1442" t="s">
        <v>2069</v>
      </c>
      <c r="B1442" s="9">
        <v>0.3</v>
      </c>
    </row>
    <row r="1443" spans="1:2" x14ac:dyDescent="0.25">
      <c r="A1443" t="s">
        <v>2070</v>
      </c>
      <c r="B1443" s="9">
        <v>0</v>
      </c>
    </row>
    <row r="1444" spans="1:2" x14ac:dyDescent="0.25">
      <c r="A1444" t="s">
        <v>2071</v>
      </c>
      <c r="B1444" s="9">
        <v>0</v>
      </c>
    </row>
    <row r="1445" spans="1:2" x14ac:dyDescent="0.25">
      <c r="A1445" t="s">
        <v>2072</v>
      </c>
      <c r="B1445" s="9">
        <v>0</v>
      </c>
    </row>
    <row r="1446" spans="1:2" x14ac:dyDescent="0.25">
      <c r="A1446" t="s">
        <v>2073</v>
      </c>
      <c r="B1446" s="9">
        <v>0</v>
      </c>
    </row>
    <row r="1447" spans="1:2" x14ac:dyDescent="0.25">
      <c r="A1447" t="s">
        <v>2074</v>
      </c>
      <c r="B1447" s="9">
        <v>0</v>
      </c>
    </row>
    <row r="1448" spans="1:2" x14ac:dyDescent="0.25">
      <c r="A1448" t="s">
        <v>2075</v>
      </c>
      <c r="B1448" s="9">
        <v>0</v>
      </c>
    </row>
    <row r="1449" spans="1:2" x14ac:dyDescent="0.25">
      <c r="A1449" t="s">
        <v>2076</v>
      </c>
      <c r="B1449" s="9">
        <v>0</v>
      </c>
    </row>
    <row r="1450" spans="1:2" x14ac:dyDescent="0.25">
      <c r="A1450" t="s">
        <v>2077</v>
      </c>
      <c r="B1450" s="9">
        <v>0</v>
      </c>
    </row>
    <row r="1451" spans="1:2" x14ac:dyDescent="0.25">
      <c r="A1451" t="s">
        <v>2078</v>
      </c>
      <c r="B1451" s="9">
        <v>0</v>
      </c>
    </row>
    <row r="1452" spans="1:2" x14ac:dyDescent="0.25">
      <c r="A1452" t="s">
        <v>2079</v>
      </c>
      <c r="B1452" s="9">
        <v>0</v>
      </c>
    </row>
    <row r="1453" spans="1:2" x14ac:dyDescent="0.25">
      <c r="A1453" t="s">
        <v>2080</v>
      </c>
      <c r="B1453" s="9">
        <v>0</v>
      </c>
    </row>
    <row r="1454" spans="1:2" x14ac:dyDescent="0.25">
      <c r="A1454" t="s">
        <v>2081</v>
      </c>
      <c r="B1454" s="9">
        <v>0</v>
      </c>
    </row>
    <row r="1455" spans="1:2" x14ac:dyDescent="0.25">
      <c r="A1455" t="s">
        <v>2082</v>
      </c>
      <c r="B1455" s="9">
        <v>0</v>
      </c>
    </row>
    <row r="1456" spans="1:2" x14ac:dyDescent="0.25">
      <c r="A1456" t="s">
        <v>2083</v>
      </c>
      <c r="B1456" s="9">
        <v>0</v>
      </c>
    </row>
    <row r="1457" spans="1:2" x14ac:dyDescent="0.25">
      <c r="A1457" t="s">
        <v>2084</v>
      </c>
      <c r="B1457" s="9">
        <v>0</v>
      </c>
    </row>
    <row r="1458" spans="1:2" x14ac:dyDescent="0.25">
      <c r="A1458" t="s">
        <v>2085</v>
      </c>
      <c r="B1458" s="9">
        <v>0</v>
      </c>
    </row>
    <row r="1459" spans="1:2" x14ac:dyDescent="0.25">
      <c r="A1459" t="s">
        <v>2086</v>
      </c>
      <c r="B1459" s="9">
        <v>0</v>
      </c>
    </row>
    <row r="1460" spans="1:2" x14ac:dyDescent="0.25">
      <c r="A1460" t="s">
        <v>2087</v>
      </c>
      <c r="B1460" s="9">
        <v>0</v>
      </c>
    </row>
    <row r="1461" spans="1:2" x14ac:dyDescent="0.25">
      <c r="A1461" t="s">
        <v>2088</v>
      </c>
      <c r="B1461" s="9">
        <v>0</v>
      </c>
    </row>
    <row r="1462" spans="1:2" x14ac:dyDescent="0.25">
      <c r="A1462" t="s">
        <v>2089</v>
      </c>
      <c r="B1462" s="9">
        <v>0</v>
      </c>
    </row>
    <row r="1463" spans="1:2" x14ac:dyDescent="0.25">
      <c r="A1463" t="s">
        <v>2090</v>
      </c>
      <c r="B1463" s="9">
        <v>0</v>
      </c>
    </row>
    <row r="1464" spans="1:2" x14ac:dyDescent="0.25">
      <c r="A1464" t="s">
        <v>2091</v>
      </c>
      <c r="B1464" s="9">
        <v>0</v>
      </c>
    </row>
    <row r="1465" spans="1:2" x14ac:dyDescent="0.25">
      <c r="A1465" t="s">
        <v>2092</v>
      </c>
      <c r="B1465" s="9">
        <v>0</v>
      </c>
    </row>
    <row r="1466" spans="1:2" x14ac:dyDescent="0.25">
      <c r="A1466" t="s">
        <v>2093</v>
      </c>
      <c r="B1466" s="9">
        <v>0</v>
      </c>
    </row>
    <row r="1467" spans="1:2" x14ac:dyDescent="0.25">
      <c r="A1467" t="s">
        <v>2094</v>
      </c>
      <c r="B1467" s="9">
        <v>0</v>
      </c>
    </row>
    <row r="1468" spans="1:2" x14ac:dyDescent="0.25">
      <c r="A1468" t="s">
        <v>2095</v>
      </c>
      <c r="B1468" s="9">
        <v>0</v>
      </c>
    </row>
    <row r="1469" spans="1:2" x14ac:dyDescent="0.25">
      <c r="A1469" t="s">
        <v>2096</v>
      </c>
      <c r="B1469" s="9">
        <v>0</v>
      </c>
    </row>
    <row r="1470" spans="1:2" x14ac:dyDescent="0.25">
      <c r="A1470" t="s">
        <v>2097</v>
      </c>
      <c r="B1470" s="9">
        <v>0</v>
      </c>
    </row>
    <row r="1471" spans="1:2" x14ac:dyDescent="0.25">
      <c r="A1471" t="s">
        <v>2098</v>
      </c>
      <c r="B1471" s="9">
        <v>0</v>
      </c>
    </row>
    <row r="1472" spans="1:2" x14ac:dyDescent="0.25">
      <c r="A1472" t="s">
        <v>2099</v>
      </c>
      <c r="B1472" s="9">
        <v>0</v>
      </c>
    </row>
    <row r="1473" spans="1:2" x14ac:dyDescent="0.25">
      <c r="A1473" t="s">
        <v>2100</v>
      </c>
      <c r="B1473" s="9">
        <v>0</v>
      </c>
    </row>
    <row r="1474" spans="1:2" x14ac:dyDescent="0.25">
      <c r="A1474" t="s">
        <v>2101</v>
      </c>
      <c r="B1474" s="9">
        <v>0</v>
      </c>
    </row>
    <row r="1475" spans="1:2" x14ac:dyDescent="0.25">
      <c r="A1475" t="s">
        <v>2102</v>
      </c>
      <c r="B1475" s="9">
        <v>0</v>
      </c>
    </row>
    <row r="1476" spans="1:2" x14ac:dyDescent="0.25">
      <c r="A1476" t="s">
        <v>2103</v>
      </c>
      <c r="B1476" s="9">
        <v>0</v>
      </c>
    </row>
    <row r="1477" spans="1:2" x14ac:dyDescent="0.25">
      <c r="A1477" t="s">
        <v>2104</v>
      </c>
      <c r="B1477" s="9">
        <v>0</v>
      </c>
    </row>
    <row r="1478" spans="1:2" x14ac:dyDescent="0.25">
      <c r="A1478" t="s">
        <v>2105</v>
      </c>
      <c r="B1478" s="9">
        <v>0</v>
      </c>
    </row>
    <row r="1479" spans="1:2" x14ac:dyDescent="0.25">
      <c r="A1479" t="s">
        <v>2106</v>
      </c>
      <c r="B1479" s="9">
        <v>0</v>
      </c>
    </row>
    <row r="1480" spans="1:2" x14ac:dyDescent="0.25">
      <c r="A1480" t="s">
        <v>2107</v>
      </c>
      <c r="B1480" s="9">
        <v>0</v>
      </c>
    </row>
    <row r="1481" spans="1:2" x14ac:dyDescent="0.25">
      <c r="A1481" t="s">
        <v>2108</v>
      </c>
      <c r="B1481" s="9">
        <v>0</v>
      </c>
    </row>
    <row r="1482" spans="1:2" x14ac:dyDescent="0.25">
      <c r="A1482" t="s">
        <v>2109</v>
      </c>
      <c r="B1482" s="9">
        <v>0</v>
      </c>
    </row>
    <row r="1483" spans="1:2" x14ac:dyDescent="0.25">
      <c r="A1483" t="s">
        <v>2110</v>
      </c>
      <c r="B1483" s="9">
        <v>0</v>
      </c>
    </row>
    <row r="1484" spans="1:2" x14ac:dyDescent="0.25">
      <c r="A1484" t="s">
        <v>2111</v>
      </c>
      <c r="B1484" s="9">
        <v>0</v>
      </c>
    </row>
    <row r="1485" spans="1:2" x14ac:dyDescent="0.25">
      <c r="A1485" t="s">
        <v>2112</v>
      </c>
      <c r="B1485" s="9">
        <v>0</v>
      </c>
    </row>
    <row r="1486" spans="1:2" x14ac:dyDescent="0.25">
      <c r="A1486" t="s">
        <v>2113</v>
      </c>
      <c r="B1486" s="9">
        <v>0</v>
      </c>
    </row>
    <row r="1487" spans="1:2" x14ac:dyDescent="0.25">
      <c r="A1487" t="s">
        <v>2114</v>
      </c>
      <c r="B1487" s="9">
        <v>0</v>
      </c>
    </row>
    <row r="1488" spans="1:2" x14ac:dyDescent="0.25">
      <c r="A1488" t="s">
        <v>2115</v>
      </c>
      <c r="B1488" s="9">
        <v>0</v>
      </c>
    </row>
    <row r="1489" spans="1:2" x14ac:dyDescent="0.25">
      <c r="A1489" t="s">
        <v>2116</v>
      </c>
      <c r="B1489" s="9">
        <v>0</v>
      </c>
    </row>
    <row r="1490" spans="1:2" x14ac:dyDescent="0.25">
      <c r="A1490" t="s">
        <v>2117</v>
      </c>
      <c r="B1490" s="9">
        <v>0</v>
      </c>
    </row>
    <row r="1491" spans="1:2" x14ac:dyDescent="0.25">
      <c r="A1491" t="s">
        <v>2118</v>
      </c>
      <c r="B1491" s="9">
        <v>0</v>
      </c>
    </row>
    <row r="1492" spans="1:2" x14ac:dyDescent="0.25">
      <c r="A1492" t="s">
        <v>2119</v>
      </c>
      <c r="B1492" s="9">
        <v>0</v>
      </c>
    </row>
    <row r="1493" spans="1:2" x14ac:dyDescent="0.25">
      <c r="A1493" t="s">
        <v>2120</v>
      </c>
      <c r="B1493" s="9">
        <v>0</v>
      </c>
    </row>
    <row r="1494" spans="1:2" x14ac:dyDescent="0.25">
      <c r="A1494" t="s">
        <v>2121</v>
      </c>
      <c r="B1494" s="9">
        <v>0</v>
      </c>
    </row>
    <row r="1495" spans="1:2" x14ac:dyDescent="0.25">
      <c r="A1495" t="s">
        <v>2122</v>
      </c>
      <c r="B1495" s="9">
        <v>0</v>
      </c>
    </row>
    <row r="1496" spans="1:2" x14ac:dyDescent="0.25">
      <c r="A1496" t="s">
        <v>2123</v>
      </c>
      <c r="B1496" s="9">
        <v>0</v>
      </c>
    </row>
    <row r="1497" spans="1:2" x14ac:dyDescent="0.25">
      <c r="A1497" t="s">
        <v>2124</v>
      </c>
      <c r="B1497" s="9">
        <v>0</v>
      </c>
    </row>
    <row r="1498" spans="1:2" x14ac:dyDescent="0.25">
      <c r="A1498" t="s">
        <v>2125</v>
      </c>
      <c r="B1498" s="9">
        <v>0</v>
      </c>
    </row>
    <row r="1499" spans="1:2" x14ac:dyDescent="0.25">
      <c r="A1499" t="s">
        <v>2126</v>
      </c>
      <c r="B1499" s="9">
        <v>0</v>
      </c>
    </row>
    <row r="1500" spans="1:2" x14ac:dyDescent="0.25">
      <c r="A1500" t="s">
        <v>2127</v>
      </c>
      <c r="B1500" s="9">
        <v>0</v>
      </c>
    </row>
    <row r="1501" spans="1:2" x14ac:dyDescent="0.25">
      <c r="A1501" t="s">
        <v>2128</v>
      </c>
      <c r="B1501" s="9">
        <v>0</v>
      </c>
    </row>
    <row r="1502" spans="1:2" x14ac:dyDescent="0.25">
      <c r="A1502" t="s">
        <v>2129</v>
      </c>
      <c r="B1502" s="9">
        <v>0</v>
      </c>
    </row>
    <row r="1503" spans="1:2" x14ac:dyDescent="0.25">
      <c r="A1503" t="s">
        <v>2130</v>
      </c>
      <c r="B1503" s="9">
        <v>0</v>
      </c>
    </row>
    <row r="1504" spans="1:2" x14ac:dyDescent="0.25">
      <c r="A1504" t="s">
        <v>2131</v>
      </c>
      <c r="B1504" s="9">
        <v>0</v>
      </c>
    </row>
    <row r="1505" spans="1:2" x14ac:dyDescent="0.25">
      <c r="A1505" t="s">
        <v>2132</v>
      </c>
      <c r="B1505" s="9">
        <v>0</v>
      </c>
    </row>
    <row r="1506" spans="1:2" x14ac:dyDescent="0.25">
      <c r="A1506" t="s">
        <v>2133</v>
      </c>
      <c r="B1506" s="9">
        <v>0.04</v>
      </c>
    </row>
    <row r="1507" spans="1:2" x14ac:dyDescent="0.25">
      <c r="A1507" t="s">
        <v>2134</v>
      </c>
      <c r="B1507" s="9">
        <v>0</v>
      </c>
    </row>
    <row r="1508" spans="1:2" x14ac:dyDescent="0.25">
      <c r="A1508" t="s">
        <v>2135</v>
      </c>
      <c r="B1508" s="9">
        <v>0</v>
      </c>
    </row>
    <row r="1509" spans="1:2" x14ac:dyDescent="0.25">
      <c r="A1509" t="s">
        <v>2136</v>
      </c>
      <c r="B1509" s="9">
        <v>0</v>
      </c>
    </row>
    <row r="1510" spans="1:2" x14ac:dyDescent="0.25">
      <c r="A1510" t="s">
        <v>2137</v>
      </c>
      <c r="B1510" s="9">
        <v>0.04</v>
      </c>
    </row>
    <row r="1511" spans="1:2" x14ac:dyDescent="0.25">
      <c r="A1511" t="s">
        <v>2138</v>
      </c>
      <c r="B1511" s="9">
        <v>0.04</v>
      </c>
    </row>
    <row r="1512" spans="1:2" x14ac:dyDescent="0.25">
      <c r="A1512" t="s">
        <v>2139</v>
      </c>
      <c r="B1512" s="9">
        <v>0</v>
      </c>
    </row>
    <row r="1513" spans="1:2" x14ac:dyDescent="0.25">
      <c r="A1513" t="s">
        <v>2140</v>
      </c>
      <c r="B1513" s="9">
        <v>0</v>
      </c>
    </row>
    <row r="1514" spans="1:2" x14ac:dyDescent="0.25">
      <c r="A1514" t="s">
        <v>2141</v>
      </c>
      <c r="B1514" s="9">
        <v>0</v>
      </c>
    </row>
    <row r="1515" spans="1:2" x14ac:dyDescent="0.25">
      <c r="A1515" t="s">
        <v>2142</v>
      </c>
      <c r="B1515" s="9">
        <v>0</v>
      </c>
    </row>
    <row r="1516" spans="1:2" x14ac:dyDescent="0.25">
      <c r="A1516" t="s">
        <v>2143</v>
      </c>
      <c r="B1516" s="9">
        <v>0</v>
      </c>
    </row>
    <row r="1517" spans="1:2" x14ac:dyDescent="0.25">
      <c r="A1517" t="s">
        <v>2144</v>
      </c>
      <c r="B1517" s="9">
        <v>0</v>
      </c>
    </row>
    <row r="1518" spans="1:2" x14ac:dyDescent="0.25">
      <c r="A1518" t="s">
        <v>2145</v>
      </c>
      <c r="B1518" s="9">
        <v>0</v>
      </c>
    </row>
    <row r="1519" spans="1:2" x14ac:dyDescent="0.25">
      <c r="A1519" t="s">
        <v>2146</v>
      </c>
      <c r="B1519" s="9">
        <v>0</v>
      </c>
    </row>
    <row r="1520" spans="1:2" x14ac:dyDescent="0.25">
      <c r="A1520" t="s">
        <v>2147</v>
      </c>
      <c r="B1520" s="9">
        <v>0</v>
      </c>
    </row>
    <row r="1521" spans="1:2" x14ac:dyDescent="0.25">
      <c r="A1521" t="s">
        <v>2148</v>
      </c>
      <c r="B1521" s="9">
        <v>0</v>
      </c>
    </row>
    <row r="1522" spans="1:2" x14ac:dyDescent="0.25">
      <c r="A1522" t="s">
        <v>2149</v>
      </c>
      <c r="B1522" s="9">
        <v>0</v>
      </c>
    </row>
    <row r="1523" spans="1:2" x14ac:dyDescent="0.25">
      <c r="A1523" t="s">
        <v>2150</v>
      </c>
      <c r="B1523" s="9">
        <v>0</v>
      </c>
    </row>
    <row r="1524" spans="1:2" x14ac:dyDescent="0.25">
      <c r="A1524" t="s">
        <v>2151</v>
      </c>
      <c r="B1524" s="9">
        <v>0</v>
      </c>
    </row>
    <row r="1525" spans="1:2" x14ac:dyDescent="0.25">
      <c r="A1525" t="s">
        <v>2152</v>
      </c>
      <c r="B1525" s="9">
        <v>0</v>
      </c>
    </row>
    <row r="1526" spans="1:2" x14ac:dyDescent="0.25">
      <c r="A1526" t="s">
        <v>2153</v>
      </c>
      <c r="B1526" s="9">
        <v>0</v>
      </c>
    </row>
    <row r="1527" spans="1:2" x14ac:dyDescent="0.25">
      <c r="A1527" t="s">
        <v>2154</v>
      </c>
      <c r="B1527" s="9">
        <v>0</v>
      </c>
    </row>
    <row r="1528" spans="1:2" x14ac:dyDescent="0.25">
      <c r="A1528" t="s">
        <v>2155</v>
      </c>
      <c r="B1528" s="9">
        <v>0</v>
      </c>
    </row>
    <row r="1529" spans="1:2" x14ac:dyDescent="0.25">
      <c r="A1529" t="s">
        <v>2156</v>
      </c>
      <c r="B1529" s="9">
        <v>0</v>
      </c>
    </row>
    <row r="1530" spans="1:2" x14ac:dyDescent="0.25">
      <c r="A1530" t="s">
        <v>2157</v>
      </c>
      <c r="B1530" s="9">
        <v>0</v>
      </c>
    </row>
    <row r="1531" spans="1:2" x14ac:dyDescent="0.25">
      <c r="A1531" t="s">
        <v>2158</v>
      </c>
      <c r="B1531" s="9">
        <v>0</v>
      </c>
    </row>
    <row r="1532" spans="1:2" x14ac:dyDescent="0.25">
      <c r="A1532" t="s">
        <v>2159</v>
      </c>
      <c r="B1532" s="9">
        <v>0</v>
      </c>
    </row>
    <row r="1533" spans="1:2" x14ac:dyDescent="0.25">
      <c r="A1533" t="s">
        <v>2160</v>
      </c>
      <c r="B1533" s="9">
        <v>0</v>
      </c>
    </row>
    <row r="1534" spans="1:2" x14ac:dyDescent="0.25">
      <c r="A1534" t="s">
        <v>2161</v>
      </c>
      <c r="B1534" s="9">
        <v>0</v>
      </c>
    </row>
    <row r="1535" spans="1:2" x14ac:dyDescent="0.25">
      <c r="A1535" t="s">
        <v>2162</v>
      </c>
      <c r="B1535" s="9">
        <v>0</v>
      </c>
    </row>
    <row r="1536" spans="1:2" x14ac:dyDescent="0.25">
      <c r="A1536" t="s">
        <v>2163</v>
      </c>
      <c r="B1536" s="9">
        <v>0</v>
      </c>
    </row>
    <row r="1537" spans="1:2" x14ac:dyDescent="0.25">
      <c r="A1537" t="s">
        <v>2164</v>
      </c>
      <c r="B1537" s="9">
        <v>0</v>
      </c>
    </row>
    <row r="1538" spans="1:2" x14ac:dyDescent="0.25">
      <c r="A1538" t="s">
        <v>2165</v>
      </c>
      <c r="B1538" s="9">
        <v>0</v>
      </c>
    </row>
    <row r="1539" spans="1:2" x14ac:dyDescent="0.25">
      <c r="A1539" t="s">
        <v>2166</v>
      </c>
      <c r="B1539" s="9">
        <v>0</v>
      </c>
    </row>
    <row r="1540" spans="1:2" x14ac:dyDescent="0.25">
      <c r="A1540" t="s">
        <v>2167</v>
      </c>
      <c r="B1540" s="9">
        <v>0</v>
      </c>
    </row>
    <row r="1541" spans="1:2" x14ac:dyDescent="0.25">
      <c r="A1541" t="s">
        <v>2168</v>
      </c>
      <c r="B1541" s="9">
        <v>0</v>
      </c>
    </row>
    <row r="1542" spans="1:2" x14ac:dyDescent="0.25">
      <c r="A1542" t="s">
        <v>2169</v>
      </c>
      <c r="B1542" s="9">
        <v>0</v>
      </c>
    </row>
    <row r="1543" spans="1:2" x14ac:dyDescent="0.25">
      <c r="A1543" t="s">
        <v>2170</v>
      </c>
      <c r="B1543" s="9">
        <v>0</v>
      </c>
    </row>
    <row r="1544" spans="1:2" x14ac:dyDescent="0.25">
      <c r="A1544" t="s">
        <v>2171</v>
      </c>
      <c r="B1544" s="9">
        <v>0</v>
      </c>
    </row>
    <row r="1545" spans="1:2" x14ac:dyDescent="0.25">
      <c r="A1545" t="s">
        <v>2172</v>
      </c>
      <c r="B1545" s="9">
        <v>0</v>
      </c>
    </row>
    <row r="1546" spans="1:2" x14ac:dyDescent="0.25">
      <c r="A1546" t="s">
        <v>2173</v>
      </c>
      <c r="B1546" s="9">
        <v>0</v>
      </c>
    </row>
    <row r="1547" spans="1:2" x14ac:dyDescent="0.25">
      <c r="A1547" t="s">
        <v>2174</v>
      </c>
      <c r="B1547" s="9">
        <v>0</v>
      </c>
    </row>
    <row r="1548" spans="1:2" x14ac:dyDescent="0.25">
      <c r="A1548" t="s">
        <v>2175</v>
      </c>
      <c r="B1548" s="9">
        <v>0</v>
      </c>
    </row>
    <row r="1549" spans="1:2" x14ac:dyDescent="0.25">
      <c r="A1549" t="s">
        <v>2176</v>
      </c>
      <c r="B1549" s="9">
        <v>0</v>
      </c>
    </row>
    <row r="1550" spans="1:2" x14ac:dyDescent="0.25">
      <c r="A1550" t="s">
        <v>2177</v>
      </c>
      <c r="B1550" s="9">
        <v>0</v>
      </c>
    </row>
    <row r="1551" spans="1:2" x14ac:dyDescent="0.25">
      <c r="A1551" t="s">
        <v>2178</v>
      </c>
      <c r="B1551" s="9">
        <v>0</v>
      </c>
    </row>
    <row r="1552" spans="1:2" x14ac:dyDescent="0.25">
      <c r="A1552" t="s">
        <v>2179</v>
      </c>
      <c r="B1552" s="9">
        <v>0</v>
      </c>
    </row>
    <row r="1553" spans="1:2" x14ac:dyDescent="0.25">
      <c r="A1553" t="s">
        <v>2180</v>
      </c>
      <c r="B1553" s="9">
        <v>0</v>
      </c>
    </row>
    <row r="1554" spans="1:2" x14ac:dyDescent="0.25">
      <c r="A1554" t="s">
        <v>2181</v>
      </c>
      <c r="B1554" s="9">
        <v>0</v>
      </c>
    </row>
    <row r="1555" spans="1:2" x14ac:dyDescent="0.25">
      <c r="A1555" t="s">
        <v>2182</v>
      </c>
      <c r="B1555" s="9">
        <v>0</v>
      </c>
    </row>
    <row r="1556" spans="1:2" x14ac:dyDescent="0.25">
      <c r="A1556" t="s">
        <v>2183</v>
      </c>
      <c r="B1556" s="9">
        <v>0</v>
      </c>
    </row>
    <row r="1557" spans="1:2" x14ac:dyDescent="0.25">
      <c r="A1557" t="s">
        <v>2184</v>
      </c>
      <c r="B1557" s="9">
        <v>0</v>
      </c>
    </row>
    <row r="1558" spans="1:2" x14ac:dyDescent="0.25">
      <c r="A1558" t="s">
        <v>2185</v>
      </c>
      <c r="B1558" s="9">
        <v>0</v>
      </c>
    </row>
    <row r="1559" spans="1:2" x14ac:dyDescent="0.25">
      <c r="A1559" t="s">
        <v>2186</v>
      </c>
      <c r="B1559" s="9">
        <v>0</v>
      </c>
    </row>
    <row r="1560" spans="1:2" x14ac:dyDescent="0.25">
      <c r="A1560" t="s">
        <v>2187</v>
      </c>
      <c r="B1560" s="9">
        <v>0</v>
      </c>
    </row>
    <row r="1561" spans="1:2" x14ac:dyDescent="0.25">
      <c r="A1561" t="s">
        <v>2188</v>
      </c>
      <c r="B1561" s="9">
        <v>0</v>
      </c>
    </row>
    <row r="1562" spans="1:2" x14ac:dyDescent="0.25">
      <c r="A1562" t="s">
        <v>2189</v>
      </c>
      <c r="B1562" s="9">
        <v>0</v>
      </c>
    </row>
    <row r="1563" spans="1:2" x14ac:dyDescent="0.25">
      <c r="A1563" t="s">
        <v>2190</v>
      </c>
      <c r="B1563" s="9">
        <v>0</v>
      </c>
    </row>
    <row r="1564" spans="1:2" x14ac:dyDescent="0.25">
      <c r="A1564" t="s">
        <v>2191</v>
      </c>
      <c r="B1564" s="9">
        <v>0</v>
      </c>
    </row>
    <row r="1565" spans="1:2" x14ac:dyDescent="0.25">
      <c r="A1565" t="s">
        <v>2192</v>
      </c>
      <c r="B1565" s="9">
        <v>0</v>
      </c>
    </row>
    <row r="1566" spans="1:2" x14ac:dyDescent="0.25">
      <c r="A1566" t="s">
        <v>2193</v>
      </c>
      <c r="B1566" s="9">
        <v>0</v>
      </c>
    </row>
    <row r="1567" spans="1:2" x14ac:dyDescent="0.25">
      <c r="A1567" t="s">
        <v>2194</v>
      </c>
      <c r="B1567" s="9">
        <v>0</v>
      </c>
    </row>
    <row r="1568" spans="1:2" x14ac:dyDescent="0.25">
      <c r="A1568" t="s">
        <v>2195</v>
      </c>
      <c r="B1568" s="9">
        <v>0</v>
      </c>
    </row>
    <row r="1569" spans="1:2" x14ac:dyDescent="0.25">
      <c r="A1569" t="s">
        <v>2196</v>
      </c>
      <c r="B1569" s="9">
        <v>0</v>
      </c>
    </row>
    <row r="1570" spans="1:2" x14ac:dyDescent="0.25">
      <c r="A1570" t="s">
        <v>2197</v>
      </c>
      <c r="B1570" s="9">
        <v>0</v>
      </c>
    </row>
    <row r="1571" spans="1:2" x14ac:dyDescent="0.25">
      <c r="A1571" t="s">
        <v>2198</v>
      </c>
      <c r="B1571" s="9">
        <v>0</v>
      </c>
    </row>
    <row r="1572" spans="1:2" x14ac:dyDescent="0.25">
      <c r="A1572" t="s">
        <v>2199</v>
      </c>
      <c r="B1572" s="9">
        <v>0</v>
      </c>
    </row>
    <row r="1573" spans="1:2" x14ac:dyDescent="0.25">
      <c r="A1573" t="s">
        <v>2200</v>
      </c>
      <c r="B1573" s="9">
        <v>0</v>
      </c>
    </row>
    <row r="1574" spans="1:2" x14ac:dyDescent="0.25">
      <c r="A1574" t="s">
        <v>2201</v>
      </c>
      <c r="B1574" s="9">
        <v>0</v>
      </c>
    </row>
    <row r="1575" spans="1:2" x14ac:dyDescent="0.25">
      <c r="A1575" t="s">
        <v>2202</v>
      </c>
      <c r="B1575" s="9">
        <v>0</v>
      </c>
    </row>
    <row r="1576" spans="1:2" x14ac:dyDescent="0.25">
      <c r="A1576" t="s">
        <v>2203</v>
      </c>
      <c r="B1576" s="9">
        <v>0</v>
      </c>
    </row>
    <row r="1577" spans="1:2" x14ac:dyDescent="0.25">
      <c r="A1577" t="s">
        <v>2204</v>
      </c>
      <c r="B1577" s="9">
        <v>0</v>
      </c>
    </row>
    <row r="1578" spans="1:2" x14ac:dyDescent="0.25">
      <c r="A1578" t="s">
        <v>2205</v>
      </c>
      <c r="B1578" s="9">
        <v>0</v>
      </c>
    </row>
    <row r="1579" spans="1:2" x14ac:dyDescent="0.25">
      <c r="A1579" t="s">
        <v>2206</v>
      </c>
      <c r="B1579" s="9">
        <v>0</v>
      </c>
    </row>
    <row r="1580" spans="1:2" x14ac:dyDescent="0.25">
      <c r="A1580" t="s">
        <v>2207</v>
      </c>
      <c r="B1580" s="9">
        <v>0</v>
      </c>
    </row>
    <row r="1581" spans="1:2" x14ac:dyDescent="0.25">
      <c r="A1581" t="s">
        <v>2208</v>
      </c>
      <c r="B1581" s="9">
        <v>0</v>
      </c>
    </row>
    <row r="1582" spans="1:2" x14ac:dyDescent="0.25">
      <c r="A1582" t="s">
        <v>2209</v>
      </c>
      <c r="B1582" s="9">
        <v>0</v>
      </c>
    </row>
    <row r="1583" spans="1:2" x14ac:dyDescent="0.25">
      <c r="A1583" t="s">
        <v>2210</v>
      </c>
      <c r="B1583" s="9">
        <v>0</v>
      </c>
    </row>
    <row r="1584" spans="1:2" x14ac:dyDescent="0.25">
      <c r="A1584" t="s">
        <v>2211</v>
      </c>
      <c r="B1584" s="9">
        <v>0</v>
      </c>
    </row>
    <row r="1585" spans="1:2" x14ac:dyDescent="0.25">
      <c r="A1585" t="s">
        <v>2212</v>
      </c>
      <c r="B1585" s="9">
        <v>0</v>
      </c>
    </row>
    <row r="1586" spans="1:2" x14ac:dyDescent="0.25">
      <c r="A1586" t="s">
        <v>2213</v>
      </c>
      <c r="B1586" s="9">
        <v>0</v>
      </c>
    </row>
    <row r="1587" spans="1:2" x14ac:dyDescent="0.25">
      <c r="A1587" t="s">
        <v>2214</v>
      </c>
      <c r="B1587" s="9">
        <v>0</v>
      </c>
    </row>
    <row r="1588" spans="1:2" x14ac:dyDescent="0.25">
      <c r="A1588" t="s">
        <v>2215</v>
      </c>
      <c r="B1588" s="9">
        <v>0</v>
      </c>
    </row>
    <row r="1589" spans="1:2" x14ac:dyDescent="0.25">
      <c r="A1589" t="s">
        <v>2216</v>
      </c>
      <c r="B1589" s="9">
        <v>0</v>
      </c>
    </row>
    <row r="1590" spans="1:2" x14ac:dyDescent="0.25">
      <c r="A1590" t="s">
        <v>2217</v>
      </c>
      <c r="B1590" s="9">
        <v>0</v>
      </c>
    </row>
    <row r="1591" spans="1:2" x14ac:dyDescent="0.25">
      <c r="A1591" t="s">
        <v>2218</v>
      </c>
      <c r="B1591" s="9">
        <v>0</v>
      </c>
    </row>
    <row r="1592" spans="1:2" x14ac:dyDescent="0.25">
      <c r="A1592" t="s">
        <v>2219</v>
      </c>
      <c r="B1592" s="9">
        <v>0</v>
      </c>
    </row>
    <row r="1593" spans="1:2" x14ac:dyDescent="0.25">
      <c r="A1593" t="s">
        <v>2220</v>
      </c>
      <c r="B1593" s="9">
        <v>0</v>
      </c>
    </row>
    <row r="1594" spans="1:2" x14ac:dyDescent="0.25">
      <c r="A1594" t="s">
        <v>2221</v>
      </c>
      <c r="B1594" s="9">
        <v>0</v>
      </c>
    </row>
    <row r="1595" spans="1:2" x14ac:dyDescent="0.25">
      <c r="A1595" t="s">
        <v>2222</v>
      </c>
      <c r="B1595" s="9">
        <v>0</v>
      </c>
    </row>
    <row r="1596" spans="1:2" x14ac:dyDescent="0.25">
      <c r="A1596" t="s">
        <v>2223</v>
      </c>
      <c r="B1596" s="9">
        <v>0</v>
      </c>
    </row>
    <row r="1597" spans="1:2" x14ac:dyDescent="0.25">
      <c r="A1597" t="s">
        <v>2224</v>
      </c>
      <c r="B1597" s="9">
        <v>0</v>
      </c>
    </row>
    <row r="1598" spans="1:2" x14ac:dyDescent="0.25">
      <c r="A1598" t="s">
        <v>2225</v>
      </c>
      <c r="B1598" s="9">
        <v>0</v>
      </c>
    </row>
    <row r="1599" spans="1:2" x14ac:dyDescent="0.25">
      <c r="A1599" t="s">
        <v>2226</v>
      </c>
      <c r="B1599" s="9">
        <v>0</v>
      </c>
    </row>
    <row r="1600" spans="1:2" x14ac:dyDescent="0.25">
      <c r="A1600" t="s">
        <v>2227</v>
      </c>
      <c r="B1600" s="9">
        <v>0</v>
      </c>
    </row>
    <row r="1601" spans="1:2" x14ac:dyDescent="0.25">
      <c r="A1601" t="s">
        <v>2228</v>
      </c>
      <c r="B1601" s="9">
        <v>0</v>
      </c>
    </row>
    <row r="1602" spans="1:2" x14ac:dyDescent="0.25">
      <c r="A1602" t="s">
        <v>2229</v>
      </c>
      <c r="B1602" s="9">
        <v>0</v>
      </c>
    </row>
    <row r="1603" spans="1:2" x14ac:dyDescent="0.25">
      <c r="A1603" t="s">
        <v>2230</v>
      </c>
      <c r="B1603" s="9">
        <v>0</v>
      </c>
    </row>
    <row r="1604" spans="1:2" x14ac:dyDescent="0.25">
      <c r="A1604" t="s">
        <v>2231</v>
      </c>
      <c r="B1604" s="9">
        <v>0.05</v>
      </c>
    </row>
    <row r="1605" spans="1:2" x14ac:dyDescent="0.25">
      <c r="A1605" t="s">
        <v>2232</v>
      </c>
      <c r="B1605" s="9">
        <v>0.05</v>
      </c>
    </row>
    <row r="1606" spans="1:2" x14ac:dyDescent="0.25">
      <c r="A1606" t="s">
        <v>2233</v>
      </c>
      <c r="B1606" s="9">
        <v>0</v>
      </c>
    </row>
    <row r="1607" spans="1:2" x14ac:dyDescent="0.25">
      <c r="A1607" t="s">
        <v>2234</v>
      </c>
      <c r="B1607" s="9">
        <v>0</v>
      </c>
    </row>
    <row r="1608" spans="1:2" x14ac:dyDescent="0.25">
      <c r="A1608" t="s">
        <v>2235</v>
      </c>
      <c r="B1608" s="9">
        <v>0.08</v>
      </c>
    </row>
    <row r="1609" spans="1:2" x14ac:dyDescent="0.25">
      <c r="A1609" t="s">
        <v>2236</v>
      </c>
      <c r="B1609" s="9">
        <v>0.08</v>
      </c>
    </row>
    <row r="1610" spans="1:2" x14ac:dyDescent="0.25">
      <c r="A1610" t="s">
        <v>2237</v>
      </c>
      <c r="B1610" s="9">
        <v>0.08</v>
      </c>
    </row>
    <row r="1611" spans="1:2" x14ac:dyDescent="0.25">
      <c r="A1611" t="s">
        <v>2238</v>
      </c>
      <c r="B1611" s="9">
        <v>0</v>
      </c>
    </row>
    <row r="1612" spans="1:2" x14ac:dyDescent="0.25">
      <c r="A1612" t="s">
        <v>2239</v>
      </c>
      <c r="B1612" s="9">
        <v>0</v>
      </c>
    </row>
    <row r="1613" spans="1:2" x14ac:dyDescent="0.25">
      <c r="A1613" t="s">
        <v>2240</v>
      </c>
      <c r="B1613" s="9">
        <v>0</v>
      </c>
    </row>
    <row r="1614" spans="1:2" x14ac:dyDescent="0.25">
      <c r="A1614" t="s">
        <v>2241</v>
      </c>
      <c r="B1614" s="9">
        <v>0</v>
      </c>
    </row>
    <row r="1615" spans="1:2" x14ac:dyDescent="0.25">
      <c r="A1615" t="s">
        <v>2242</v>
      </c>
      <c r="B1615" s="9">
        <v>0</v>
      </c>
    </row>
    <row r="1616" spans="1:2" x14ac:dyDescent="0.25">
      <c r="A1616" t="s">
        <v>2243</v>
      </c>
      <c r="B1616" s="9">
        <v>0.08</v>
      </c>
    </row>
    <row r="1617" spans="1:2" x14ac:dyDescent="0.25">
      <c r="A1617" t="s">
        <v>2244</v>
      </c>
      <c r="B1617" s="9">
        <v>0.08</v>
      </c>
    </row>
    <row r="1618" spans="1:2" x14ac:dyDescent="0.25">
      <c r="A1618" t="s">
        <v>2245</v>
      </c>
      <c r="B1618" s="9">
        <v>0</v>
      </c>
    </row>
    <row r="1619" spans="1:2" x14ac:dyDescent="0.25">
      <c r="A1619" t="s">
        <v>2246</v>
      </c>
      <c r="B1619" s="9">
        <v>0</v>
      </c>
    </row>
    <row r="1620" spans="1:2" x14ac:dyDescent="0.25">
      <c r="A1620" t="s">
        <v>2247</v>
      </c>
      <c r="B1620" s="9">
        <v>0</v>
      </c>
    </row>
    <row r="1621" spans="1:2" x14ac:dyDescent="0.25">
      <c r="A1621" t="s">
        <v>2248</v>
      </c>
      <c r="B1621" s="9">
        <v>0</v>
      </c>
    </row>
    <row r="1622" spans="1:2" x14ac:dyDescent="0.25">
      <c r="A1622" t="s">
        <v>2249</v>
      </c>
      <c r="B1622" s="9">
        <v>0</v>
      </c>
    </row>
    <row r="1623" spans="1:2" x14ac:dyDescent="0.25">
      <c r="A1623" t="s">
        <v>2250</v>
      </c>
      <c r="B1623" s="9">
        <v>0</v>
      </c>
    </row>
    <row r="1624" spans="1:2" x14ac:dyDescent="0.25">
      <c r="A1624" t="s">
        <v>2251</v>
      </c>
      <c r="B1624" s="9">
        <v>0</v>
      </c>
    </row>
    <row r="1625" spans="1:2" x14ac:dyDescent="0.25">
      <c r="A1625" t="s">
        <v>2252</v>
      </c>
      <c r="B1625" s="9">
        <v>0</v>
      </c>
    </row>
    <row r="1626" spans="1:2" x14ac:dyDescent="0.25">
      <c r="A1626" t="s">
        <v>2253</v>
      </c>
      <c r="B1626" s="9">
        <v>0</v>
      </c>
    </row>
    <row r="1627" spans="1:2" x14ac:dyDescent="0.25">
      <c r="A1627" t="s">
        <v>2254</v>
      </c>
      <c r="B1627" s="9">
        <v>0</v>
      </c>
    </row>
    <row r="1628" spans="1:2" x14ac:dyDescent="0.25">
      <c r="A1628" t="s">
        <v>2255</v>
      </c>
      <c r="B1628" s="9">
        <v>0.08</v>
      </c>
    </row>
    <row r="1629" spans="1:2" x14ac:dyDescent="0.25">
      <c r="A1629" t="s">
        <v>2256</v>
      </c>
      <c r="B1629" s="9">
        <v>0.08</v>
      </c>
    </row>
    <row r="1630" spans="1:2" x14ac:dyDescent="0.25">
      <c r="A1630" t="s">
        <v>2257</v>
      </c>
      <c r="B1630" s="9">
        <v>0.08</v>
      </c>
    </row>
    <row r="1631" spans="1:2" x14ac:dyDescent="0.25">
      <c r="A1631" t="s">
        <v>2258</v>
      </c>
      <c r="B1631" s="9">
        <v>0.08</v>
      </c>
    </row>
    <row r="1632" spans="1:2" x14ac:dyDescent="0.25">
      <c r="A1632" t="s">
        <v>2259</v>
      </c>
      <c r="B1632" s="9">
        <v>0</v>
      </c>
    </row>
    <row r="1633" spans="1:2" x14ac:dyDescent="0.25">
      <c r="A1633" t="s">
        <v>2260</v>
      </c>
      <c r="B1633" s="9">
        <v>0</v>
      </c>
    </row>
    <row r="1634" spans="1:2" x14ac:dyDescent="0.25">
      <c r="A1634" t="s">
        <v>2261</v>
      </c>
      <c r="B1634" s="9">
        <v>0</v>
      </c>
    </row>
    <row r="1635" spans="1:2" x14ac:dyDescent="0.25">
      <c r="A1635" t="s">
        <v>2262</v>
      </c>
      <c r="B1635" s="9">
        <v>0.08</v>
      </c>
    </row>
    <row r="1636" spans="1:2" x14ac:dyDescent="0.25">
      <c r="A1636" t="s">
        <v>2263</v>
      </c>
      <c r="B1636" s="9">
        <v>0</v>
      </c>
    </row>
    <row r="1637" spans="1:2" x14ac:dyDescent="0.25">
      <c r="A1637" t="s">
        <v>2264</v>
      </c>
      <c r="B1637" s="9">
        <v>0</v>
      </c>
    </row>
    <row r="1638" spans="1:2" x14ac:dyDescent="0.25">
      <c r="A1638" t="s">
        <v>2265</v>
      </c>
      <c r="B1638" s="9">
        <v>0</v>
      </c>
    </row>
    <row r="1639" spans="1:2" x14ac:dyDescent="0.25">
      <c r="A1639" t="s">
        <v>2266</v>
      </c>
      <c r="B1639" s="9">
        <v>0</v>
      </c>
    </row>
    <row r="1640" spans="1:2" x14ac:dyDescent="0.25">
      <c r="A1640" t="s">
        <v>2267</v>
      </c>
      <c r="B1640" s="9">
        <v>0</v>
      </c>
    </row>
    <row r="1641" spans="1:2" x14ac:dyDescent="0.25">
      <c r="A1641" t="s">
        <v>2268</v>
      </c>
      <c r="B1641" s="9">
        <v>0</v>
      </c>
    </row>
    <row r="1642" spans="1:2" x14ac:dyDescent="0.25">
      <c r="A1642" t="s">
        <v>2269</v>
      </c>
      <c r="B1642" s="9">
        <v>0</v>
      </c>
    </row>
    <row r="1643" spans="1:2" x14ac:dyDescent="0.25">
      <c r="A1643" t="s">
        <v>2270</v>
      </c>
      <c r="B1643" s="9">
        <v>0</v>
      </c>
    </row>
    <row r="1644" spans="1:2" x14ac:dyDescent="0.25">
      <c r="A1644" t="s">
        <v>2271</v>
      </c>
      <c r="B1644" s="9">
        <v>0</v>
      </c>
    </row>
    <row r="1645" spans="1:2" x14ac:dyDescent="0.25">
      <c r="A1645" t="s">
        <v>2272</v>
      </c>
      <c r="B1645" s="9">
        <v>0</v>
      </c>
    </row>
    <row r="1646" spans="1:2" x14ac:dyDescent="0.25">
      <c r="A1646" t="s">
        <v>2273</v>
      </c>
      <c r="B1646" s="9">
        <v>0</v>
      </c>
    </row>
    <row r="1647" spans="1:2" x14ac:dyDescent="0.25">
      <c r="A1647" t="s">
        <v>2274</v>
      </c>
      <c r="B1647" s="9">
        <v>0</v>
      </c>
    </row>
    <row r="1648" spans="1:2" x14ac:dyDescent="0.25">
      <c r="A1648" t="s">
        <v>2275</v>
      </c>
      <c r="B1648" s="9">
        <v>0.08</v>
      </c>
    </row>
    <row r="1649" spans="1:2" x14ac:dyDescent="0.25">
      <c r="A1649" t="s">
        <v>2276</v>
      </c>
      <c r="B1649" s="9">
        <v>0</v>
      </c>
    </row>
    <row r="1650" spans="1:2" x14ac:dyDescent="0.25">
      <c r="A1650" t="s">
        <v>2277</v>
      </c>
      <c r="B1650" s="9">
        <v>0</v>
      </c>
    </row>
    <row r="1651" spans="1:2" x14ac:dyDescent="0.25">
      <c r="A1651" t="s">
        <v>2278</v>
      </c>
      <c r="B1651" s="9">
        <v>0.04</v>
      </c>
    </row>
    <row r="1652" spans="1:2" x14ac:dyDescent="0.25">
      <c r="A1652" t="s">
        <v>2279</v>
      </c>
      <c r="B1652" s="9">
        <v>0.04</v>
      </c>
    </row>
    <row r="1653" spans="1:2" x14ac:dyDescent="0.25">
      <c r="A1653" t="s">
        <v>2280</v>
      </c>
      <c r="B1653" s="9">
        <v>0</v>
      </c>
    </row>
    <row r="1654" spans="1:2" x14ac:dyDescent="0.25">
      <c r="A1654" t="s">
        <v>2281</v>
      </c>
      <c r="B1654" s="9">
        <v>0.04</v>
      </c>
    </row>
    <row r="1655" spans="1:2" x14ac:dyDescent="0.25">
      <c r="A1655" t="s">
        <v>2282</v>
      </c>
      <c r="B1655" s="9">
        <v>0</v>
      </c>
    </row>
    <row r="1656" spans="1:2" x14ac:dyDescent="0.25">
      <c r="A1656" t="s">
        <v>2283</v>
      </c>
      <c r="B1656" s="9">
        <v>0</v>
      </c>
    </row>
    <row r="1657" spans="1:2" x14ac:dyDescent="0.25">
      <c r="A1657" t="s">
        <v>2284</v>
      </c>
      <c r="B1657" s="9">
        <v>0</v>
      </c>
    </row>
    <row r="1658" spans="1:2" x14ac:dyDescent="0.25">
      <c r="A1658" t="s">
        <v>2285</v>
      </c>
      <c r="B1658" s="9">
        <v>0</v>
      </c>
    </row>
    <row r="1659" spans="1:2" x14ac:dyDescent="0.25">
      <c r="A1659" t="s">
        <v>2286</v>
      </c>
      <c r="B1659" s="9">
        <v>0</v>
      </c>
    </row>
    <row r="1660" spans="1:2" x14ac:dyDescent="0.25">
      <c r="A1660" t="s">
        <v>2287</v>
      </c>
      <c r="B1660" s="9">
        <v>0</v>
      </c>
    </row>
    <row r="1661" spans="1:2" x14ac:dyDescent="0.25">
      <c r="A1661" t="s">
        <v>2288</v>
      </c>
      <c r="B1661" s="9">
        <v>0</v>
      </c>
    </row>
    <row r="1662" spans="1:2" x14ac:dyDescent="0.25">
      <c r="A1662" t="s">
        <v>2289</v>
      </c>
      <c r="B1662" s="9">
        <v>0</v>
      </c>
    </row>
    <row r="1663" spans="1:2" x14ac:dyDescent="0.25">
      <c r="A1663" t="s">
        <v>2290</v>
      </c>
      <c r="B1663" s="9">
        <v>0</v>
      </c>
    </row>
    <row r="1664" spans="1:2" x14ac:dyDescent="0.25">
      <c r="A1664" t="s">
        <v>2291</v>
      </c>
      <c r="B1664" s="9">
        <v>0</v>
      </c>
    </row>
    <row r="1665" spans="1:2" x14ac:dyDescent="0.25">
      <c r="A1665" t="s">
        <v>2292</v>
      </c>
      <c r="B1665" s="9">
        <v>0</v>
      </c>
    </row>
    <row r="1666" spans="1:2" x14ac:dyDescent="0.25">
      <c r="A1666" t="s">
        <v>2293</v>
      </c>
      <c r="B1666" s="9">
        <v>0</v>
      </c>
    </row>
    <row r="1667" spans="1:2" x14ac:dyDescent="0.25">
      <c r="A1667" t="s">
        <v>2294</v>
      </c>
      <c r="B1667" s="9">
        <v>0</v>
      </c>
    </row>
    <row r="1668" spans="1:2" x14ac:dyDescent="0.25">
      <c r="A1668" t="s">
        <v>2295</v>
      </c>
      <c r="B1668" s="9">
        <v>0</v>
      </c>
    </row>
    <row r="1669" spans="1:2" x14ac:dyDescent="0.25">
      <c r="A1669" t="s">
        <v>2296</v>
      </c>
      <c r="B1669" s="9">
        <v>0</v>
      </c>
    </row>
    <row r="1670" spans="1:2" x14ac:dyDescent="0.25">
      <c r="A1670" t="s">
        <v>2297</v>
      </c>
      <c r="B1670" s="9">
        <v>0</v>
      </c>
    </row>
    <row r="1671" spans="1:2" x14ac:dyDescent="0.25">
      <c r="A1671" t="s">
        <v>2298</v>
      </c>
      <c r="B1671" s="9">
        <v>0</v>
      </c>
    </row>
    <row r="1672" spans="1:2" x14ac:dyDescent="0.25">
      <c r="A1672" t="s">
        <v>2299</v>
      </c>
      <c r="B1672" s="9">
        <v>0</v>
      </c>
    </row>
    <row r="1673" spans="1:2" x14ac:dyDescent="0.25">
      <c r="A1673" t="s">
        <v>2300</v>
      </c>
      <c r="B1673" s="9">
        <v>0</v>
      </c>
    </row>
    <row r="1674" spans="1:2" x14ac:dyDescent="0.25">
      <c r="A1674" t="s">
        <v>2301</v>
      </c>
      <c r="B1674" s="9">
        <v>0</v>
      </c>
    </row>
    <row r="1675" spans="1:2" x14ac:dyDescent="0.25">
      <c r="A1675" t="s">
        <v>2302</v>
      </c>
      <c r="B1675" s="9">
        <v>0</v>
      </c>
    </row>
    <row r="1676" spans="1:2" x14ac:dyDescent="0.25">
      <c r="A1676" t="s">
        <v>2303</v>
      </c>
      <c r="B1676" s="9">
        <v>0</v>
      </c>
    </row>
    <row r="1677" spans="1:2" x14ac:dyDescent="0.25">
      <c r="A1677" t="s">
        <v>2304</v>
      </c>
      <c r="B1677" s="9">
        <v>0</v>
      </c>
    </row>
    <row r="1678" spans="1:2" x14ac:dyDescent="0.25">
      <c r="A1678" t="s">
        <v>2305</v>
      </c>
      <c r="B1678" s="9">
        <v>0</v>
      </c>
    </row>
    <row r="1679" spans="1:2" x14ac:dyDescent="0.25">
      <c r="A1679" t="s">
        <v>2306</v>
      </c>
      <c r="B1679" s="9">
        <v>0</v>
      </c>
    </row>
    <row r="1680" spans="1:2" x14ac:dyDescent="0.25">
      <c r="A1680" t="s">
        <v>2307</v>
      </c>
      <c r="B1680" s="9">
        <v>0</v>
      </c>
    </row>
    <row r="1681" spans="1:2" x14ac:dyDescent="0.25">
      <c r="A1681" t="s">
        <v>2308</v>
      </c>
      <c r="B1681" s="9">
        <v>0</v>
      </c>
    </row>
    <row r="1682" spans="1:2" x14ac:dyDescent="0.25">
      <c r="A1682" t="s">
        <v>2309</v>
      </c>
      <c r="B1682" s="9">
        <v>0</v>
      </c>
    </row>
    <row r="1683" spans="1:2" x14ac:dyDescent="0.25">
      <c r="A1683" t="s">
        <v>2310</v>
      </c>
      <c r="B1683" s="9">
        <v>0</v>
      </c>
    </row>
    <row r="1684" spans="1:2" x14ac:dyDescent="0.25">
      <c r="A1684" t="s">
        <v>2311</v>
      </c>
      <c r="B1684" s="9">
        <v>0</v>
      </c>
    </row>
    <row r="1685" spans="1:2" x14ac:dyDescent="0.25">
      <c r="A1685" t="s">
        <v>2312</v>
      </c>
      <c r="B1685" s="9">
        <v>0</v>
      </c>
    </row>
    <row r="1686" spans="1:2" x14ac:dyDescent="0.25">
      <c r="A1686" t="s">
        <v>2313</v>
      </c>
      <c r="B1686" s="9">
        <v>0</v>
      </c>
    </row>
    <row r="1687" spans="1:2" x14ac:dyDescent="0.25">
      <c r="A1687" t="s">
        <v>2314</v>
      </c>
      <c r="B1687" s="9">
        <v>0</v>
      </c>
    </row>
    <row r="1688" spans="1:2" x14ac:dyDescent="0.25">
      <c r="A1688" t="s">
        <v>2315</v>
      </c>
      <c r="B1688" s="9">
        <v>0</v>
      </c>
    </row>
    <row r="1689" spans="1:2" x14ac:dyDescent="0.25">
      <c r="A1689" t="s">
        <v>2316</v>
      </c>
      <c r="B1689" s="9">
        <v>0</v>
      </c>
    </row>
    <row r="1690" spans="1:2" x14ac:dyDescent="0.25">
      <c r="A1690" t="s">
        <v>2317</v>
      </c>
      <c r="B1690" s="9">
        <v>0</v>
      </c>
    </row>
    <row r="1691" spans="1:2" x14ac:dyDescent="0.25">
      <c r="A1691" t="s">
        <v>2318</v>
      </c>
      <c r="B1691" s="9">
        <v>0</v>
      </c>
    </row>
    <row r="1692" spans="1:2" x14ac:dyDescent="0.25">
      <c r="A1692" t="s">
        <v>2319</v>
      </c>
      <c r="B1692" s="9">
        <v>0</v>
      </c>
    </row>
    <row r="1693" spans="1:2" x14ac:dyDescent="0.25">
      <c r="A1693" t="s">
        <v>2320</v>
      </c>
      <c r="B1693" s="9">
        <v>0</v>
      </c>
    </row>
    <row r="1694" spans="1:2" x14ac:dyDescent="0.25">
      <c r="A1694" t="s">
        <v>2321</v>
      </c>
      <c r="B1694" s="9">
        <v>0</v>
      </c>
    </row>
    <row r="1695" spans="1:2" x14ac:dyDescent="0.25">
      <c r="A1695" t="s">
        <v>2322</v>
      </c>
      <c r="B1695" s="9">
        <v>0</v>
      </c>
    </row>
    <row r="1696" spans="1:2" x14ac:dyDescent="0.25">
      <c r="A1696" t="s">
        <v>2323</v>
      </c>
      <c r="B1696" s="9">
        <v>0</v>
      </c>
    </row>
    <row r="1697" spans="1:2" x14ac:dyDescent="0.25">
      <c r="A1697" t="s">
        <v>2324</v>
      </c>
      <c r="B1697" s="9">
        <v>0</v>
      </c>
    </row>
    <row r="1698" spans="1:2" x14ac:dyDescent="0.25">
      <c r="A1698" t="s">
        <v>2325</v>
      </c>
      <c r="B1698" s="9">
        <v>0</v>
      </c>
    </row>
    <row r="1699" spans="1:2" x14ac:dyDescent="0.25">
      <c r="A1699" t="s">
        <v>2326</v>
      </c>
      <c r="B1699" s="9">
        <v>0</v>
      </c>
    </row>
    <row r="1700" spans="1:2" x14ac:dyDescent="0.25">
      <c r="A1700" t="s">
        <v>2327</v>
      </c>
      <c r="B1700" s="9">
        <v>0</v>
      </c>
    </row>
    <row r="1701" spans="1:2" x14ac:dyDescent="0.25">
      <c r="A1701" t="s">
        <v>2328</v>
      </c>
      <c r="B1701" s="9">
        <v>0</v>
      </c>
    </row>
    <row r="1702" spans="1:2" x14ac:dyDescent="0.25">
      <c r="A1702" t="s">
        <v>2329</v>
      </c>
      <c r="B1702" s="9">
        <v>0</v>
      </c>
    </row>
    <row r="1703" spans="1:2" x14ac:dyDescent="0.25">
      <c r="A1703" t="s">
        <v>2330</v>
      </c>
      <c r="B1703" s="9">
        <v>0</v>
      </c>
    </row>
    <row r="1704" spans="1:2" x14ac:dyDescent="0.25">
      <c r="A1704" t="s">
        <v>2331</v>
      </c>
      <c r="B1704" s="9">
        <v>0</v>
      </c>
    </row>
    <row r="1705" spans="1:2" x14ac:dyDescent="0.25">
      <c r="A1705" t="s">
        <v>2332</v>
      </c>
      <c r="B1705" s="9">
        <v>0</v>
      </c>
    </row>
    <row r="1706" spans="1:2" x14ac:dyDescent="0.25">
      <c r="A1706" t="s">
        <v>2333</v>
      </c>
      <c r="B1706" s="9">
        <v>0</v>
      </c>
    </row>
    <row r="1707" spans="1:2" x14ac:dyDescent="0.25">
      <c r="A1707" t="s">
        <v>2334</v>
      </c>
      <c r="B1707" s="9">
        <v>0</v>
      </c>
    </row>
    <row r="1708" spans="1:2" x14ac:dyDescent="0.25">
      <c r="A1708" t="s">
        <v>2335</v>
      </c>
      <c r="B1708" s="9">
        <v>0</v>
      </c>
    </row>
    <row r="1709" spans="1:2" x14ac:dyDescent="0.25">
      <c r="A1709" t="s">
        <v>2336</v>
      </c>
      <c r="B1709" s="9">
        <v>0</v>
      </c>
    </row>
    <row r="1710" spans="1:2" x14ac:dyDescent="0.25">
      <c r="A1710" t="s">
        <v>2337</v>
      </c>
      <c r="B1710" s="9">
        <v>0</v>
      </c>
    </row>
    <row r="1711" spans="1:2" x14ac:dyDescent="0.25">
      <c r="A1711" t="s">
        <v>2338</v>
      </c>
      <c r="B1711" s="9">
        <v>0</v>
      </c>
    </row>
    <row r="1712" spans="1:2" x14ac:dyDescent="0.25">
      <c r="A1712" t="s">
        <v>2339</v>
      </c>
      <c r="B1712" s="9">
        <v>0</v>
      </c>
    </row>
    <row r="1713" spans="1:2" x14ac:dyDescent="0.25">
      <c r="A1713" t="s">
        <v>2340</v>
      </c>
      <c r="B1713" s="9">
        <v>0</v>
      </c>
    </row>
    <row r="1714" spans="1:2" x14ac:dyDescent="0.25">
      <c r="A1714" t="s">
        <v>2341</v>
      </c>
      <c r="B1714" s="9">
        <v>0</v>
      </c>
    </row>
    <row r="1715" spans="1:2" x14ac:dyDescent="0.25">
      <c r="A1715" t="s">
        <v>2342</v>
      </c>
      <c r="B1715" s="9">
        <v>0</v>
      </c>
    </row>
    <row r="1716" spans="1:2" x14ac:dyDescent="0.25">
      <c r="A1716" t="s">
        <v>2343</v>
      </c>
      <c r="B1716" s="9">
        <v>0</v>
      </c>
    </row>
    <row r="1717" spans="1:2" x14ac:dyDescent="0.25">
      <c r="A1717" t="s">
        <v>2344</v>
      </c>
      <c r="B1717" s="9">
        <v>0</v>
      </c>
    </row>
    <row r="1718" spans="1:2" x14ac:dyDescent="0.25">
      <c r="A1718" t="s">
        <v>2345</v>
      </c>
      <c r="B1718" s="9">
        <v>0</v>
      </c>
    </row>
    <row r="1719" spans="1:2" x14ac:dyDescent="0.25">
      <c r="A1719" t="s">
        <v>2346</v>
      </c>
      <c r="B1719" s="9">
        <v>0</v>
      </c>
    </row>
    <row r="1720" spans="1:2" x14ac:dyDescent="0.25">
      <c r="A1720" t="s">
        <v>2347</v>
      </c>
      <c r="B1720" s="9">
        <v>0</v>
      </c>
    </row>
    <row r="1721" spans="1:2" x14ac:dyDescent="0.25">
      <c r="A1721" t="s">
        <v>2348</v>
      </c>
      <c r="B1721" s="9">
        <v>0</v>
      </c>
    </row>
    <row r="1722" spans="1:2" x14ac:dyDescent="0.25">
      <c r="A1722" t="s">
        <v>2349</v>
      </c>
      <c r="B1722" s="9">
        <v>0</v>
      </c>
    </row>
    <row r="1723" spans="1:2" x14ac:dyDescent="0.25">
      <c r="A1723" t="s">
        <v>2350</v>
      </c>
      <c r="B1723" s="9">
        <v>0</v>
      </c>
    </row>
    <row r="1724" spans="1:2" x14ac:dyDescent="0.25">
      <c r="A1724" t="s">
        <v>2351</v>
      </c>
      <c r="B1724" s="9">
        <v>0</v>
      </c>
    </row>
    <row r="1725" spans="1:2" x14ac:dyDescent="0.25">
      <c r="A1725" t="s">
        <v>2352</v>
      </c>
      <c r="B1725" s="9">
        <v>0</v>
      </c>
    </row>
    <row r="1726" spans="1:2" x14ac:dyDescent="0.25">
      <c r="A1726" t="s">
        <v>2353</v>
      </c>
      <c r="B1726" s="9">
        <v>0</v>
      </c>
    </row>
    <row r="1727" spans="1:2" x14ac:dyDescent="0.25">
      <c r="A1727" t="s">
        <v>2354</v>
      </c>
      <c r="B1727" s="9">
        <v>0</v>
      </c>
    </row>
    <row r="1728" spans="1:2" x14ac:dyDescent="0.25">
      <c r="A1728" t="s">
        <v>2355</v>
      </c>
      <c r="B1728" s="9">
        <v>0</v>
      </c>
    </row>
    <row r="1729" spans="1:2" x14ac:dyDescent="0.25">
      <c r="A1729" t="s">
        <v>2356</v>
      </c>
      <c r="B1729" s="9">
        <v>0</v>
      </c>
    </row>
    <row r="1730" spans="1:2" x14ac:dyDescent="0.25">
      <c r="A1730" t="s">
        <v>2357</v>
      </c>
      <c r="B1730" s="9">
        <v>0</v>
      </c>
    </row>
    <row r="1731" spans="1:2" x14ac:dyDescent="0.25">
      <c r="A1731" t="s">
        <v>2358</v>
      </c>
      <c r="B1731" s="9">
        <v>0</v>
      </c>
    </row>
    <row r="1732" spans="1:2" x14ac:dyDescent="0.25">
      <c r="A1732" t="s">
        <v>2359</v>
      </c>
      <c r="B1732" s="9">
        <v>0</v>
      </c>
    </row>
    <row r="1733" spans="1:2" x14ac:dyDescent="0.25">
      <c r="A1733" t="s">
        <v>2360</v>
      </c>
      <c r="B1733" s="9">
        <v>0</v>
      </c>
    </row>
    <row r="1734" spans="1:2" x14ac:dyDescent="0.25">
      <c r="A1734" t="s">
        <v>2361</v>
      </c>
      <c r="B1734" s="9">
        <v>0</v>
      </c>
    </row>
    <row r="1735" spans="1:2" x14ac:dyDescent="0.25">
      <c r="A1735" t="s">
        <v>2362</v>
      </c>
      <c r="B1735" s="9">
        <v>0</v>
      </c>
    </row>
    <row r="1736" spans="1:2" x14ac:dyDescent="0.25">
      <c r="A1736" t="s">
        <v>2363</v>
      </c>
      <c r="B1736" s="9">
        <v>0</v>
      </c>
    </row>
    <row r="1737" spans="1:2" x14ac:dyDescent="0.25">
      <c r="A1737" t="s">
        <v>2364</v>
      </c>
      <c r="B1737" s="9">
        <v>0</v>
      </c>
    </row>
    <row r="1738" spans="1:2" x14ac:dyDescent="0.25">
      <c r="A1738" t="s">
        <v>2365</v>
      </c>
      <c r="B1738" s="9">
        <v>0</v>
      </c>
    </row>
    <row r="1739" spans="1:2" x14ac:dyDescent="0.25">
      <c r="A1739" t="s">
        <v>2366</v>
      </c>
      <c r="B1739" s="9">
        <v>0</v>
      </c>
    </row>
    <row r="1740" spans="1:2" x14ac:dyDescent="0.25">
      <c r="A1740" t="s">
        <v>2367</v>
      </c>
      <c r="B1740" s="9">
        <v>0</v>
      </c>
    </row>
    <row r="1741" spans="1:2" x14ac:dyDescent="0.25">
      <c r="A1741" t="s">
        <v>2368</v>
      </c>
      <c r="B1741" s="9">
        <v>0</v>
      </c>
    </row>
    <row r="1742" spans="1:2" x14ac:dyDescent="0.25">
      <c r="A1742" t="s">
        <v>2369</v>
      </c>
      <c r="B1742" s="9">
        <v>0</v>
      </c>
    </row>
    <row r="1743" spans="1:2" x14ac:dyDescent="0.25">
      <c r="A1743" t="s">
        <v>2370</v>
      </c>
      <c r="B1743" s="9">
        <v>0</v>
      </c>
    </row>
    <row r="1744" spans="1:2" x14ac:dyDescent="0.25">
      <c r="A1744" t="s">
        <v>2371</v>
      </c>
      <c r="B1744" s="9">
        <v>0</v>
      </c>
    </row>
    <row r="1745" spans="1:2" x14ac:dyDescent="0.25">
      <c r="A1745" t="s">
        <v>2372</v>
      </c>
      <c r="B1745" s="9">
        <v>0</v>
      </c>
    </row>
    <row r="1746" spans="1:2" x14ac:dyDescent="0.25">
      <c r="A1746" t="s">
        <v>2373</v>
      </c>
      <c r="B1746" s="9">
        <v>0</v>
      </c>
    </row>
    <row r="1747" spans="1:2" x14ac:dyDescent="0.25">
      <c r="A1747" t="s">
        <v>2374</v>
      </c>
      <c r="B1747" s="9">
        <v>0</v>
      </c>
    </row>
    <row r="1748" spans="1:2" x14ac:dyDescent="0.25">
      <c r="A1748" t="s">
        <v>2375</v>
      </c>
      <c r="B1748" s="9">
        <v>0</v>
      </c>
    </row>
    <row r="1749" spans="1:2" x14ac:dyDescent="0.25">
      <c r="A1749" t="s">
        <v>2376</v>
      </c>
      <c r="B1749" s="9">
        <v>0</v>
      </c>
    </row>
    <row r="1750" spans="1:2" x14ac:dyDescent="0.25">
      <c r="A1750" t="s">
        <v>2377</v>
      </c>
      <c r="B1750" s="9">
        <v>0</v>
      </c>
    </row>
    <row r="1751" spans="1:2" x14ac:dyDescent="0.25">
      <c r="A1751" t="s">
        <v>2378</v>
      </c>
      <c r="B1751" s="9">
        <v>0</v>
      </c>
    </row>
    <row r="1752" spans="1:2" x14ac:dyDescent="0.25">
      <c r="A1752" t="s">
        <v>2379</v>
      </c>
      <c r="B1752" s="9">
        <v>0</v>
      </c>
    </row>
    <row r="1753" spans="1:2" x14ac:dyDescent="0.25">
      <c r="A1753" t="s">
        <v>2380</v>
      </c>
      <c r="B1753" s="9">
        <v>0</v>
      </c>
    </row>
    <row r="1754" spans="1:2" x14ac:dyDescent="0.25">
      <c r="A1754" t="s">
        <v>2381</v>
      </c>
      <c r="B1754" s="9">
        <v>0</v>
      </c>
    </row>
    <row r="1755" spans="1:2" x14ac:dyDescent="0.25">
      <c r="A1755" t="s">
        <v>2382</v>
      </c>
      <c r="B1755" s="9">
        <v>0</v>
      </c>
    </row>
    <row r="1756" spans="1:2" x14ac:dyDescent="0.25">
      <c r="A1756" t="s">
        <v>2383</v>
      </c>
      <c r="B1756" s="9">
        <v>0</v>
      </c>
    </row>
    <row r="1757" spans="1:2" x14ac:dyDescent="0.25">
      <c r="A1757" t="s">
        <v>2384</v>
      </c>
      <c r="B1757" s="9">
        <v>0</v>
      </c>
    </row>
    <row r="1758" spans="1:2" x14ac:dyDescent="0.25">
      <c r="A1758" t="s">
        <v>2385</v>
      </c>
      <c r="B1758" s="9">
        <v>0</v>
      </c>
    </row>
    <row r="1759" spans="1:2" x14ac:dyDescent="0.25">
      <c r="A1759" t="s">
        <v>2386</v>
      </c>
      <c r="B1759" s="9">
        <v>0</v>
      </c>
    </row>
    <row r="1760" spans="1:2" x14ac:dyDescent="0.25">
      <c r="A1760" t="s">
        <v>2387</v>
      </c>
      <c r="B1760" s="9">
        <v>0</v>
      </c>
    </row>
    <row r="1761" spans="1:2" x14ac:dyDescent="0.25">
      <c r="A1761" t="s">
        <v>2388</v>
      </c>
      <c r="B1761" s="9">
        <v>0</v>
      </c>
    </row>
    <row r="1762" spans="1:2" x14ac:dyDescent="0.25">
      <c r="A1762" t="s">
        <v>2389</v>
      </c>
      <c r="B1762" s="9">
        <v>0</v>
      </c>
    </row>
    <row r="1763" spans="1:2" x14ac:dyDescent="0.25">
      <c r="A1763" t="s">
        <v>2390</v>
      </c>
      <c r="B1763" s="9">
        <v>0</v>
      </c>
    </row>
    <row r="1764" spans="1:2" x14ac:dyDescent="0.25">
      <c r="A1764" t="s">
        <v>2391</v>
      </c>
      <c r="B1764" s="9">
        <v>0</v>
      </c>
    </row>
    <row r="1765" spans="1:2" x14ac:dyDescent="0.25">
      <c r="A1765" t="s">
        <v>2392</v>
      </c>
      <c r="B1765" s="9">
        <v>0</v>
      </c>
    </row>
    <row r="1766" spans="1:2" x14ac:dyDescent="0.25">
      <c r="A1766" t="s">
        <v>2393</v>
      </c>
      <c r="B1766" s="9">
        <v>0</v>
      </c>
    </row>
    <row r="1767" spans="1:2" x14ac:dyDescent="0.25">
      <c r="A1767" t="s">
        <v>2394</v>
      </c>
      <c r="B1767" s="9">
        <v>0</v>
      </c>
    </row>
    <row r="1768" spans="1:2" x14ac:dyDescent="0.25">
      <c r="A1768" t="s">
        <v>2395</v>
      </c>
      <c r="B1768" s="9">
        <v>0</v>
      </c>
    </row>
    <row r="1769" spans="1:2" x14ac:dyDescent="0.25">
      <c r="A1769" t="s">
        <v>2396</v>
      </c>
      <c r="B1769" s="9">
        <v>0</v>
      </c>
    </row>
    <row r="1770" spans="1:2" x14ac:dyDescent="0.25">
      <c r="A1770" t="s">
        <v>2397</v>
      </c>
      <c r="B1770" s="9">
        <v>0</v>
      </c>
    </row>
    <row r="1771" spans="1:2" x14ac:dyDescent="0.25">
      <c r="A1771" t="s">
        <v>2398</v>
      </c>
      <c r="B1771" s="9">
        <v>0</v>
      </c>
    </row>
    <row r="1772" spans="1:2" x14ac:dyDescent="0.25">
      <c r="A1772" t="s">
        <v>2399</v>
      </c>
      <c r="B1772" s="9">
        <v>0</v>
      </c>
    </row>
    <row r="1773" spans="1:2" x14ac:dyDescent="0.25">
      <c r="A1773" t="s">
        <v>2400</v>
      </c>
      <c r="B1773" s="9">
        <v>0</v>
      </c>
    </row>
    <row r="1774" spans="1:2" x14ac:dyDescent="0.25">
      <c r="A1774" t="s">
        <v>2401</v>
      </c>
      <c r="B1774" s="9">
        <v>0</v>
      </c>
    </row>
    <row r="1775" spans="1:2" x14ac:dyDescent="0.25">
      <c r="A1775" t="s">
        <v>2402</v>
      </c>
      <c r="B1775" s="9">
        <v>0</v>
      </c>
    </row>
    <row r="1776" spans="1:2" x14ac:dyDescent="0.25">
      <c r="A1776" t="s">
        <v>2403</v>
      </c>
      <c r="B1776" s="9">
        <v>0</v>
      </c>
    </row>
    <row r="1777" spans="1:2" x14ac:dyDescent="0.25">
      <c r="A1777" t="s">
        <v>2404</v>
      </c>
      <c r="B1777" s="9">
        <v>0</v>
      </c>
    </row>
    <row r="1778" spans="1:2" x14ac:dyDescent="0.25">
      <c r="A1778" t="s">
        <v>2405</v>
      </c>
      <c r="B1778" s="9">
        <v>0</v>
      </c>
    </row>
    <row r="1779" spans="1:2" x14ac:dyDescent="0.25">
      <c r="A1779" t="s">
        <v>2406</v>
      </c>
      <c r="B1779" s="9">
        <v>0</v>
      </c>
    </row>
    <row r="1780" spans="1:2" x14ac:dyDescent="0.25">
      <c r="A1780" t="s">
        <v>2407</v>
      </c>
      <c r="B1780" s="9">
        <v>0</v>
      </c>
    </row>
    <row r="1781" spans="1:2" x14ac:dyDescent="0.25">
      <c r="A1781" t="s">
        <v>2408</v>
      </c>
      <c r="B1781" s="9">
        <v>0</v>
      </c>
    </row>
    <row r="1782" spans="1:2" x14ac:dyDescent="0.25">
      <c r="A1782" t="s">
        <v>2409</v>
      </c>
      <c r="B1782" s="9">
        <v>0</v>
      </c>
    </row>
    <row r="1783" spans="1:2" x14ac:dyDescent="0.25">
      <c r="A1783" t="s">
        <v>2410</v>
      </c>
      <c r="B1783" s="9">
        <v>0</v>
      </c>
    </row>
    <row r="1784" spans="1:2" x14ac:dyDescent="0.25">
      <c r="A1784" t="s">
        <v>2411</v>
      </c>
      <c r="B1784" s="9">
        <v>0</v>
      </c>
    </row>
    <row r="1785" spans="1:2" x14ac:dyDescent="0.25">
      <c r="A1785" t="s">
        <v>2412</v>
      </c>
      <c r="B1785" s="9">
        <v>0</v>
      </c>
    </row>
    <row r="1786" spans="1:2" x14ac:dyDescent="0.25">
      <c r="A1786" t="s">
        <v>2413</v>
      </c>
      <c r="B1786" s="9">
        <v>0</v>
      </c>
    </row>
    <row r="1787" spans="1:2" x14ac:dyDescent="0.25">
      <c r="A1787" t="s">
        <v>2414</v>
      </c>
      <c r="B1787" s="9">
        <v>0</v>
      </c>
    </row>
    <row r="1788" spans="1:2" x14ac:dyDescent="0.25">
      <c r="A1788" t="s">
        <v>2415</v>
      </c>
      <c r="B1788" s="9">
        <v>0</v>
      </c>
    </row>
    <row r="1789" spans="1:2" x14ac:dyDescent="0.25">
      <c r="A1789" t="s">
        <v>2416</v>
      </c>
      <c r="B1789" s="9">
        <v>0</v>
      </c>
    </row>
    <row r="1790" spans="1:2" x14ac:dyDescent="0.25">
      <c r="A1790" t="s">
        <v>2417</v>
      </c>
      <c r="B1790" s="9">
        <v>0</v>
      </c>
    </row>
    <row r="1791" spans="1:2" x14ac:dyDescent="0.25">
      <c r="A1791" t="s">
        <v>2418</v>
      </c>
      <c r="B1791" s="9">
        <v>0</v>
      </c>
    </row>
    <row r="1792" spans="1:2" x14ac:dyDescent="0.25">
      <c r="A1792" t="s">
        <v>2419</v>
      </c>
      <c r="B1792" s="9">
        <v>0</v>
      </c>
    </row>
    <row r="1793" spans="1:2" x14ac:dyDescent="0.25">
      <c r="A1793" t="s">
        <v>2420</v>
      </c>
      <c r="B1793" s="9">
        <v>0</v>
      </c>
    </row>
    <row r="1794" spans="1:2" x14ac:dyDescent="0.25">
      <c r="A1794" t="s">
        <v>2421</v>
      </c>
      <c r="B1794" s="9">
        <v>0</v>
      </c>
    </row>
    <row r="1795" spans="1:2" x14ac:dyDescent="0.25">
      <c r="A1795" t="s">
        <v>2422</v>
      </c>
      <c r="B1795" s="9">
        <v>0</v>
      </c>
    </row>
    <row r="1796" spans="1:2" x14ac:dyDescent="0.25">
      <c r="A1796" t="s">
        <v>2423</v>
      </c>
      <c r="B1796" s="9">
        <v>0</v>
      </c>
    </row>
    <row r="1797" spans="1:2" x14ac:dyDescent="0.25">
      <c r="A1797" t="s">
        <v>2424</v>
      </c>
      <c r="B1797" s="9">
        <v>0</v>
      </c>
    </row>
    <row r="1798" spans="1:2" x14ac:dyDescent="0.25">
      <c r="A1798" t="s">
        <v>2425</v>
      </c>
      <c r="B1798" s="9">
        <v>0</v>
      </c>
    </row>
    <row r="1799" spans="1:2" x14ac:dyDescent="0.25">
      <c r="A1799" t="s">
        <v>2426</v>
      </c>
      <c r="B1799" s="9">
        <v>0</v>
      </c>
    </row>
    <row r="1800" spans="1:2" x14ac:dyDescent="0.25">
      <c r="A1800" t="s">
        <v>2427</v>
      </c>
      <c r="B1800" s="9">
        <v>0</v>
      </c>
    </row>
    <row r="1801" spans="1:2" x14ac:dyDescent="0.25">
      <c r="A1801" t="s">
        <v>2428</v>
      </c>
      <c r="B1801" s="9">
        <v>0</v>
      </c>
    </row>
    <row r="1802" spans="1:2" x14ac:dyDescent="0.25">
      <c r="A1802" t="s">
        <v>2429</v>
      </c>
      <c r="B1802" s="9">
        <v>0</v>
      </c>
    </row>
    <row r="1803" spans="1:2" x14ac:dyDescent="0.25">
      <c r="A1803" t="s">
        <v>2430</v>
      </c>
      <c r="B1803" s="9">
        <v>0</v>
      </c>
    </row>
    <row r="1804" spans="1:2" x14ac:dyDescent="0.25">
      <c r="A1804" t="s">
        <v>2431</v>
      </c>
      <c r="B1804" s="9">
        <v>0</v>
      </c>
    </row>
    <row r="1805" spans="1:2" x14ac:dyDescent="0.25">
      <c r="A1805" t="s">
        <v>2432</v>
      </c>
      <c r="B1805" s="9">
        <v>0</v>
      </c>
    </row>
    <row r="1806" spans="1:2" x14ac:dyDescent="0.25">
      <c r="A1806" t="s">
        <v>2433</v>
      </c>
      <c r="B1806" s="9">
        <v>0</v>
      </c>
    </row>
    <row r="1807" spans="1:2" x14ac:dyDescent="0.25">
      <c r="A1807" t="s">
        <v>2434</v>
      </c>
      <c r="B1807" s="9">
        <v>0</v>
      </c>
    </row>
    <row r="1808" spans="1:2" x14ac:dyDescent="0.25">
      <c r="A1808" t="s">
        <v>2435</v>
      </c>
      <c r="B1808" s="9">
        <v>0</v>
      </c>
    </row>
    <row r="1809" spans="1:2" x14ac:dyDescent="0.25">
      <c r="A1809" t="s">
        <v>2436</v>
      </c>
      <c r="B1809" s="9">
        <v>0</v>
      </c>
    </row>
    <row r="1810" spans="1:2" x14ac:dyDescent="0.25">
      <c r="A1810" t="s">
        <v>2437</v>
      </c>
      <c r="B1810" s="9">
        <v>0</v>
      </c>
    </row>
    <row r="1811" spans="1:2" x14ac:dyDescent="0.25">
      <c r="A1811" t="s">
        <v>2438</v>
      </c>
      <c r="B1811" s="9">
        <v>0</v>
      </c>
    </row>
    <row r="1812" spans="1:2" x14ac:dyDescent="0.25">
      <c r="A1812" t="s">
        <v>2439</v>
      </c>
      <c r="B1812" s="9">
        <v>0</v>
      </c>
    </row>
    <row r="1813" spans="1:2" x14ac:dyDescent="0.25">
      <c r="A1813" t="s">
        <v>2440</v>
      </c>
      <c r="B1813" s="9">
        <v>0</v>
      </c>
    </row>
    <row r="1814" spans="1:2" x14ac:dyDescent="0.25">
      <c r="A1814" t="s">
        <v>2441</v>
      </c>
      <c r="B1814" s="9">
        <v>0</v>
      </c>
    </row>
    <row r="1815" spans="1:2" x14ac:dyDescent="0.25">
      <c r="A1815" t="s">
        <v>2442</v>
      </c>
      <c r="B1815" s="9">
        <v>0</v>
      </c>
    </row>
    <row r="1816" spans="1:2" x14ac:dyDescent="0.25">
      <c r="A1816" t="s">
        <v>2443</v>
      </c>
      <c r="B1816" s="9">
        <v>0</v>
      </c>
    </row>
    <row r="1817" spans="1:2" x14ac:dyDescent="0.25">
      <c r="A1817" t="s">
        <v>2444</v>
      </c>
      <c r="B1817" s="9">
        <v>0</v>
      </c>
    </row>
    <row r="1818" spans="1:2" x14ac:dyDescent="0.25">
      <c r="A1818" t="s">
        <v>2445</v>
      </c>
      <c r="B1818" s="9">
        <v>0</v>
      </c>
    </row>
    <row r="1819" spans="1:2" x14ac:dyDescent="0.25">
      <c r="A1819" t="s">
        <v>2446</v>
      </c>
      <c r="B1819" s="9">
        <v>0</v>
      </c>
    </row>
    <row r="1820" spans="1:2" x14ac:dyDescent="0.25">
      <c r="A1820" t="s">
        <v>2447</v>
      </c>
      <c r="B1820" s="9">
        <v>0</v>
      </c>
    </row>
    <row r="1821" spans="1:2" x14ac:dyDescent="0.25">
      <c r="A1821" t="s">
        <v>2448</v>
      </c>
      <c r="B1821" s="9">
        <v>0</v>
      </c>
    </row>
    <row r="1822" spans="1:2" x14ac:dyDescent="0.25">
      <c r="A1822" t="s">
        <v>2449</v>
      </c>
      <c r="B1822" s="9">
        <v>0</v>
      </c>
    </row>
    <row r="1823" spans="1:2" x14ac:dyDescent="0.25">
      <c r="A1823" t="s">
        <v>2450</v>
      </c>
      <c r="B1823" s="9">
        <v>0</v>
      </c>
    </row>
    <row r="1824" spans="1:2" x14ac:dyDescent="0.25">
      <c r="A1824" t="s">
        <v>2451</v>
      </c>
      <c r="B1824" s="9">
        <v>0</v>
      </c>
    </row>
    <row r="1825" spans="1:2" x14ac:dyDescent="0.25">
      <c r="A1825" t="s">
        <v>2452</v>
      </c>
      <c r="B1825" s="9">
        <v>0</v>
      </c>
    </row>
    <row r="1826" spans="1:2" x14ac:dyDescent="0.25">
      <c r="A1826" t="s">
        <v>2453</v>
      </c>
      <c r="B1826" s="9">
        <v>0</v>
      </c>
    </row>
    <row r="1827" spans="1:2" x14ac:dyDescent="0.25">
      <c r="A1827" t="s">
        <v>2454</v>
      </c>
      <c r="B1827" s="9">
        <v>0</v>
      </c>
    </row>
    <row r="1828" spans="1:2" x14ac:dyDescent="0.25">
      <c r="A1828" t="s">
        <v>2455</v>
      </c>
      <c r="B1828" s="9">
        <v>0</v>
      </c>
    </row>
    <row r="1829" spans="1:2" x14ac:dyDescent="0.25">
      <c r="A1829" t="s">
        <v>2456</v>
      </c>
      <c r="B1829" s="9">
        <v>0</v>
      </c>
    </row>
    <row r="1830" spans="1:2" x14ac:dyDescent="0.25">
      <c r="A1830" t="s">
        <v>2457</v>
      </c>
      <c r="B1830" s="9">
        <v>0</v>
      </c>
    </row>
    <row r="1831" spans="1:2" x14ac:dyDescent="0.25">
      <c r="A1831" t="s">
        <v>2458</v>
      </c>
      <c r="B1831" s="9">
        <v>0</v>
      </c>
    </row>
    <row r="1832" spans="1:2" x14ac:dyDescent="0.25">
      <c r="A1832" t="s">
        <v>2459</v>
      </c>
      <c r="B1832" s="9">
        <v>0</v>
      </c>
    </row>
    <row r="1833" spans="1:2" x14ac:dyDescent="0.25">
      <c r="A1833" t="s">
        <v>2460</v>
      </c>
      <c r="B1833" s="9">
        <v>0</v>
      </c>
    </row>
    <row r="1834" spans="1:2" x14ac:dyDescent="0.25">
      <c r="A1834" t="s">
        <v>2461</v>
      </c>
      <c r="B1834" s="9">
        <v>0</v>
      </c>
    </row>
    <row r="1835" spans="1:2" x14ac:dyDescent="0.25">
      <c r="A1835" t="s">
        <v>2462</v>
      </c>
      <c r="B1835" s="9">
        <v>0</v>
      </c>
    </row>
    <row r="1836" spans="1:2" x14ac:dyDescent="0.25">
      <c r="A1836" t="s">
        <v>2463</v>
      </c>
      <c r="B1836" s="9">
        <v>0</v>
      </c>
    </row>
    <row r="1837" spans="1:2" x14ac:dyDescent="0.25">
      <c r="A1837" t="s">
        <v>2464</v>
      </c>
      <c r="B1837" s="9">
        <v>0</v>
      </c>
    </row>
    <row r="1838" spans="1:2" x14ac:dyDescent="0.25">
      <c r="A1838" t="s">
        <v>2465</v>
      </c>
      <c r="B1838" s="9">
        <v>0</v>
      </c>
    </row>
    <row r="1839" spans="1:2" x14ac:dyDescent="0.25">
      <c r="A1839" t="s">
        <v>2466</v>
      </c>
      <c r="B1839" s="9">
        <v>0</v>
      </c>
    </row>
    <row r="1840" spans="1:2" x14ac:dyDescent="0.25">
      <c r="A1840" t="s">
        <v>2467</v>
      </c>
      <c r="B1840" s="9">
        <v>0</v>
      </c>
    </row>
    <row r="1841" spans="1:2" x14ac:dyDescent="0.25">
      <c r="A1841" t="s">
        <v>2468</v>
      </c>
      <c r="B1841" s="9">
        <v>0</v>
      </c>
    </row>
    <row r="1842" spans="1:2" x14ac:dyDescent="0.25">
      <c r="A1842" t="s">
        <v>2469</v>
      </c>
      <c r="B1842" s="9">
        <v>0</v>
      </c>
    </row>
    <row r="1843" spans="1:2" x14ac:dyDescent="0.25">
      <c r="A1843" t="s">
        <v>2470</v>
      </c>
      <c r="B1843" s="9">
        <v>0</v>
      </c>
    </row>
    <row r="1844" spans="1:2" x14ac:dyDescent="0.25">
      <c r="A1844" t="s">
        <v>2471</v>
      </c>
      <c r="B1844" s="9">
        <v>0</v>
      </c>
    </row>
    <row r="1845" spans="1:2" x14ac:dyDescent="0.25">
      <c r="A1845" t="s">
        <v>2472</v>
      </c>
      <c r="B1845" s="9">
        <v>0</v>
      </c>
    </row>
    <row r="1846" spans="1:2" x14ac:dyDescent="0.25">
      <c r="A1846" t="s">
        <v>2473</v>
      </c>
      <c r="B1846" s="9">
        <v>0</v>
      </c>
    </row>
    <row r="1847" spans="1:2" x14ac:dyDescent="0.25">
      <c r="A1847" t="s">
        <v>2474</v>
      </c>
      <c r="B1847" s="9">
        <v>0</v>
      </c>
    </row>
    <row r="1848" spans="1:2" x14ac:dyDescent="0.25">
      <c r="A1848" t="s">
        <v>2475</v>
      </c>
      <c r="B1848" s="9">
        <v>0</v>
      </c>
    </row>
    <row r="1849" spans="1:2" x14ac:dyDescent="0.25">
      <c r="A1849" t="s">
        <v>2476</v>
      </c>
      <c r="B1849" s="9">
        <v>0</v>
      </c>
    </row>
    <row r="1850" spans="1:2" x14ac:dyDescent="0.25">
      <c r="A1850" t="s">
        <v>2477</v>
      </c>
      <c r="B1850" s="9">
        <v>0</v>
      </c>
    </row>
    <row r="1851" spans="1:2" x14ac:dyDescent="0.25">
      <c r="A1851" t="s">
        <v>2478</v>
      </c>
      <c r="B1851" s="9">
        <v>0</v>
      </c>
    </row>
    <row r="1852" spans="1:2" x14ac:dyDescent="0.25">
      <c r="A1852" t="s">
        <v>2479</v>
      </c>
      <c r="B1852" s="9">
        <v>0</v>
      </c>
    </row>
    <row r="1853" spans="1:2" x14ac:dyDescent="0.25">
      <c r="A1853" t="s">
        <v>2480</v>
      </c>
      <c r="B1853" s="9">
        <v>0</v>
      </c>
    </row>
    <row r="1854" spans="1:2" x14ac:dyDescent="0.25">
      <c r="A1854" t="s">
        <v>2481</v>
      </c>
      <c r="B1854" s="9">
        <v>0</v>
      </c>
    </row>
    <row r="1855" spans="1:2" x14ac:dyDescent="0.25">
      <c r="A1855" t="s">
        <v>2482</v>
      </c>
      <c r="B1855" s="9">
        <v>0</v>
      </c>
    </row>
    <row r="1856" spans="1:2" x14ac:dyDescent="0.25">
      <c r="A1856" t="s">
        <v>2483</v>
      </c>
      <c r="B1856" s="9">
        <v>0</v>
      </c>
    </row>
    <row r="1857" spans="1:2" x14ac:dyDescent="0.25">
      <c r="A1857" t="s">
        <v>2484</v>
      </c>
      <c r="B1857" s="9">
        <v>0</v>
      </c>
    </row>
    <row r="1858" spans="1:2" x14ac:dyDescent="0.25">
      <c r="A1858" t="s">
        <v>2485</v>
      </c>
      <c r="B1858" s="9">
        <v>0</v>
      </c>
    </row>
    <row r="1859" spans="1:2" x14ac:dyDescent="0.25">
      <c r="A1859" t="s">
        <v>2486</v>
      </c>
      <c r="B1859" s="9">
        <v>0</v>
      </c>
    </row>
    <row r="1860" spans="1:2" x14ac:dyDescent="0.25">
      <c r="A1860" t="s">
        <v>2487</v>
      </c>
      <c r="B1860" s="9">
        <v>0</v>
      </c>
    </row>
    <row r="1861" spans="1:2" x14ac:dyDescent="0.25">
      <c r="A1861" t="s">
        <v>2488</v>
      </c>
      <c r="B1861" s="9">
        <v>0</v>
      </c>
    </row>
    <row r="1862" spans="1:2" x14ac:dyDescent="0.25">
      <c r="A1862" t="s">
        <v>2489</v>
      </c>
      <c r="B1862" s="9">
        <v>0</v>
      </c>
    </row>
    <row r="1863" spans="1:2" x14ac:dyDescent="0.25">
      <c r="A1863" t="s">
        <v>2490</v>
      </c>
      <c r="B1863" s="9">
        <v>0</v>
      </c>
    </row>
    <row r="1864" spans="1:2" x14ac:dyDescent="0.25">
      <c r="A1864" t="s">
        <v>2491</v>
      </c>
      <c r="B1864" s="9">
        <v>0</v>
      </c>
    </row>
    <row r="1865" spans="1:2" x14ac:dyDescent="0.25">
      <c r="A1865" t="s">
        <v>2492</v>
      </c>
      <c r="B1865" s="9">
        <v>0</v>
      </c>
    </row>
    <row r="1866" spans="1:2" x14ac:dyDescent="0.25">
      <c r="A1866" t="s">
        <v>2493</v>
      </c>
      <c r="B1866" s="9">
        <v>0</v>
      </c>
    </row>
    <row r="1867" spans="1:2" x14ac:dyDescent="0.25">
      <c r="A1867" t="s">
        <v>2494</v>
      </c>
      <c r="B1867" s="9">
        <v>0</v>
      </c>
    </row>
    <row r="1868" spans="1:2" x14ac:dyDescent="0.25">
      <c r="A1868" t="s">
        <v>2495</v>
      </c>
      <c r="B1868" s="9">
        <v>0</v>
      </c>
    </row>
    <row r="1869" spans="1:2" x14ac:dyDescent="0.25">
      <c r="A1869" t="s">
        <v>2496</v>
      </c>
      <c r="B1869" s="9">
        <v>0</v>
      </c>
    </row>
    <row r="1870" spans="1:2" x14ac:dyDescent="0.25">
      <c r="A1870" t="s">
        <v>2497</v>
      </c>
      <c r="B1870" s="9">
        <v>0</v>
      </c>
    </row>
    <row r="1871" spans="1:2" x14ac:dyDescent="0.25">
      <c r="A1871" t="s">
        <v>2498</v>
      </c>
      <c r="B1871" s="9">
        <v>0</v>
      </c>
    </row>
    <row r="1872" spans="1:2" x14ac:dyDescent="0.25">
      <c r="A1872" t="s">
        <v>2499</v>
      </c>
      <c r="B1872" s="9">
        <v>0</v>
      </c>
    </row>
    <row r="1873" spans="1:2" x14ac:dyDescent="0.25">
      <c r="A1873" t="s">
        <v>2500</v>
      </c>
      <c r="B1873" s="9">
        <v>0</v>
      </c>
    </row>
    <row r="1874" spans="1:2" x14ac:dyDescent="0.25">
      <c r="A1874" t="s">
        <v>2501</v>
      </c>
      <c r="B1874" s="9">
        <v>0</v>
      </c>
    </row>
    <row r="1875" spans="1:2" x14ac:dyDescent="0.25">
      <c r="A1875" t="s">
        <v>2502</v>
      </c>
      <c r="B1875" s="9">
        <v>0</v>
      </c>
    </row>
    <row r="1876" spans="1:2" x14ac:dyDescent="0.25">
      <c r="A1876" t="s">
        <v>2503</v>
      </c>
      <c r="B1876" s="9">
        <v>0</v>
      </c>
    </row>
    <row r="1877" spans="1:2" x14ac:dyDescent="0.25">
      <c r="A1877" t="s">
        <v>2504</v>
      </c>
      <c r="B1877" s="9">
        <v>0</v>
      </c>
    </row>
    <row r="1878" spans="1:2" x14ac:dyDescent="0.25">
      <c r="A1878" t="s">
        <v>2505</v>
      </c>
      <c r="B1878" s="9">
        <v>0</v>
      </c>
    </row>
    <row r="1879" spans="1:2" x14ac:dyDescent="0.25">
      <c r="A1879" t="s">
        <v>2506</v>
      </c>
      <c r="B1879" s="9">
        <v>0</v>
      </c>
    </row>
    <row r="1880" spans="1:2" x14ac:dyDescent="0.25">
      <c r="A1880" t="s">
        <v>2507</v>
      </c>
      <c r="B1880" s="9">
        <v>0</v>
      </c>
    </row>
    <row r="1881" spans="1:2" x14ac:dyDescent="0.25">
      <c r="A1881" t="s">
        <v>2508</v>
      </c>
      <c r="B1881" s="9">
        <v>0</v>
      </c>
    </row>
    <row r="1882" spans="1:2" x14ac:dyDescent="0.25">
      <c r="A1882" t="s">
        <v>2509</v>
      </c>
      <c r="B1882" s="9">
        <v>0</v>
      </c>
    </row>
    <row r="1883" spans="1:2" x14ac:dyDescent="0.25">
      <c r="A1883" t="s">
        <v>2510</v>
      </c>
      <c r="B1883" s="9">
        <v>0</v>
      </c>
    </row>
    <row r="1884" spans="1:2" x14ac:dyDescent="0.25">
      <c r="A1884" t="s">
        <v>2511</v>
      </c>
      <c r="B1884" s="9">
        <v>0</v>
      </c>
    </row>
    <row r="1885" spans="1:2" x14ac:dyDescent="0.25">
      <c r="A1885" t="s">
        <v>2512</v>
      </c>
      <c r="B1885" s="9">
        <v>0</v>
      </c>
    </row>
    <row r="1886" spans="1:2" x14ac:dyDescent="0.25">
      <c r="A1886" t="s">
        <v>2513</v>
      </c>
      <c r="B1886" s="9">
        <v>0</v>
      </c>
    </row>
    <row r="1887" spans="1:2" x14ac:dyDescent="0.25">
      <c r="A1887" t="s">
        <v>2514</v>
      </c>
      <c r="B1887" s="9">
        <v>0</v>
      </c>
    </row>
    <row r="1888" spans="1:2" x14ac:dyDescent="0.25">
      <c r="A1888" t="s">
        <v>2515</v>
      </c>
      <c r="B1888" s="9">
        <v>0</v>
      </c>
    </row>
    <row r="1889" spans="1:2" x14ac:dyDescent="0.25">
      <c r="A1889" t="s">
        <v>2516</v>
      </c>
      <c r="B1889" s="9">
        <v>0</v>
      </c>
    </row>
    <row r="1890" spans="1:2" x14ac:dyDescent="0.25">
      <c r="A1890" t="s">
        <v>2517</v>
      </c>
      <c r="B1890" s="9">
        <v>0</v>
      </c>
    </row>
    <row r="1891" spans="1:2" x14ac:dyDescent="0.25">
      <c r="A1891" t="s">
        <v>2518</v>
      </c>
      <c r="B1891" s="9">
        <v>0</v>
      </c>
    </row>
    <row r="1892" spans="1:2" x14ac:dyDescent="0.25">
      <c r="A1892" t="s">
        <v>2519</v>
      </c>
      <c r="B1892" s="9">
        <v>0</v>
      </c>
    </row>
    <row r="1893" spans="1:2" x14ac:dyDescent="0.25">
      <c r="A1893" t="s">
        <v>2520</v>
      </c>
      <c r="B1893" s="9">
        <v>0</v>
      </c>
    </row>
    <row r="1894" spans="1:2" x14ac:dyDescent="0.25">
      <c r="A1894" t="s">
        <v>2521</v>
      </c>
      <c r="B1894" s="9">
        <v>0</v>
      </c>
    </row>
    <row r="1895" spans="1:2" x14ac:dyDescent="0.25">
      <c r="A1895" t="s">
        <v>2522</v>
      </c>
      <c r="B1895" s="9">
        <v>0</v>
      </c>
    </row>
    <row r="1896" spans="1:2" x14ac:dyDescent="0.25">
      <c r="A1896" t="s">
        <v>2523</v>
      </c>
      <c r="B1896" s="9">
        <v>0</v>
      </c>
    </row>
    <row r="1897" spans="1:2" x14ac:dyDescent="0.25">
      <c r="A1897" t="s">
        <v>2524</v>
      </c>
      <c r="B1897" s="9">
        <v>0</v>
      </c>
    </row>
    <row r="1898" spans="1:2" x14ac:dyDescent="0.25">
      <c r="A1898" t="s">
        <v>2525</v>
      </c>
      <c r="B1898" s="9">
        <v>0</v>
      </c>
    </row>
    <row r="1899" spans="1:2" x14ac:dyDescent="0.25">
      <c r="A1899" t="s">
        <v>2526</v>
      </c>
      <c r="B1899" s="9">
        <v>0</v>
      </c>
    </row>
    <row r="1900" spans="1:2" x14ac:dyDescent="0.25">
      <c r="A1900" t="s">
        <v>2527</v>
      </c>
      <c r="B1900" s="9">
        <v>0</v>
      </c>
    </row>
    <row r="1901" spans="1:2" x14ac:dyDescent="0.25">
      <c r="A1901" t="s">
        <v>2528</v>
      </c>
      <c r="B1901" s="9">
        <v>0</v>
      </c>
    </row>
    <row r="1902" spans="1:2" x14ac:dyDescent="0.25">
      <c r="A1902" t="s">
        <v>2529</v>
      </c>
      <c r="B1902" s="9">
        <v>0</v>
      </c>
    </row>
    <row r="1903" spans="1:2" x14ac:dyDescent="0.25">
      <c r="A1903" t="s">
        <v>2530</v>
      </c>
      <c r="B1903" s="9">
        <v>0</v>
      </c>
    </row>
    <row r="1904" spans="1:2" x14ac:dyDescent="0.25">
      <c r="A1904" t="s">
        <v>2531</v>
      </c>
      <c r="B1904" s="9">
        <v>0</v>
      </c>
    </row>
    <row r="1905" spans="1:2" x14ac:dyDescent="0.25">
      <c r="A1905" t="s">
        <v>2532</v>
      </c>
      <c r="B1905" s="9">
        <v>0</v>
      </c>
    </row>
    <row r="1906" spans="1:2" x14ac:dyDescent="0.25">
      <c r="A1906" t="s">
        <v>2533</v>
      </c>
      <c r="B1906" s="9">
        <v>0</v>
      </c>
    </row>
    <row r="1907" spans="1:2" x14ac:dyDescent="0.25">
      <c r="A1907" t="s">
        <v>2534</v>
      </c>
      <c r="B1907" s="9">
        <v>0</v>
      </c>
    </row>
    <row r="1908" spans="1:2" x14ac:dyDescent="0.25">
      <c r="A1908" t="s">
        <v>2535</v>
      </c>
      <c r="B1908" s="9">
        <v>0</v>
      </c>
    </row>
    <row r="1909" spans="1:2" x14ac:dyDescent="0.25">
      <c r="A1909" t="s">
        <v>2536</v>
      </c>
      <c r="B1909" s="9">
        <v>0</v>
      </c>
    </row>
    <row r="1910" spans="1:2" x14ac:dyDescent="0.25">
      <c r="A1910" t="s">
        <v>2537</v>
      </c>
      <c r="B1910" s="9">
        <v>0</v>
      </c>
    </row>
    <row r="1911" spans="1:2" x14ac:dyDescent="0.25">
      <c r="A1911" t="s">
        <v>2538</v>
      </c>
      <c r="B1911" s="9">
        <v>0</v>
      </c>
    </row>
    <row r="1912" spans="1:2" x14ac:dyDescent="0.25">
      <c r="A1912" t="s">
        <v>2539</v>
      </c>
      <c r="B1912" s="9">
        <v>0</v>
      </c>
    </row>
    <row r="1913" spans="1:2" x14ac:dyDescent="0.25">
      <c r="A1913" t="s">
        <v>2540</v>
      </c>
      <c r="B1913" s="9">
        <v>0</v>
      </c>
    </row>
    <row r="1914" spans="1:2" x14ac:dyDescent="0.25">
      <c r="A1914" t="s">
        <v>2541</v>
      </c>
      <c r="B1914" s="9">
        <v>0</v>
      </c>
    </row>
    <row r="1915" spans="1:2" x14ac:dyDescent="0.25">
      <c r="A1915" t="s">
        <v>2542</v>
      </c>
      <c r="B1915" s="9">
        <v>0</v>
      </c>
    </row>
    <row r="1916" spans="1:2" x14ac:dyDescent="0.25">
      <c r="A1916" t="s">
        <v>2543</v>
      </c>
      <c r="B1916" s="9">
        <v>0</v>
      </c>
    </row>
    <row r="1917" spans="1:2" x14ac:dyDescent="0.25">
      <c r="A1917" t="s">
        <v>2544</v>
      </c>
      <c r="B1917" s="9">
        <v>0</v>
      </c>
    </row>
    <row r="1918" spans="1:2" x14ac:dyDescent="0.25">
      <c r="A1918" t="s">
        <v>2545</v>
      </c>
      <c r="B1918" s="9">
        <v>0</v>
      </c>
    </row>
    <row r="1919" spans="1:2" x14ac:dyDescent="0.25">
      <c r="A1919" t="s">
        <v>2546</v>
      </c>
      <c r="B1919" s="9">
        <v>0</v>
      </c>
    </row>
    <row r="1920" spans="1:2" x14ac:dyDescent="0.25">
      <c r="A1920" t="s">
        <v>2547</v>
      </c>
      <c r="B1920" s="9">
        <v>0</v>
      </c>
    </row>
    <row r="1921" spans="1:2" x14ac:dyDescent="0.25">
      <c r="A1921" t="s">
        <v>2548</v>
      </c>
      <c r="B1921" s="9">
        <v>0</v>
      </c>
    </row>
    <row r="1922" spans="1:2" x14ac:dyDescent="0.25">
      <c r="A1922" t="s">
        <v>2549</v>
      </c>
      <c r="B1922" s="9">
        <v>0</v>
      </c>
    </row>
    <row r="1923" spans="1:2" x14ac:dyDescent="0.25">
      <c r="A1923" t="s">
        <v>2550</v>
      </c>
      <c r="B1923" s="9">
        <v>0</v>
      </c>
    </row>
    <row r="1924" spans="1:2" x14ac:dyDescent="0.25">
      <c r="A1924" t="s">
        <v>2551</v>
      </c>
      <c r="B1924" s="9">
        <v>0</v>
      </c>
    </row>
    <row r="1925" spans="1:2" x14ac:dyDescent="0.25">
      <c r="A1925" t="s">
        <v>2552</v>
      </c>
      <c r="B1925" s="9">
        <v>0</v>
      </c>
    </row>
    <row r="1926" spans="1:2" x14ac:dyDescent="0.25">
      <c r="A1926" t="s">
        <v>2553</v>
      </c>
      <c r="B1926" s="9">
        <v>0</v>
      </c>
    </row>
    <row r="1927" spans="1:2" x14ac:dyDescent="0.25">
      <c r="A1927" t="s">
        <v>2554</v>
      </c>
      <c r="B1927" s="9">
        <v>0</v>
      </c>
    </row>
    <row r="1928" spans="1:2" x14ac:dyDescent="0.25">
      <c r="A1928" t="s">
        <v>2555</v>
      </c>
      <c r="B1928" s="9">
        <v>0</v>
      </c>
    </row>
    <row r="1929" spans="1:2" x14ac:dyDescent="0.25">
      <c r="A1929" t="s">
        <v>2556</v>
      </c>
      <c r="B1929" s="9">
        <v>0</v>
      </c>
    </row>
    <row r="1930" spans="1:2" x14ac:dyDescent="0.25">
      <c r="A1930" t="s">
        <v>2557</v>
      </c>
      <c r="B1930" s="9">
        <v>0</v>
      </c>
    </row>
    <row r="1931" spans="1:2" x14ac:dyDescent="0.25">
      <c r="A1931" t="s">
        <v>2558</v>
      </c>
      <c r="B1931" s="9">
        <v>0</v>
      </c>
    </row>
    <row r="1932" spans="1:2" x14ac:dyDescent="0.25">
      <c r="A1932" t="s">
        <v>2559</v>
      </c>
      <c r="B1932" s="9">
        <v>0</v>
      </c>
    </row>
    <row r="1933" spans="1:2" x14ac:dyDescent="0.25">
      <c r="A1933" t="s">
        <v>2560</v>
      </c>
      <c r="B1933" s="9">
        <v>0</v>
      </c>
    </row>
    <row r="1934" spans="1:2" x14ac:dyDescent="0.25">
      <c r="A1934" t="s">
        <v>2561</v>
      </c>
      <c r="B1934" s="9">
        <v>0</v>
      </c>
    </row>
    <row r="1935" spans="1:2" x14ac:dyDescent="0.25">
      <c r="A1935" t="s">
        <v>2562</v>
      </c>
      <c r="B1935" s="9">
        <v>0</v>
      </c>
    </row>
    <row r="1936" spans="1:2" x14ac:dyDescent="0.25">
      <c r="A1936" t="s">
        <v>2563</v>
      </c>
      <c r="B1936" s="9">
        <v>0</v>
      </c>
    </row>
    <row r="1937" spans="1:2" x14ac:dyDescent="0.25">
      <c r="A1937" t="s">
        <v>2564</v>
      </c>
      <c r="B1937" s="9">
        <v>0</v>
      </c>
    </row>
    <row r="1938" spans="1:2" x14ac:dyDescent="0.25">
      <c r="A1938" t="s">
        <v>2565</v>
      </c>
      <c r="B1938" s="9">
        <v>0</v>
      </c>
    </row>
    <row r="1939" spans="1:2" x14ac:dyDescent="0.25">
      <c r="A1939" t="s">
        <v>2566</v>
      </c>
      <c r="B1939" s="9">
        <v>0</v>
      </c>
    </row>
    <row r="1940" spans="1:2" x14ac:dyDescent="0.25">
      <c r="A1940" t="s">
        <v>2567</v>
      </c>
      <c r="B1940" s="9">
        <v>0</v>
      </c>
    </row>
    <row r="1941" spans="1:2" x14ac:dyDescent="0.25">
      <c r="A1941" t="s">
        <v>2568</v>
      </c>
      <c r="B1941" s="9">
        <v>0</v>
      </c>
    </row>
    <row r="1942" spans="1:2" x14ac:dyDescent="0.25">
      <c r="A1942" t="s">
        <v>2569</v>
      </c>
      <c r="B1942" s="9">
        <v>0</v>
      </c>
    </row>
    <row r="1943" spans="1:2" x14ac:dyDescent="0.25">
      <c r="A1943" t="s">
        <v>2570</v>
      </c>
      <c r="B1943" s="9">
        <v>0</v>
      </c>
    </row>
    <row r="1944" spans="1:2" x14ac:dyDescent="0.25">
      <c r="A1944" t="s">
        <v>2571</v>
      </c>
      <c r="B1944" s="9">
        <v>0</v>
      </c>
    </row>
    <row r="1945" spans="1:2" x14ac:dyDescent="0.25">
      <c r="A1945" t="s">
        <v>2572</v>
      </c>
      <c r="B1945" s="9">
        <v>0</v>
      </c>
    </row>
    <row r="1946" spans="1:2" x14ac:dyDescent="0.25">
      <c r="A1946" t="s">
        <v>2573</v>
      </c>
      <c r="B1946" s="9">
        <v>0</v>
      </c>
    </row>
    <row r="1947" spans="1:2" x14ac:dyDescent="0.25">
      <c r="A1947" t="s">
        <v>2574</v>
      </c>
      <c r="B1947" s="9">
        <v>0</v>
      </c>
    </row>
    <row r="1948" spans="1:2" x14ac:dyDescent="0.25">
      <c r="A1948" t="s">
        <v>2575</v>
      </c>
      <c r="B1948" s="9">
        <v>0</v>
      </c>
    </row>
    <row r="1949" spans="1:2" x14ac:dyDescent="0.25">
      <c r="A1949" t="s">
        <v>2576</v>
      </c>
      <c r="B1949" s="9">
        <v>0</v>
      </c>
    </row>
    <row r="1950" spans="1:2" x14ac:dyDescent="0.25">
      <c r="A1950" t="s">
        <v>2577</v>
      </c>
      <c r="B1950" s="9">
        <v>0</v>
      </c>
    </row>
    <row r="1951" spans="1:2" x14ac:dyDescent="0.25">
      <c r="A1951" t="s">
        <v>2578</v>
      </c>
      <c r="B1951" s="9">
        <v>0</v>
      </c>
    </row>
    <row r="1952" spans="1:2" x14ac:dyDescent="0.25">
      <c r="A1952" t="s">
        <v>2579</v>
      </c>
      <c r="B1952" s="9">
        <v>0</v>
      </c>
    </row>
    <row r="1953" spans="1:2" x14ac:dyDescent="0.25">
      <c r="A1953" t="s">
        <v>2580</v>
      </c>
      <c r="B1953" s="9">
        <v>0</v>
      </c>
    </row>
    <row r="1954" spans="1:2" x14ac:dyDescent="0.25">
      <c r="A1954" t="s">
        <v>2581</v>
      </c>
      <c r="B1954" s="9">
        <v>0</v>
      </c>
    </row>
    <row r="1955" spans="1:2" x14ac:dyDescent="0.25">
      <c r="A1955" t="s">
        <v>2582</v>
      </c>
      <c r="B1955" s="9">
        <v>0</v>
      </c>
    </row>
    <row r="1956" spans="1:2" x14ac:dyDescent="0.25">
      <c r="A1956" t="s">
        <v>2583</v>
      </c>
      <c r="B1956" s="9">
        <v>0</v>
      </c>
    </row>
    <row r="1957" spans="1:2" x14ac:dyDescent="0.25">
      <c r="A1957" t="s">
        <v>2584</v>
      </c>
      <c r="B1957" s="9">
        <v>0</v>
      </c>
    </row>
    <row r="1958" spans="1:2" x14ac:dyDescent="0.25">
      <c r="A1958" t="s">
        <v>2585</v>
      </c>
      <c r="B1958" s="9">
        <v>0</v>
      </c>
    </row>
    <row r="1959" spans="1:2" x14ac:dyDescent="0.25">
      <c r="A1959" t="s">
        <v>2586</v>
      </c>
      <c r="B1959" s="9">
        <v>0</v>
      </c>
    </row>
    <row r="1960" spans="1:2" x14ac:dyDescent="0.25">
      <c r="A1960" t="s">
        <v>2587</v>
      </c>
      <c r="B1960" s="9">
        <v>0</v>
      </c>
    </row>
    <row r="1961" spans="1:2" x14ac:dyDescent="0.25">
      <c r="A1961" t="s">
        <v>2588</v>
      </c>
      <c r="B1961" s="9">
        <v>0</v>
      </c>
    </row>
    <row r="1962" spans="1:2" x14ac:dyDescent="0.25">
      <c r="A1962" t="s">
        <v>2589</v>
      </c>
      <c r="B1962" s="9">
        <v>0</v>
      </c>
    </row>
    <row r="1963" spans="1:2" x14ac:dyDescent="0.25">
      <c r="A1963" t="s">
        <v>2590</v>
      </c>
      <c r="B1963" s="9">
        <v>0</v>
      </c>
    </row>
    <row r="1964" spans="1:2" x14ac:dyDescent="0.25">
      <c r="A1964" t="s">
        <v>2591</v>
      </c>
      <c r="B1964" s="9">
        <v>0</v>
      </c>
    </row>
    <row r="1965" spans="1:2" x14ac:dyDescent="0.25">
      <c r="A1965" t="s">
        <v>2592</v>
      </c>
      <c r="B1965" s="9">
        <v>0</v>
      </c>
    </row>
    <row r="1966" spans="1:2" x14ac:dyDescent="0.25">
      <c r="A1966" t="s">
        <v>2593</v>
      </c>
      <c r="B1966" s="9">
        <v>0</v>
      </c>
    </row>
    <row r="1967" spans="1:2" x14ac:dyDescent="0.25">
      <c r="A1967" t="s">
        <v>2594</v>
      </c>
      <c r="B1967" s="9">
        <v>0</v>
      </c>
    </row>
    <row r="1968" spans="1:2" x14ac:dyDescent="0.25">
      <c r="A1968" t="s">
        <v>2595</v>
      </c>
      <c r="B1968" s="9">
        <v>0</v>
      </c>
    </row>
    <row r="1969" spans="1:2" x14ac:dyDescent="0.25">
      <c r="A1969" t="s">
        <v>2596</v>
      </c>
      <c r="B1969" s="9">
        <v>0</v>
      </c>
    </row>
    <row r="1970" spans="1:2" x14ac:dyDescent="0.25">
      <c r="A1970" t="s">
        <v>2597</v>
      </c>
      <c r="B1970" s="9">
        <v>0</v>
      </c>
    </row>
    <row r="1971" spans="1:2" x14ac:dyDescent="0.25">
      <c r="A1971" t="s">
        <v>2598</v>
      </c>
      <c r="B1971" s="9">
        <v>0</v>
      </c>
    </row>
    <row r="1972" spans="1:2" x14ac:dyDescent="0.25">
      <c r="A1972" t="s">
        <v>2599</v>
      </c>
      <c r="B1972" s="9">
        <v>0</v>
      </c>
    </row>
    <row r="1973" spans="1:2" x14ac:dyDescent="0.25">
      <c r="A1973" t="s">
        <v>2600</v>
      </c>
      <c r="B1973" s="9">
        <v>0</v>
      </c>
    </row>
    <row r="1974" spans="1:2" x14ac:dyDescent="0.25">
      <c r="A1974" t="s">
        <v>2601</v>
      </c>
      <c r="B1974" s="9">
        <v>0</v>
      </c>
    </row>
    <row r="1975" spans="1:2" x14ac:dyDescent="0.25">
      <c r="A1975" t="s">
        <v>2602</v>
      </c>
      <c r="B1975" s="9">
        <v>0</v>
      </c>
    </row>
    <row r="1976" spans="1:2" x14ac:dyDescent="0.25">
      <c r="A1976" t="s">
        <v>2603</v>
      </c>
      <c r="B1976" s="9">
        <v>0</v>
      </c>
    </row>
    <row r="1977" spans="1:2" x14ac:dyDescent="0.25">
      <c r="A1977" t="s">
        <v>2604</v>
      </c>
      <c r="B1977" s="9">
        <v>0</v>
      </c>
    </row>
    <row r="1978" spans="1:2" x14ac:dyDescent="0.25">
      <c r="A1978" t="s">
        <v>2605</v>
      </c>
      <c r="B1978" s="9">
        <v>0</v>
      </c>
    </row>
    <row r="1979" spans="1:2" x14ac:dyDescent="0.25">
      <c r="A1979" t="s">
        <v>2606</v>
      </c>
      <c r="B1979" s="9">
        <v>0</v>
      </c>
    </row>
    <row r="1980" spans="1:2" x14ac:dyDescent="0.25">
      <c r="A1980" t="s">
        <v>2607</v>
      </c>
      <c r="B1980" s="9">
        <v>0</v>
      </c>
    </row>
    <row r="1981" spans="1:2" x14ac:dyDescent="0.25">
      <c r="A1981" t="s">
        <v>2608</v>
      </c>
      <c r="B1981" s="9">
        <v>0</v>
      </c>
    </row>
    <row r="1982" spans="1:2" x14ac:dyDescent="0.25">
      <c r="A1982" t="s">
        <v>2609</v>
      </c>
      <c r="B1982" s="9">
        <v>0</v>
      </c>
    </row>
    <row r="1983" spans="1:2" x14ac:dyDescent="0.25">
      <c r="A1983" t="s">
        <v>2610</v>
      </c>
      <c r="B1983" s="9">
        <v>0</v>
      </c>
    </row>
    <row r="1984" spans="1:2" x14ac:dyDescent="0.25">
      <c r="A1984" t="s">
        <v>2611</v>
      </c>
      <c r="B1984" s="9">
        <v>0</v>
      </c>
    </row>
    <row r="1985" spans="1:2" x14ac:dyDescent="0.25">
      <c r="A1985" t="s">
        <v>2612</v>
      </c>
      <c r="B1985" s="9">
        <v>0</v>
      </c>
    </row>
    <row r="1986" spans="1:2" x14ac:dyDescent="0.25">
      <c r="A1986" t="s">
        <v>2613</v>
      </c>
      <c r="B1986" s="9">
        <v>0</v>
      </c>
    </row>
    <row r="1987" spans="1:2" x14ac:dyDescent="0.25">
      <c r="A1987" t="s">
        <v>2614</v>
      </c>
      <c r="B1987" s="9">
        <v>0</v>
      </c>
    </row>
    <row r="1988" spans="1:2" x14ac:dyDescent="0.25">
      <c r="A1988" t="s">
        <v>2615</v>
      </c>
      <c r="B1988" s="9">
        <v>0</v>
      </c>
    </row>
    <row r="1989" spans="1:2" x14ac:dyDescent="0.25">
      <c r="A1989" t="s">
        <v>2616</v>
      </c>
      <c r="B1989" s="9">
        <v>0</v>
      </c>
    </row>
    <row r="1990" spans="1:2" x14ac:dyDescent="0.25">
      <c r="A1990" t="s">
        <v>2617</v>
      </c>
      <c r="B1990" s="9">
        <v>0</v>
      </c>
    </row>
    <row r="1991" spans="1:2" x14ac:dyDescent="0.25">
      <c r="A1991" t="s">
        <v>2618</v>
      </c>
      <c r="B1991" s="9">
        <v>0</v>
      </c>
    </row>
    <row r="1992" spans="1:2" x14ac:dyDescent="0.25">
      <c r="A1992" t="s">
        <v>2619</v>
      </c>
      <c r="B1992" s="9">
        <v>0</v>
      </c>
    </row>
    <row r="1993" spans="1:2" x14ac:dyDescent="0.25">
      <c r="A1993" t="s">
        <v>2620</v>
      </c>
      <c r="B1993" s="9">
        <v>0</v>
      </c>
    </row>
    <row r="1994" spans="1:2" x14ac:dyDescent="0.25">
      <c r="A1994" t="s">
        <v>2621</v>
      </c>
      <c r="B1994" s="9">
        <v>0</v>
      </c>
    </row>
    <row r="1995" spans="1:2" x14ac:dyDescent="0.25">
      <c r="A1995" t="s">
        <v>2622</v>
      </c>
      <c r="B1995" s="9">
        <v>0</v>
      </c>
    </row>
    <row r="1996" spans="1:2" x14ac:dyDescent="0.25">
      <c r="A1996" t="s">
        <v>2623</v>
      </c>
      <c r="B1996" s="9">
        <v>0</v>
      </c>
    </row>
    <row r="1997" spans="1:2" x14ac:dyDescent="0.25">
      <c r="A1997" t="s">
        <v>2624</v>
      </c>
      <c r="B1997" s="9">
        <v>0</v>
      </c>
    </row>
    <row r="1998" spans="1:2" x14ac:dyDescent="0.25">
      <c r="A1998" t="s">
        <v>2625</v>
      </c>
      <c r="B1998" s="9">
        <v>0</v>
      </c>
    </row>
    <row r="1999" spans="1:2" x14ac:dyDescent="0.25">
      <c r="A1999" t="s">
        <v>2626</v>
      </c>
      <c r="B1999" s="9">
        <v>0</v>
      </c>
    </row>
    <row r="2000" spans="1:2" x14ac:dyDescent="0.25">
      <c r="A2000" t="s">
        <v>2627</v>
      </c>
      <c r="B2000" s="9">
        <v>0</v>
      </c>
    </row>
    <row r="2001" spans="1:2" x14ac:dyDescent="0.25">
      <c r="A2001" t="s">
        <v>2628</v>
      </c>
      <c r="B2001" s="9">
        <v>0</v>
      </c>
    </row>
    <row r="2002" spans="1:2" x14ac:dyDescent="0.25">
      <c r="A2002" t="s">
        <v>2629</v>
      </c>
      <c r="B2002" s="9">
        <v>0</v>
      </c>
    </row>
    <row r="2003" spans="1:2" x14ac:dyDescent="0.25">
      <c r="A2003" t="s">
        <v>2630</v>
      </c>
      <c r="B2003" s="9">
        <v>0</v>
      </c>
    </row>
    <row r="2004" spans="1:2" x14ac:dyDescent="0.25">
      <c r="A2004" t="s">
        <v>2631</v>
      </c>
      <c r="B2004" s="9">
        <v>0</v>
      </c>
    </row>
    <row r="2005" spans="1:2" x14ac:dyDescent="0.25">
      <c r="A2005" t="s">
        <v>2632</v>
      </c>
      <c r="B2005" s="9">
        <v>0</v>
      </c>
    </row>
    <row r="2006" spans="1:2" x14ac:dyDescent="0.25">
      <c r="A2006" t="s">
        <v>2633</v>
      </c>
      <c r="B2006" s="9">
        <v>0</v>
      </c>
    </row>
    <row r="2007" spans="1:2" x14ac:dyDescent="0.25">
      <c r="A2007" t="s">
        <v>2634</v>
      </c>
      <c r="B2007" s="9">
        <v>0</v>
      </c>
    </row>
    <row r="2008" spans="1:2" x14ac:dyDescent="0.25">
      <c r="A2008" t="s">
        <v>2635</v>
      </c>
      <c r="B2008" s="9">
        <v>0</v>
      </c>
    </row>
    <row r="2009" spans="1:2" x14ac:dyDescent="0.25">
      <c r="A2009" t="s">
        <v>2636</v>
      </c>
      <c r="B2009" s="9">
        <v>0</v>
      </c>
    </row>
    <row r="2010" spans="1:2" x14ac:dyDescent="0.25">
      <c r="A2010" t="s">
        <v>2637</v>
      </c>
      <c r="B2010" s="9">
        <v>0</v>
      </c>
    </row>
    <row r="2011" spans="1:2" x14ac:dyDescent="0.25">
      <c r="A2011" t="s">
        <v>2638</v>
      </c>
      <c r="B2011" s="9">
        <v>0</v>
      </c>
    </row>
    <row r="2012" spans="1:2" x14ac:dyDescent="0.25">
      <c r="A2012" t="s">
        <v>2639</v>
      </c>
      <c r="B2012" s="9">
        <v>0</v>
      </c>
    </row>
    <row r="2013" spans="1:2" x14ac:dyDescent="0.25">
      <c r="A2013" t="s">
        <v>2640</v>
      </c>
      <c r="B2013" s="9">
        <v>0</v>
      </c>
    </row>
    <row r="2014" spans="1:2" x14ac:dyDescent="0.25">
      <c r="A2014" t="s">
        <v>2641</v>
      </c>
      <c r="B2014" s="9">
        <v>0</v>
      </c>
    </row>
    <row r="2015" spans="1:2" x14ac:dyDescent="0.25">
      <c r="A2015" t="s">
        <v>2642</v>
      </c>
      <c r="B2015" s="9">
        <v>0</v>
      </c>
    </row>
    <row r="2016" spans="1:2" x14ac:dyDescent="0.25">
      <c r="A2016" t="s">
        <v>2643</v>
      </c>
      <c r="B2016" s="9">
        <v>0</v>
      </c>
    </row>
    <row r="2017" spans="1:2" x14ac:dyDescent="0.25">
      <c r="A2017" t="s">
        <v>2644</v>
      </c>
      <c r="B2017" s="9">
        <v>0</v>
      </c>
    </row>
    <row r="2018" spans="1:2" x14ac:dyDescent="0.25">
      <c r="A2018" t="s">
        <v>2645</v>
      </c>
      <c r="B2018" s="9">
        <v>0</v>
      </c>
    </row>
    <row r="2019" spans="1:2" x14ac:dyDescent="0.25">
      <c r="A2019" t="s">
        <v>2646</v>
      </c>
      <c r="B2019" s="9">
        <v>0</v>
      </c>
    </row>
    <row r="2020" spans="1:2" x14ac:dyDescent="0.25">
      <c r="A2020" t="s">
        <v>2647</v>
      </c>
      <c r="B2020" s="9">
        <v>0</v>
      </c>
    </row>
    <row r="2021" spans="1:2" x14ac:dyDescent="0.25">
      <c r="A2021" t="s">
        <v>2648</v>
      </c>
      <c r="B2021" s="9">
        <v>0</v>
      </c>
    </row>
    <row r="2022" spans="1:2" x14ac:dyDescent="0.25">
      <c r="A2022" t="s">
        <v>2649</v>
      </c>
      <c r="B2022" s="9">
        <v>0</v>
      </c>
    </row>
    <row r="2023" spans="1:2" x14ac:dyDescent="0.25">
      <c r="A2023" t="s">
        <v>2650</v>
      </c>
      <c r="B2023" s="9">
        <v>0</v>
      </c>
    </row>
    <row r="2024" spans="1:2" x14ac:dyDescent="0.25">
      <c r="A2024" t="s">
        <v>2651</v>
      </c>
      <c r="B2024" s="9">
        <v>0</v>
      </c>
    </row>
    <row r="2025" spans="1:2" x14ac:dyDescent="0.25">
      <c r="A2025" t="s">
        <v>2652</v>
      </c>
      <c r="B2025" s="9">
        <v>0</v>
      </c>
    </row>
    <row r="2026" spans="1:2" x14ac:dyDescent="0.25">
      <c r="A2026" t="s">
        <v>2653</v>
      </c>
      <c r="B2026" s="9">
        <v>0</v>
      </c>
    </row>
    <row r="2027" spans="1:2" x14ac:dyDescent="0.25">
      <c r="A2027" t="s">
        <v>2654</v>
      </c>
      <c r="B2027" s="9">
        <v>0</v>
      </c>
    </row>
    <row r="2028" spans="1:2" x14ac:dyDescent="0.25">
      <c r="A2028" t="s">
        <v>2655</v>
      </c>
      <c r="B2028" s="9">
        <v>0</v>
      </c>
    </row>
    <row r="2029" spans="1:2" x14ac:dyDescent="0.25">
      <c r="A2029" t="s">
        <v>2656</v>
      </c>
      <c r="B2029" s="9">
        <v>0</v>
      </c>
    </row>
    <row r="2030" spans="1:2" x14ac:dyDescent="0.25">
      <c r="A2030" t="s">
        <v>2657</v>
      </c>
      <c r="B2030" s="9">
        <v>0</v>
      </c>
    </row>
    <row r="2031" spans="1:2" x14ac:dyDescent="0.25">
      <c r="A2031" t="s">
        <v>2658</v>
      </c>
      <c r="B2031" s="9">
        <v>0</v>
      </c>
    </row>
    <row r="2032" spans="1:2" x14ac:dyDescent="0.25">
      <c r="A2032" t="s">
        <v>2659</v>
      </c>
      <c r="B2032" s="9">
        <v>0</v>
      </c>
    </row>
    <row r="2033" spans="1:2" x14ac:dyDescent="0.25">
      <c r="A2033" t="s">
        <v>2660</v>
      </c>
      <c r="B2033" s="9">
        <v>0</v>
      </c>
    </row>
    <row r="2034" spans="1:2" x14ac:dyDescent="0.25">
      <c r="A2034" t="s">
        <v>2661</v>
      </c>
      <c r="B2034" s="9">
        <v>0</v>
      </c>
    </row>
    <row r="2035" spans="1:2" x14ac:dyDescent="0.25">
      <c r="A2035" t="s">
        <v>2662</v>
      </c>
      <c r="B2035" s="9">
        <v>0</v>
      </c>
    </row>
    <row r="2036" spans="1:2" x14ac:dyDescent="0.25">
      <c r="A2036" t="s">
        <v>2663</v>
      </c>
      <c r="B2036" s="9">
        <v>0</v>
      </c>
    </row>
    <row r="2037" spans="1:2" x14ac:dyDescent="0.25">
      <c r="A2037" t="s">
        <v>2664</v>
      </c>
      <c r="B2037" s="9">
        <v>0</v>
      </c>
    </row>
    <row r="2038" spans="1:2" x14ac:dyDescent="0.25">
      <c r="A2038" t="s">
        <v>2665</v>
      </c>
      <c r="B2038" s="9">
        <v>0</v>
      </c>
    </row>
    <row r="2039" spans="1:2" x14ac:dyDescent="0.25">
      <c r="A2039" t="s">
        <v>2666</v>
      </c>
      <c r="B2039" s="9">
        <v>0</v>
      </c>
    </row>
    <row r="2040" spans="1:2" x14ac:dyDescent="0.25">
      <c r="A2040" t="s">
        <v>2667</v>
      </c>
      <c r="B2040" s="9">
        <v>0</v>
      </c>
    </row>
    <row r="2041" spans="1:2" x14ac:dyDescent="0.25">
      <c r="A2041" t="s">
        <v>2668</v>
      </c>
      <c r="B2041" s="9">
        <v>0</v>
      </c>
    </row>
    <row r="2042" spans="1:2" x14ac:dyDescent="0.25">
      <c r="A2042" t="s">
        <v>2669</v>
      </c>
      <c r="B2042" s="9">
        <v>0</v>
      </c>
    </row>
    <row r="2043" spans="1:2" x14ac:dyDescent="0.25">
      <c r="A2043" t="s">
        <v>2670</v>
      </c>
      <c r="B2043" s="9">
        <v>0</v>
      </c>
    </row>
    <row r="2044" spans="1:2" x14ac:dyDescent="0.25">
      <c r="A2044" t="s">
        <v>2671</v>
      </c>
      <c r="B2044" s="9">
        <v>0</v>
      </c>
    </row>
    <row r="2045" spans="1:2" x14ac:dyDescent="0.25">
      <c r="A2045" t="s">
        <v>2672</v>
      </c>
      <c r="B2045" s="9">
        <v>0</v>
      </c>
    </row>
    <row r="2046" spans="1:2" x14ac:dyDescent="0.25">
      <c r="A2046" t="s">
        <v>2673</v>
      </c>
      <c r="B2046" s="9">
        <v>0</v>
      </c>
    </row>
    <row r="2047" spans="1:2" x14ac:dyDescent="0.25">
      <c r="A2047" t="s">
        <v>2674</v>
      </c>
      <c r="B2047" s="9">
        <v>0</v>
      </c>
    </row>
    <row r="2048" spans="1:2" x14ac:dyDescent="0.25">
      <c r="A2048" t="s">
        <v>2675</v>
      </c>
      <c r="B2048" s="9">
        <v>0</v>
      </c>
    </row>
    <row r="2049" spans="1:2" x14ac:dyDescent="0.25">
      <c r="A2049" t="s">
        <v>2676</v>
      </c>
      <c r="B2049" s="9">
        <v>0</v>
      </c>
    </row>
    <row r="2050" spans="1:2" x14ac:dyDescent="0.25">
      <c r="A2050" t="s">
        <v>2677</v>
      </c>
      <c r="B2050" s="9">
        <v>0</v>
      </c>
    </row>
    <row r="2051" spans="1:2" x14ac:dyDescent="0.25">
      <c r="A2051" t="s">
        <v>2678</v>
      </c>
      <c r="B2051" s="9">
        <v>0</v>
      </c>
    </row>
    <row r="2052" spans="1:2" x14ac:dyDescent="0.25">
      <c r="A2052" t="s">
        <v>2679</v>
      </c>
      <c r="B2052" s="9">
        <v>0</v>
      </c>
    </row>
    <row r="2053" spans="1:2" x14ac:dyDescent="0.25">
      <c r="A2053" t="s">
        <v>2680</v>
      </c>
      <c r="B2053" s="9">
        <v>0</v>
      </c>
    </row>
    <row r="2054" spans="1:2" x14ac:dyDescent="0.25">
      <c r="A2054" t="s">
        <v>2681</v>
      </c>
      <c r="B2054" s="9">
        <v>0</v>
      </c>
    </row>
    <row r="2055" spans="1:2" x14ac:dyDescent="0.25">
      <c r="A2055" t="s">
        <v>2682</v>
      </c>
      <c r="B2055" s="9">
        <v>0</v>
      </c>
    </row>
    <row r="2056" spans="1:2" x14ac:dyDescent="0.25">
      <c r="A2056" t="s">
        <v>2683</v>
      </c>
      <c r="B2056" s="9">
        <v>0</v>
      </c>
    </row>
    <row r="2057" spans="1:2" x14ac:dyDescent="0.25">
      <c r="A2057" t="s">
        <v>2684</v>
      </c>
      <c r="B2057" s="9">
        <v>0</v>
      </c>
    </row>
    <row r="2058" spans="1:2" x14ac:dyDescent="0.25">
      <c r="A2058" t="s">
        <v>2685</v>
      </c>
      <c r="B2058" s="9">
        <v>0</v>
      </c>
    </row>
    <row r="2059" spans="1:2" x14ac:dyDescent="0.25">
      <c r="A2059" t="s">
        <v>2686</v>
      </c>
      <c r="B2059" s="9">
        <v>0</v>
      </c>
    </row>
    <row r="2060" spans="1:2" x14ac:dyDescent="0.25">
      <c r="A2060" t="s">
        <v>2687</v>
      </c>
      <c r="B2060" s="9">
        <v>0</v>
      </c>
    </row>
    <row r="2061" spans="1:2" x14ac:dyDescent="0.25">
      <c r="A2061" t="s">
        <v>2688</v>
      </c>
      <c r="B2061" s="9">
        <v>0</v>
      </c>
    </row>
    <row r="2062" spans="1:2" x14ac:dyDescent="0.25">
      <c r="A2062" t="s">
        <v>2689</v>
      </c>
      <c r="B2062" s="9">
        <v>0</v>
      </c>
    </row>
    <row r="2063" spans="1:2" x14ac:dyDescent="0.25">
      <c r="A2063" t="s">
        <v>2690</v>
      </c>
      <c r="B2063" s="9">
        <v>0</v>
      </c>
    </row>
    <row r="2064" spans="1:2" x14ac:dyDescent="0.25">
      <c r="A2064" t="s">
        <v>2691</v>
      </c>
      <c r="B2064" s="9">
        <v>0</v>
      </c>
    </row>
    <row r="2065" spans="1:2" x14ac:dyDescent="0.25">
      <c r="A2065" t="s">
        <v>2692</v>
      </c>
      <c r="B2065" s="9">
        <v>0</v>
      </c>
    </row>
    <row r="2066" spans="1:2" x14ac:dyDescent="0.25">
      <c r="A2066" t="s">
        <v>2693</v>
      </c>
      <c r="B2066" s="9">
        <v>0</v>
      </c>
    </row>
    <row r="2067" spans="1:2" x14ac:dyDescent="0.25">
      <c r="A2067" t="s">
        <v>2694</v>
      </c>
      <c r="B2067" s="9">
        <v>0</v>
      </c>
    </row>
    <row r="2068" spans="1:2" x14ac:dyDescent="0.25">
      <c r="A2068" t="s">
        <v>2695</v>
      </c>
      <c r="B2068" s="9">
        <v>0</v>
      </c>
    </row>
    <row r="2069" spans="1:2" x14ac:dyDescent="0.25">
      <c r="A2069" t="s">
        <v>2696</v>
      </c>
      <c r="B2069" s="9">
        <v>0</v>
      </c>
    </row>
    <row r="2070" spans="1:2" x14ac:dyDescent="0.25">
      <c r="A2070" t="s">
        <v>2697</v>
      </c>
      <c r="B2070" s="9">
        <v>0</v>
      </c>
    </row>
    <row r="2071" spans="1:2" x14ac:dyDescent="0.25">
      <c r="A2071" t="s">
        <v>2698</v>
      </c>
      <c r="B2071" s="9">
        <v>0</v>
      </c>
    </row>
    <row r="2072" spans="1:2" x14ac:dyDescent="0.25">
      <c r="A2072" t="s">
        <v>2699</v>
      </c>
      <c r="B2072" s="9">
        <v>0</v>
      </c>
    </row>
    <row r="2073" spans="1:2" x14ac:dyDescent="0.25">
      <c r="A2073" t="s">
        <v>2700</v>
      </c>
      <c r="B2073" s="9">
        <v>0</v>
      </c>
    </row>
    <row r="2074" spans="1:2" x14ac:dyDescent="0.25">
      <c r="A2074" t="s">
        <v>2701</v>
      </c>
      <c r="B2074" s="9">
        <v>0</v>
      </c>
    </row>
    <row r="2075" spans="1:2" x14ac:dyDescent="0.25">
      <c r="A2075" t="s">
        <v>2702</v>
      </c>
      <c r="B2075" s="9">
        <v>0</v>
      </c>
    </row>
    <row r="2076" spans="1:2" x14ac:dyDescent="0.25">
      <c r="A2076" t="s">
        <v>2703</v>
      </c>
      <c r="B2076" s="9">
        <v>0</v>
      </c>
    </row>
    <row r="2077" spans="1:2" x14ac:dyDescent="0.25">
      <c r="A2077" t="s">
        <v>2704</v>
      </c>
      <c r="B2077" s="9">
        <v>0</v>
      </c>
    </row>
    <row r="2078" spans="1:2" x14ac:dyDescent="0.25">
      <c r="A2078" t="s">
        <v>2705</v>
      </c>
      <c r="B2078" s="9">
        <v>0</v>
      </c>
    </row>
    <row r="2079" spans="1:2" x14ac:dyDescent="0.25">
      <c r="A2079" t="s">
        <v>2706</v>
      </c>
      <c r="B2079" s="9">
        <v>0</v>
      </c>
    </row>
    <row r="2080" spans="1:2" x14ac:dyDescent="0.25">
      <c r="A2080" t="s">
        <v>2707</v>
      </c>
      <c r="B2080" s="9">
        <v>0</v>
      </c>
    </row>
    <row r="2081" spans="1:2" x14ac:dyDescent="0.25">
      <c r="A2081" t="s">
        <v>2708</v>
      </c>
      <c r="B2081" s="9">
        <v>0</v>
      </c>
    </row>
    <row r="2082" spans="1:2" x14ac:dyDescent="0.25">
      <c r="A2082" t="s">
        <v>2709</v>
      </c>
      <c r="B2082" s="9">
        <v>0</v>
      </c>
    </row>
    <row r="2083" spans="1:2" x14ac:dyDescent="0.25">
      <c r="A2083" t="s">
        <v>2710</v>
      </c>
      <c r="B2083" s="9">
        <v>0</v>
      </c>
    </row>
    <row r="2084" spans="1:2" x14ac:dyDescent="0.25">
      <c r="A2084" t="s">
        <v>2711</v>
      </c>
      <c r="B2084" s="9">
        <v>0</v>
      </c>
    </row>
    <row r="2085" spans="1:2" x14ac:dyDescent="0.25">
      <c r="A2085" t="s">
        <v>2712</v>
      </c>
      <c r="B2085" s="9">
        <v>0</v>
      </c>
    </row>
    <row r="2086" spans="1:2" x14ac:dyDescent="0.25">
      <c r="A2086" t="s">
        <v>2713</v>
      </c>
      <c r="B2086" s="9">
        <v>0</v>
      </c>
    </row>
    <row r="2087" spans="1:2" x14ac:dyDescent="0.25">
      <c r="A2087" t="s">
        <v>2714</v>
      </c>
      <c r="B2087" s="9">
        <v>0</v>
      </c>
    </row>
    <row r="2088" spans="1:2" x14ac:dyDescent="0.25">
      <c r="A2088" t="s">
        <v>2715</v>
      </c>
      <c r="B2088" s="9">
        <v>0</v>
      </c>
    </row>
    <row r="2089" spans="1:2" x14ac:dyDescent="0.25">
      <c r="A2089" t="s">
        <v>2716</v>
      </c>
      <c r="B2089" s="9">
        <v>0</v>
      </c>
    </row>
    <row r="2090" spans="1:2" x14ac:dyDescent="0.25">
      <c r="A2090" t="s">
        <v>2717</v>
      </c>
      <c r="B2090" s="9">
        <v>0</v>
      </c>
    </row>
    <row r="2091" spans="1:2" x14ac:dyDescent="0.25">
      <c r="A2091" t="s">
        <v>2718</v>
      </c>
      <c r="B2091" s="9">
        <v>0</v>
      </c>
    </row>
    <row r="2092" spans="1:2" x14ac:dyDescent="0.25">
      <c r="A2092" t="s">
        <v>2719</v>
      </c>
      <c r="B2092" s="9">
        <v>0</v>
      </c>
    </row>
    <row r="2093" spans="1:2" x14ac:dyDescent="0.25">
      <c r="A2093" t="s">
        <v>2720</v>
      </c>
      <c r="B2093" s="9">
        <v>0</v>
      </c>
    </row>
    <row r="2094" spans="1:2" x14ac:dyDescent="0.25">
      <c r="A2094" t="s">
        <v>2721</v>
      </c>
      <c r="B2094" s="9">
        <v>0</v>
      </c>
    </row>
    <row r="2095" spans="1:2" x14ac:dyDescent="0.25">
      <c r="A2095" t="s">
        <v>2722</v>
      </c>
      <c r="B2095" s="9">
        <v>0</v>
      </c>
    </row>
    <row r="2096" spans="1:2" x14ac:dyDescent="0.25">
      <c r="A2096" t="s">
        <v>2723</v>
      </c>
      <c r="B2096" s="9">
        <v>0</v>
      </c>
    </row>
    <row r="2097" spans="1:2" x14ac:dyDescent="0.25">
      <c r="A2097" t="s">
        <v>2724</v>
      </c>
      <c r="B2097" s="9">
        <v>0</v>
      </c>
    </row>
    <row r="2098" spans="1:2" x14ac:dyDescent="0.25">
      <c r="A2098" t="s">
        <v>2725</v>
      </c>
      <c r="B2098" s="9">
        <v>0</v>
      </c>
    </row>
    <row r="2099" spans="1:2" x14ac:dyDescent="0.25">
      <c r="A2099" t="s">
        <v>2726</v>
      </c>
      <c r="B2099" s="9">
        <v>0</v>
      </c>
    </row>
    <row r="2100" spans="1:2" x14ac:dyDescent="0.25">
      <c r="A2100" t="s">
        <v>2727</v>
      </c>
      <c r="B2100" s="9">
        <v>0</v>
      </c>
    </row>
    <row r="2101" spans="1:2" x14ac:dyDescent="0.25">
      <c r="A2101" t="s">
        <v>2728</v>
      </c>
      <c r="B2101" s="9">
        <v>0</v>
      </c>
    </row>
    <row r="2102" spans="1:2" x14ac:dyDescent="0.25">
      <c r="A2102" t="s">
        <v>2729</v>
      </c>
      <c r="B2102" s="9">
        <v>0</v>
      </c>
    </row>
    <row r="2103" spans="1:2" x14ac:dyDescent="0.25">
      <c r="A2103" t="s">
        <v>2730</v>
      </c>
      <c r="B2103" s="9">
        <v>0</v>
      </c>
    </row>
    <row r="2104" spans="1:2" x14ac:dyDescent="0.25">
      <c r="A2104" t="s">
        <v>2731</v>
      </c>
      <c r="B2104" s="9">
        <v>0</v>
      </c>
    </row>
    <row r="2105" spans="1:2" x14ac:dyDescent="0.25">
      <c r="A2105" t="s">
        <v>2732</v>
      </c>
      <c r="B2105" s="9">
        <v>0</v>
      </c>
    </row>
    <row r="2106" spans="1:2" x14ac:dyDescent="0.25">
      <c r="A2106" t="s">
        <v>2733</v>
      </c>
      <c r="B2106" s="9">
        <v>0</v>
      </c>
    </row>
    <row r="2107" spans="1:2" x14ac:dyDescent="0.25">
      <c r="A2107" t="s">
        <v>2734</v>
      </c>
      <c r="B2107" s="9">
        <v>0</v>
      </c>
    </row>
    <row r="2108" spans="1:2" x14ac:dyDescent="0.25">
      <c r="A2108" t="s">
        <v>2735</v>
      </c>
      <c r="B2108" s="9">
        <v>0</v>
      </c>
    </row>
    <row r="2109" spans="1:2" x14ac:dyDescent="0.25">
      <c r="A2109" t="s">
        <v>2736</v>
      </c>
      <c r="B2109" s="9">
        <v>0</v>
      </c>
    </row>
    <row r="2110" spans="1:2" x14ac:dyDescent="0.25">
      <c r="A2110" t="s">
        <v>2737</v>
      </c>
      <c r="B2110" s="9">
        <v>0</v>
      </c>
    </row>
    <row r="2111" spans="1:2" x14ac:dyDescent="0.25">
      <c r="A2111" t="s">
        <v>2738</v>
      </c>
      <c r="B2111" s="9">
        <v>0</v>
      </c>
    </row>
    <row r="2112" spans="1:2" x14ac:dyDescent="0.25">
      <c r="A2112" t="s">
        <v>2739</v>
      </c>
      <c r="B2112" s="9">
        <v>0</v>
      </c>
    </row>
    <row r="2113" spans="1:2" x14ac:dyDescent="0.25">
      <c r="A2113" t="s">
        <v>2740</v>
      </c>
      <c r="B2113" s="9">
        <v>0</v>
      </c>
    </row>
    <row r="2114" spans="1:2" x14ac:dyDescent="0.25">
      <c r="A2114" t="s">
        <v>2741</v>
      </c>
      <c r="B2114" s="9">
        <v>0</v>
      </c>
    </row>
    <row r="2115" spans="1:2" x14ac:dyDescent="0.25">
      <c r="A2115" t="s">
        <v>2742</v>
      </c>
      <c r="B2115" s="9">
        <v>0</v>
      </c>
    </row>
    <row r="2116" spans="1:2" x14ac:dyDescent="0.25">
      <c r="A2116" t="s">
        <v>2743</v>
      </c>
      <c r="B2116" s="9">
        <v>0</v>
      </c>
    </row>
    <row r="2117" spans="1:2" x14ac:dyDescent="0.25">
      <c r="A2117" t="s">
        <v>2744</v>
      </c>
      <c r="B2117" s="9">
        <v>0</v>
      </c>
    </row>
    <row r="2118" spans="1:2" x14ac:dyDescent="0.25">
      <c r="A2118" t="s">
        <v>2745</v>
      </c>
      <c r="B2118" s="9">
        <v>0</v>
      </c>
    </row>
    <row r="2119" spans="1:2" x14ac:dyDescent="0.25">
      <c r="A2119" t="s">
        <v>2746</v>
      </c>
      <c r="B2119" s="9">
        <v>0</v>
      </c>
    </row>
    <row r="2120" spans="1:2" x14ac:dyDescent="0.25">
      <c r="A2120" t="s">
        <v>2747</v>
      </c>
      <c r="B2120" s="9">
        <v>0</v>
      </c>
    </row>
    <row r="2121" spans="1:2" x14ac:dyDescent="0.25">
      <c r="A2121" t="s">
        <v>2748</v>
      </c>
      <c r="B2121" s="9">
        <v>0</v>
      </c>
    </row>
    <row r="2122" spans="1:2" x14ac:dyDescent="0.25">
      <c r="A2122" t="s">
        <v>2749</v>
      </c>
      <c r="B2122" s="9">
        <v>0</v>
      </c>
    </row>
    <row r="2123" spans="1:2" x14ac:dyDescent="0.25">
      <c r="A2123" t="s">
        <v>2750</v>
      </c>
      <c r="B2123" s="9">
        <v>0</v>
      </c>
    </row>
    <row r="2124" spans="1:2" x14ac:dyDescent="0.25">
      <c r="A2124" t="s">
        <v>2751</v>
      </c>
      <c r="B2124" s="9">
        <v>0</v>
      </c>
    </row>
    <row r="2125" spans="1:2" x14ac:dyDescent="0.25">
      <c r="A2125" t="s">
        <v>2752</v>
      </c>
      <c r="B2125" s="9">
        <v>0</v>
      </c>
    </row>
    <row r="2126" spans="1:2" x14ac:dyDescent="0.25">
      <c r="A2126" t="s">
        <v>2753</v>
      </c>
      <c r="B2126" s="9">
        <v>0</v>
      </c>
    </row>
    <row r="2127" spans="1:2" x14ac:dyDescent="0.25">
      <c r="A2127" t="s">
        <v>2754</v>
      </c>
      <c r="B2127" s="9">
        <v>0</v>
      </c>
    </row>
    <row r="2128" spans="1:2" x14ac:dyDescent="0.25">
      <c r="A2128" t="s">
        <v>2755</v>
      </c>
      <c r="B2128" s="9">
        <v>0</v>
      </c>
    </row>
    <row r="2129" spans="1:2" x14ac:dyDescent="0.25">
      <c r="A2129" t="s">
        <v>2756</v>
      </c>
      <c r="B2129" s="9">
        <v>0</v>
      </c>
    </row>
    <row r="2130" spans="1:2" x14ac:dyDescent="0.25">
      <c r="A2130" t="s">
        <v>2757</v>
      </c>
      <c r="B2130" s="9">
        <v>0</v>
      </c>
    </row>
    <row r="2131" spans="1:2" x14ac:dyDescent="0.25">
      <c r="A2131" t="s">
        <v>2758</v>
      </c>
      <c r="B2131" s="9">
        <v>0</v>
      </c>
    </row>
    <row r="2132" spans="1:2" x14ac:dyDescent="0.25">
      <c r="A2132" t="s">
        <v>2759</v>
      </c>
      <c r="B2132" s="9">
        <v>0</v>
      </c>
    </row>
    <row r="2133" spans="1:2" x14ac:dyDescent="0.25">
      <c r="A2133" t="s">
        <v>2760</v>
      </c>
      <c r="B2133" s="9">
        <v>0</v>
      </c>
    </row>
    <row r="2134" spans="1:2" x14ac:dyDescent="0.25">
      <c r="A2134" t="s">
        <v>2761</v>
      </c>
      <c r="B2134" s="9">
        <v>0</v>
      </c>
    </row>
    <row r="2135" spans="1:2" x14ac:dyDescent="0.25">
      <c r="A2135" t="s">
        <v>2762</v>
      </c>
      <c r="B2135" s="9">
        <v>0</v>
      </c>
    </row>
    <row r="2136" spans="1:2" x14ac:dyDescent="0.25">
      <c r="A2136" t="s">
        <v>2763</v>
      </c>
      <c r="B2136" s="9">
        <v>0</v>
      </c>
    </row>
    <row r="2137" spans="1:2" x14ac:dyDescent="0.25">
      <c r="A2137" t="s">
        <v>2764</v>
      </c>
      <c r="B2137" s="9">
        <v>0</v>
      </c>
    </row>
    <row r="2138" spans="1:2" x14ac:dyDescent="0.25">
      <c r="A2138" t="s">
        <v>2765</v>
      </c>
      <c r="B2138" s="9">
        <v>0</v>
      </c>
    </row>
    <row r="2139" spans="1:2" x14ac:dyDescent="0.25">
      <c r="A2139" t="s">
        <v>2766</v>
      </c>
      <c r="B2139" s="9">
        <v>0</v>
      </c>
    </row>
    <row r="2140" spans="1:2" x14ac:dyDescent="0.25">
      <c r="A2140" t="s">
        <v>2767</v>
      </c>
      <c r="B2140" s="9">
        <v>0</v>
      </c>
    </row>
    <row r="2141" spans="1:2" x14ac:dyDescent="0.25">
      <c r="A2141" t="s">
        <v>2768</v>
      </c>
      <c r="B2141" s="9">
        <v>0</v>
      </c>
    </row>
    <row r="2142" spans="1:2" x14ac:dyDescent="0.25">
      <c r="A2142" t="s">
        <v>2769</v>
      </c>
      <c r="B2142" s="9">
        <v>0</v>
      </c>
    </row>
    <row r="2143" spans="1:2" x14ac:dyDescent="0.25">
      <c r="A2143" t="s">
        <v>2770</v>
      </c>
      <c r="B2143" s="9">
        <v>0</v>
      </c>
    </row>
    <row r="2144" spans="1:2" x14ac:dyDescent="0.25">
      <c r="A2144" t="s">
        <v>2771</v>
      </c>
      <c r="B2144" s="9">
        <v>0</v>
      </c>
    </row>
    <row r="2145" spans="1:2" x14ac:dyDescent="0.25">
      <c r="A2145" t="s">
        <v>2772</v>
      </c>
      <c r="B2145" s="9">
        <v>0</v>
      </c>
    </row>
    <row r="2146" spans="1:2" x14ac:dyDescent="0.25">
      <c r="A2146" t="s">
        <v>2773</v>
      </c>
      <c r="B2146" s="9">
        <v>0</v>
      </c>
    </row>
    <row r="2147" spans="1:2" x14ac:dyDescent="0.25">
      <c r="A2147" t="s">
        <v>2774</v>
      </c>
      <c r="B2147" s="9">
        <v>0</v>
      </c>
    </row>
    <row r="2148" spans="1:2" x14ac:dyDescent="0.25">
      <c r="A2148" t="s">
        <v>2775</v>
      </c>
      <c r="B2148" s="9">
        <v>0</v>
      </c>
    </row>
    <row r="2149" spans="1:2" x14ac:dyDescent="0.25">
      <c r="A2149" t="s">
        <v>2776</v>
      </c>
      <c r="B2149" s="9">
        <v>0</v>
      </c>
    </row>
    <row r="2150" spans="1:2" x14ac:dyDescent="0.25">
      <c r="A2150" t="s">
        <v>2777</v>
      </c>
      <c r="B2150" s="9">
        <v>0</v>
      </c>
    </row>
    <row r="2151" spans="1:2" x14ac:dyDescent="0.25">
      <c r="A2151" t="s">
        <v>2778</v>
      </c>
      <c r="B2151" s="9">
        <v>0</v>
      </c>
    </row>
    <row r="2152" spans="1:2" x14ac:dyDescent="0.25">
      <c r="A2152" t="s">
        <v>2779</v>
      </c>
      <c r="B2152" s="9">
        <v>0</v>
      </c>
    </row>
    <row r="2153" spans="1:2" x14ac:dyDescent="0.25">
      <c r="A2153" t="s">
        <v>2780</v>
      </c>
      <c r="B2153" s="9">
        <v>0</v>
      </c>
    </row>
    <row r="2154" spans="1:2" x14ac:dyDescent="0.25">
      <c r="A2154" t="s">
        <v>2781</v>
      </c>
      <c r="B2154" s="9">
        <v>0</v>
      </c>
    </row>
    <row r="2155" spans="1:2" x14ac:dyDescent="0.25">
      <c r="A2155" t="s">
        <v>2782</v>
      </c>
      <c r="B2155" s="9">
        <v>0</v>
      </c>
    </row>
    <row r="2156" spans="1:2" x14ac:dyDescent="0.25">
      <c r="A2156" t="s">
        <v>2783</v>
      </c>
      <c r="B2156" s="9">
        <v>0</v>
      </c>
    </row>
    <row r="2157" spans="1:2" x14ac:dyDescent="0.25">
      <c r="A2157" t="s">
        <v>2784</v>
      </c>
      <c r="B2157" s="9">
        <v>0</v>
      </c>
    </row>
    <row r="2158" spans="1:2" x14ac:dyDescent="0.25">
      <c r="A2158" t="s">
        <v>2785</v>
      </c>
      <c r="B2158" s="9">
        <v>0</v>
      </c>
    </row>
    <row r="2159" spans="1:2" x14ac:dyDescent="0.25">
      <c r="A2159" t="s">
        <v>2786</v>
      </c>
      <c r="B2159" s="9">
        <v>0</v>
      </c>
    </row>
    <row r="2160" spans="1:2" x14ac:dyDescent="0.25">
      <c r="A2160" t="s">
        <v>2787</v>
      </c>
      <c r="B2160" s="9">
        <v>0</v>
      </c>
    </row>
    <row r="2161" spans="1:2" x14ac:dyDescent="0.25">
      <c r="A2161" t="s">
        <v>2788</v>
      </c>
      <c r="B2161" s="9">
        <v>0</v>
      </c>
    </row>
    <row r="2162" spans="1:2" x14ac:dyDescent="0.25">
      <c r="A2162" t="s">
        <v>2789</v>
      </c>
      <c r="B2162" s="9">
        <v>0</v>
      </c>
    </row>
    <row r="2163" spans="1:2" x14ac:dyDescent="0.25">
      <c r="A2163" t="s">
        <v>2790</v>
      </c>
      <c r="B2163" s="9">
        <v>0</v>
      </c>
    </row>
    <row r="2164" spans="1:2" x14ac:dyDescent="0.25">
      <c r="A2164" t="s">
        <v>2791</v>
      </c>
      <c r="B2164" s="9">
        <v>0</v>
      </c>
    </row>
    <row r="2165" spans="1:2" x14ac:dyDescent="0.25">
      <c r="A2165" t="s">
        <v>2792</v>
      </c>
      <c r="B2165" s="9">
        <v>0</v>
      </c>
    </row>
    <row r="2166" spans="1:2" x14ac:dyDescent="0.25">
      <c r="A2166" t="s">
        <v>2793</v>
      </c>
      <c r="B2166" s="9">
        <v>0</v>
      </c>
    </row>
    <row r="2167" spans="1:2" x14ac:dyDescent="0.25">
      <c r="A2167" t="s">
        <v>2794</v>
      </c>
      <c r="B2167" s="9">
        <v>0</v>
      </c>
    </row>
    <row r="2168" spans="1:2" x14ac:dyDescent="0.25">
      <c r="A2168" t="s">
        <v>2795</v>
      </c>
      <c r="B2168" s="9">
        <v>0</v>
      </c>
    </row>
    <row r="2169" spans="1:2" x14ac:dyDescent="0.25">
      <c r="A2169" t="s">
        <v>2796</v>
      </c>
      <c r="B2169" s="9">
        <v>0</v>
      </c>
    </row>
    <row r="2170" spans="1:2" x14ac:dyDescent="0.25">
      <c r="A2170" t="s">
        <v>2797</v>
      </c>
      <c r="B2170" s="9">
        <v>0</v>
      </c>
    </row>
    <row r="2171" spans="1:2" x14ac:dyDescent="0.25">
      <c r="A2171" t="s">
        <v>2798</v>
      </c>
      <c r="B2171" s="9">
        <v>0</v>
      </c>
    </row>
    <row r="2172" spans="1:2" x14ac:dyDescent="0.25">
      <c r="A2172" t="s">
        <v>2799</v>
      </c>
      <c r="B2172" s="9">
        <v>0</v>
      </c>
    </row>
    <row r="2173" spans="1:2" x14ac:dyDescent="0.25">
      <c r="A2173" t="s">
        <v>2800</v>
      </c>
      <c r="B2173" s="9">
        <v>0</v>
      </c>
    </row>
    <row r="2174" spans="1:2" x14ac:dyDescent="0.25">
      <c r="A2174" t="s">
        <v>2801</v>
      </c>
      <c r="B2174" s="9">
        <v>0</v>
      </c>
    </row>
    <row r="2175" spans="1:2" x14ac:dyDescent="0.25">
      <c r="A2175" t="s">
        <v>2802</v>
      </c>
      <c r="B2175" s="9">
        <v>0</v>
      </c>
    </row>
    <row r="2176" spans="1:2" x14ac:dyDescent="0.25">
      <c r="A2176" t="s">
        <v>2803</v>
      </c>
      <c r="B2176" s="9">
        <v>0</v>
      </c>
    </row>
    <row r="2177" spans="1:2" x14ac:dyDescent="0.25">
      <c r="A2177" t="s">
        <v>2804</v>
      </c>
      <c r="B2177" s="9">
        <v>0</v>
      </c>
    </row>
    <row r="2178" spans="1:2" x14ac:dyDescent="0.25">
      <c r="A2178" t="s">
        <v>2805</v>
      </c>
      <c r="B2178" s="9">
        <v>0</v>
      </c>
    </row>
    <row r="2179" spans="1:2" x14ac:dyDescent="0.25">
      <c r="A2179" t="s">
        <v>2806</v>
      </c>
      <c r="B2179" s="9">
        <v>0</v>
      </c>
    </row>
    <row r="2180" spans="1:2" x14ac:dyDescent="0.25">
      <c r="A2180" t="s">
        <v>2807</v>
      </c>
      <c r="B2180" s="9">
        <v>0</v>
      </c>
    </row>
    <row r="2181" spans="1:2" x14ac:dyDescent="0.25">
      <c r="A2181" t="s">
        <v>2808</v>
      </c>
      <c r="B2181" s="9">
        <v>0</v>
      </c>
    </row>
    <row r="2182" spans="1:2" x14ac:dyDescent="0.25">
      <c r="A2182" t="s">
        <v>2809</v>
      </c>
      <c r="B2182" s="9">
        <v>0</v>
      </c>
    </row>
    <row r="2183" spans="1:2" x14ac:dyDescent="0.25">
      <c r="A2183" t="s">
        <v>2810</v>
      </c>
      <c r="B2183" s="9">
        <v>0</v>
      </c>
    </row>
    <row r="2184" spans="1:2" x14ac:dyDescent="0.25">
      <c r="A2184" t="s">
        <v>2811</v>
      </c>
      <c r="B2184" s="9">
        <v>0</v>
      </c>
    </row>
    <row r="2185" spans="1:2" x14ac:dyDescent="0.25">
      <c r="A2185" t="s">
        <v>2812</v>
      </c>
      <c r="B2185" s="9">
        <v>0</v>
      </c>
    </row>
    <row r="2186" spans="1:2" x14ac:dyDescent="0.25">
      <c r="A2186" t="s">
        <v>2813</v>
      </c>
      <c r="B2186" s="9">
        <v>0</v>
      </c>
    </row>
    <row r="2187" spans="1:2" x14ac:dyDescent="0.25">
      <c r="A2187" t="s">
        <v>2814</v>
      </c>
      <c r="B2187" s="9">
        <v>0</v>
      </c>
    </row>
    <row r="2188" spans="1:2" x14ac:dyDescent="0.25">
      <c r="A2188" t="s">
        <v>2815</v>
      </c>
      <c r="B2188" s="9">
        <v>0</v>
      </c>
    </row>
    <row r="2189" spans="1:2" x14ac:dyDescent="0.25">
      <c r="A2189" t="s">
        <v>2816</v>
      </c>
      <c r="B2189" s="9">
        <v>0</v>
      </c>
    </row>
    <row r="2190" spans="1:2" x14ac:dyDescent="0.25">
      <c r="A2190" t="s">
        <v>2817</v>
      </c>
      <c r="B2190" s="9">
        <v>0</v>
      </c>
    </row>
    <row r="2191" spans="1:2" x14ac:dyDescent="0.25">
      <c r="A2191" t="s">
        <v>2818</v>
      </c>
      <c r="B2191" s="9">
        <v>0</v>
      </c>
    </row>
    <row r="2192" spans="1:2" x14ac:dyDescent="0.25">
      <c r="A2192" t="s">
        <v>2819</v>
      </c>
      <c r="B2192" s="9">
        <v>0</v>
      </c>
    </row>
    <row r="2193" spans="1:2" x14ac:dyDescent="0.25">
      <c r="A2193" t="s">
        <v>2820</v>
      </c>
      <c r="B2193" s="9">
        <v>0</v>
      </c>
    </row>
    <row r="2194" spans="1:2" x14ac:dyDescent="0.25">
      <c r="A2194" t="s">
        <v>2821</v>
      </c>
      <c r="B2194" s="9">
        <v>0</v>
      </c>
    </row>
    <row r="2195" spans="1:2" x14ac:dyDescent="0.25">
      <c r="A2195" t="s">
        <v>2822</v>
      </c>
      <c r="B2195" s="9">
        <v>0</v>
      </c>
    </row>
    <row r="2196" spans="1:2" x14ac:dyDescent="0.25">
      <c r="A2196" t="s">
        <v>2823</v>
      </c>
      <c r="B2196" s="9">
        <v>0</v>
      </c>
    </row>
    <row r="2197" spans="1:2" x14ac:dyDescent="0.25">
      <c r="A2197" t="s">
        <v>2824</v>
      </c>
      <c r="B2197" s="9">
        <v>0</v>
      </c>
    </row>
    <row r="2198" spans="1:2" x14ac:dyDescent="0.25">
      <c r="A2198" t="s">
        <v>2825</v>
      </c>
      <c r="B2198" s="9">
        <v>0</v>
      </c>
    </row>
    <row r="2199" spans="1:2" x14ac:dyDescent="0.25">
      <c r="A2199" t="s">
        <v>2826</v>
      </c>
      <c r="B2199" s="9">
        <v>0</v>
      </c>
    </row>
    <row r="2200" spans="1:2" x14ac:dyDescent="0.25">
      <c r="A2200" t="s">
        <v>2827</v>
      </c>
      <c r="B2200" s="9">
        <v>0</v>
      </c>
    </row>
    <row r="2201" spans="1:2" x14ac:dyDescent="0.25">
      <c r="A2201" t="s">
        <v>2828</v>
      </c>
      <c r="B2201" s="9">
        <v>0</v>
      </c>
    </row>
    <row r="2202" spans="1:2" x14ac:dyDescent="0.25">
      <c r="A2202" t="s">
        <v>2829</v>
      </c>
      <c r="B2202" s="9">
        <v>0</v>
      </c>
    </row>
    <row r="2203" spans="1:2" x14ac:dyDescent="0.25">
      <c r="A2203" t="s">
        <v>2830</v>
      </c>
      <c r="B2203" s="9">
        <v>0</v>
      </c>
    </row>
    <row r="2204" spans="1:2" x14ac:dyDescent="0.25">
      <c r="A2204" t="s">
        <v>2831</v>
      </c>
      <c r="B2204" s="9">
        <v>0</v>
      </c>
    </row>
    <row r="2205" spans="1:2" x14ac:dyDescent="0.25">
      <c r="A2205" t="s">
        <v>2832</v>
      </c>
      <c r="B2205" s="9">
        <v>0</v>
      </c>
    </row>
    <row r="2206" spans="1:2" x14ac:dyDescent="0.25">
      <c r="A2206" t="s">
        <v>2833</v>
      </c>
      <c r="B2206" s="9">
        <v>0</v>
      </c>
    </row>
    <row r="2207" spans="1:2" x14ac:dyDescent="0.25">
      <c r="A2207" t="s">
        <v>2834</v>
      </c>
      <c r="B2207" s="9">
        <v>0</v>
      </c>
    </row>
    <row r="2208" spans="1:2" x14ac:dyDescent="0.25">
      <c r="A2208" t="s">
        <v>2835</v>
      </c>
      <c r="B2208" s="9">
        <v>0</v>
      </c>
    </row>
    <row r="2209" spans="1:2" x14ac:dyDescent="0.25">
      <c r="A2209" t="s">
        <v>2836</v>
      </c>
      <c r="B2209" s="9">
        <v>0</v>
      </c>
    </row>
    <row r="2210" spans="1:2" x14ac:dyDescent="0.25">
      <c r="A2210" t="s">
        <v>2837</v>
      </c>
      <c r="B2210" s="9">
        <v>0</v>
      </c>
    </row>
    <row r="2211" spans="1:2" x14ac:dyDescent="0.25">
      <c r="A2211" t="s">
        <v>2838</v>
      </c>
      <c r="B2211" s="9">
        <v>0</v>
      </c>
    </row>
    <row r="2212" spans="1:2" x14ac:dyDescent="0.25">
      <c r="A2212" t="s">
        <v>2839</v>
      </c>
      <c r="B2212" s="9">
        <v>0</v>
      </c>
    </row>
    <row r="2213" spans="1:2" x14ac:dyDescent="0.25">
      <c r="A2213" t="s">
        <v>2840</v>
      </c>
      <c r="B2213" s="9">
        <v>0</v>
      </c>
    </row>
    <row r="2214" spans="1:2" x14ac:dyDescent="0.25">
      <c r="A2214" t="s">
        <v>2841</v>
      </c>
      <c r="B2214" s="9">
        <v>0</v>
      </c>
    </row>
    <row r="2215" spans="1:2" x14ac:dyDescent="0.25">
      <c r="A2215" t="s">
        <v>2842</v>
      </c>
      <c r="B2215" s="9">
        <v>0</v>
      </c>
    </row>
    <row r="2216" spans="1:2" x14ac:dyDescent="0.25">
      <c r="A2216" t="s">
        <v>2843</v>
      </c>
      <c r="B2216" s="9">
        <v>0</v>
      </c>
    </row>
    <row r="2217" spans="1:2" x14ac:dyDescent="0.25">
      <c r="A2217" t="s">
        <v>2844</v>
      </c>
      <c r="B2217" s="9">
        <v>0</v>
      </c>
    </row>
    <row r="2218" spans="1:2" x14ac:dyDescent="0.25">
      <c r="A2218" t="s">
        <v>2845</v>
      </c>
      <c r="B2218" s="9">
        <v>0</v>
      </c>
    </row>
    <row r="2219" spans="1:2" x14ac:dyDescent="0.25">
      <c r="A2219" t="s">
        <v>2846</v>
      </c>
      <c r="B2219" s="9">
        <v>0</v>
      </c>
    </row>
    <row r="2220" spans="1:2" x14ac:dyDescent="0.25">
      <c r="A2220" t="s">
        <v>2847</v>
      </c>
      <c r="B2220" s="9">
        <v>0</v>
      </c>
    </row>
    <row r="2221" spans="1:2" x14ac:dyDescent="0.25">
      <c r="A2221" t="s">
        <v>2848</v>
      </c>
      <c r="B2221" s="9">
        <v>0</v>
      </c>
    </row>
    <row r="2222" spans="1:2" x14ac:dyDescent="0.25">
      <c r="A2222" t="s">
        <v>2849</v>
      </c>
      <c r="B2222" s="9">
        <v>0</v>
      </c>
    </row>
    <row r="2223" spans="1:2" x14ac:dyDescent="0.25">
      <c r="A2223" t="s">
        <v>2850</v>
      </c>
      <c r="B2223" s="9">
        <v>0</v>
      </c>
    </row>
    <row r="2224" spans="1:2" x14ac:dyDescent="0.25">
      <c r="A2224" t="s">
        <v>2851</v>
      </c>
      <c r="B2224" s="9">
        <v>0</v>
      </c>
    </row>
    <row r="2225" spans="1:2" x14ac:dyDescent="0.25">
      <c r="A2225" t="s">
        <v>2852</v>
      </c>
      <c r="B2225" s="9">
        <v>0</v>
      </c>
    </row>
    <row r="2226" spans="1:2" x14ac:dyDescent="0.25">
      <c r="A2226" t="s">
        <v>2853</v>
      </c>
      <c r="B2226" s="9">
        <v>0</v>
      </c>
    </row>
    <row r="2227" spans="1:2" x14ac:dyDescent="0.25">
      <c r="A2227" t="s">
        <v>2854</v>
      </c>
      <c r="B2227" s="9">
        <v>0</v>
      </c>
    </row>
    <row r="2228" spans="1:2" x14ac:dyDescent="0.25">
      <c r="A2228" t="s">
        <v>2855</v>
      </c>
      <c r="B2228" s="9">
        <v>0</v>
      </c>
    </row>
    <row r="2229" spans="1:2" x14ac:dyDescent="0.25">
      <c r="A2229" t="s">
        <v>2856</v>
      </c>
      <c r="B2229" s="9">
        <v>0</v>
      </c>
    </row>
    <row r="2230" spans="1:2" x14ac:dyDescent="0.25">
      <c r="A2230" t="s">
        <v>2857</v>
      </c>
      <c r="B2230" s="9">
        <v>0</v>
      </c>
    </row>
    <row r="2231" spans="1:2" x14ac:dyDescent="0.25">
      <c r="A2231" t="s">
        <v>2858</v>
      </c>
      <c r="B2231" s="9">
        <v>0</v>
      </c>
    </row>
    <row r="2232" spans="1:2" x14ac:dyDescent="0.25">
      <c r="A2232" t="s">
        <v>2859</v>
      </c>
      <c r="B2232" s="9">
        <v>0</v>
      </c>
    </row>
    <row r="2233" spans="1:2" x14ac:dyDescent="0.25">
      <c r="A2233" t="s">
        <v>2860</v>
      </c>
      <c r="B2233" s="9">
        <v>0</v>
      </c>
    </row>
    <row r="2234" spans="1:2" x14ac:dyDescent="0.25">
      <c r="A2234" t="s">
        <v>2861</v>
      </c>
      <c r="B2234" s="9">
        <v>0</v>
      </c>
    </row>
    <row r="2235" spans="1:2" x14ac:dyDescent="0.25">
      <c r="A2235" t="s">
        <v>2862</v>
      </c>
      <c r="B2235" s="9">
        <v>0</v>
      </c>
    </row>
    <row r="2236" spans="1:2" x14ac:dyDescent="0.25">
      <c r="A2236" t="s">
        <v>2863</v>
      </c>
      <c r="B2236" s="9">
        <v>0</v>
      </c>
    </row>
    <row r="2237" spans="1:2" x14ac:dyDescent="0.25">
      <c r="A2237" t="s">
        <v>2864</v>
      </c>
      <c r="B2237" s="9">
        <v>0</v>
      </c>
    </row>
    <row r="2238" spans="1:2" x14ac:dyDescent="0.25">
      <c r="A2238" t="s">
        <v>2865</v>
      </c>
      <c r="B2238" s="9">
        <v>0</v>
      </c>
    </row>
    <row r="2239" spans="1:2" x14ac:dyDescent="0.25">
      <c r="A2239" t="s">
        <v>2866</v>
      </c>
      <c r="B2239" s="9">
        <v>0</v>
      </c>
    </row>
    <row r="2240" spans="1:2" x14ac:dyDescent="0.25">
      <c r="A2240" t="s">
        <v>2867</v>
      </c>
      <c r="B2240" s="9">
        <v>0</v>
      </c>
    </row>
    <row r="2241" spans="1:2" x14ac:dyDescent="0.25">
      <c r="A2241" t="s">
        <v>2868</v>
      </c>
      <c r="B2241" s="9">
        <v>0</v>
      </c>
    </row>
    <row r="2242" spans="1:2" x14ac:dyDescent="0.25">
      <c r="A2242" t="s">
        <v>2869</v>
      </c>
      <c r="B2242" s="9">
        <v>0</v>
      </c>
    </row>
    <row r="2243" spans="1:2" x14ac:dyDescent="0.25">
      <c r="A2243" t="s">
        <v>2870</v>
      </c>
      <c r="B2243" s="9">
        <v>0</v>
      </c>
    </row>
    <row r="2244" spans="1:2" x14ac:dyDescent="0.25">
      <c r="A2244" t="s">
        <v>2871</v>
      </c>
      <c r="B2244" s="9">
        <v>0</v>
      </c>
    </row>
    <row r="2245" spans="1:2" x14ac:dyDescent="0.25">
      <c r="A2245" t="s">
        <v>2872</v>
      </c>
      <c r="B2245" s="9">
        <v>0</v>
      </c>
    </row>
    <row r="2246" spans="1:2" x14ac:dyDescent="0.25">
      <c r="A2246" t="s">
        <v>2873</v>
      </c>
      <c r="B2246" s="9">
        <v>0</v>
      </c>
    </row>
    <row r="2247" spans="1:2" x14ac:dyDescent="0.25">
      <c r="A2247" t="s">
        <v>2874</v>
      </c>
      <c r="B2247" s="9">
        <v>0</v>
      </c>
    </row>
    <row r="2248" spans="1:2" x14ac:dyDescent="0.25">
      <c r="A2248" t="s">
        <v>2875</v>
      </c>
      <c r="B2248" s="9">
        <v>0</v>
      </c>
    </row>
    <row r="2249" spans="1:2" x14ac:dyDescent="0.25">
      <c r="A2249" t="s">
        <v>2876</v>
      </c>
      <c r="B2249" s="9">
        <v>0</v>
      </c>
    </row>
    <row r="2250" spans="1:2" x14ac:dyDescent="0.25">
      <c r="A2250" t="s">
        <v>2877</v>
      </c>
      <c r="B2250" s="9">
        <v>0</v>
      </c>
    </row>
    <row r="2251" spans="1:2" x14ac:dyDescent="0.25">
      <c r="A2251" t="s">
        <v>2878</v>
      </c>
      <c r="B2251" s="9">
        <v>0</v>
      </c>
    </row>
    <row r="2252" spans="1:2" x14ac:dyDescent="0.25">
      <c r="A2252" t="s">
        <v>2879</v>
      </c>
      <c r="B2252" s="9">
        <v>0</v>
      </c>
    </row>
    <row r="2253" spans="1:2" x14ac:dyDescent="0.25">
      <c r="A2253" t="s">
        <v>2880</v>
      </c>
      <c r="B2253" s="9">
        <v>0</v>
      </c>
    </row>
    <row r="2254" spans="1:2" x14ac:dyDescent="0.25">
      <c r="A2254" t="s">
        <v>2881</v>
      </c>
      <c r="B2254" s="9">
        <v>0</v>
      </c>
    </row>
    <row r="2255" spans="1:2" x14ac:dyDescent="0.25">
      <c r="A2255" t="s">
        <v>2882</v>
      </c>
      <c r="B2255" s="9">
        <v>0</v>
      </c>
    </row>
    <row r="2256" spans="1:2" x14ac:dyDescent="0.25">
      <c r="A2256" t="s">
        <v>2883</v>
      </c>
      <c r="B2256" s="9">
        <v>0</v>
      </c>
    </row>
    <row r="2257" spans="1:2" x14ac:dyDescent="0.25">
      <c r="A2257" t="s">
        <v>2884</v>
      </c>
      <c r="B2257" s="9">
        <v>0</v>
      </c>
    </row>
    <row r="2258" spans="1:2" x14ac:dyDescent="0.25">
      <c r="A2258" t="s">
        <v>2885</v>
      </c>
      <c r="B2258" s="9">
        <v>0</v>
      </c>
    </row>
    <row r="2259" spans="1:2" x14ac:dyDescent="0.25">
      <c r="A2259" t="s">
        <v>2886</v>
      </c>
      <c r="B2259" s="9">
        <v>0</v>
      </c>
    </row>
    <row r="2260" spans="1:2" x14ac:dyDescent="0.25">
      <c r="A2260" t="s">
        <v>2887</v>
      </c>
      <c r="B2260" s="9">
        <v>0</v>
      </c>
    </row>
    <row r="2261" spans="1:2" x14ac:dyDescent="0.25">
      <c r="A2261" t="s">
        <v>2888</v>
      </c>
      <c r="B2261" s="9">
        <v>0</v>
      </c>
    </row>
    <row r="2262" spans="1:2" x14ac:dyDescent="0.25">
      <c r="A2262" t="s">
        <v>2889</v>
      </c>
      <c r="B2262" s="9">
        <v>0</v>
      </c>
    </row>
    <row r="2263" spans="1:2" x14ac:dyDescent="0.25">
      <c r="A2263" t="s">
        <v>2890</v>
      </c>
      <c r="B2263" s="9">
        <v>0</v>
      </c>
    </row>
    <row r="2264" spans="1:2" x14ac:dyDescent="0.25">
      <c r="A2264" t="s">
        <v>2891</v>
      </c>
      <c r="B2264" s="9">
        <v>0</v>
      </c>
    </row>
    <row r="2265" spans="1:2" x14ac:dyDescent="0.25">
      <c r="A2265" t="s">
        <v>2892</v>
      </c>
      <c r="B2265" s="9">
        <v>0</v>
      </c>
    </row>
    <row r="2266" spans="1:2" x14ac:dyDescent="0.25">
      <c r="A2266" t="s">
        <v>2893</v>
      </c>
      <c r="B2266" s="9">
        <v>0</v>
      </c>
    </row>
    <row r="2267" spans="1:2" x14ac:dyDescent="0.25">
      <c r="A2267" t="s">
        <v>2894</v>
      </c>
      <c r="B2267" s="9">
        <v>0</v>
      </c>
    </row>
    <row r="2268" spans="1:2" x14ac:dyDescent="0.25">
      <c r="A2268" t="s">
        <v>2895</v>
      </c>
      <c r="B2268" s="9">
        <v>0</v>
      </c>
    </row>
    <row r="2269" spans="1:2" x14ac:dyDescent="0.25">
      <c r="A2269" t="s">
        <v>2896</v>
      </c>
      <c r="B2269" s="9">
        <v>0</v>
      </c>
    </row>
    <row r="2270" spans="1:2" x14ac:dyDescent="0.25">
      <c r="A2270" t="s">
        <v>2897</v>
      </c>
      <c r="B2270" s="9">
        <v>0</v>
      </c>
    </row>
    <row r="2271" spans="1:2" x14ac:dyDescent="0.25">
      <c r="A2271" t="s">
        <v>2898</v>
      </c>
      <c r="B2271" s="9">
        <v>0</v>
      </c>
    </row>
    <row r="2272" spans="1:2" x14ac:dyDescent="0.25">
      <c r="A2272" t="s">
        <v>2899</v>
      </c>
      <c r="B2272" s="9">
        <v>0</v>
      </c>
    </row>
    <row r="2273" spans="1:2" x14ac:dyDescent="0.25">
      <c r="A2273" t="s">
        <v>2900</v>
      </c>
      <c r="B2273" s="9">
        <v>0</v>
      </c>
    </row>
    <row r="2274" spans="1:2" x14ac:dyDescent="0.25">
      <c r="A2274" t="s">
        <v>2901</v>
      </c>
      <c r="B2274" s="9">
        <v>0</v>
      </c>
    </row>
    <row r="2275" spans="1:2" x14ac:dyDescent="0.25">
      <c r="A2275" t="s">
        <v>2902</v>
      </c>
      <c r="B2275" s="9">
        <v>0</v>
      </c>
    </row>
    <row r="2276" spans="1:2" x14ac:dyDescent="0.25">
      <c r="A2276" t="s">
        <v>2903</v>
      </c>
      <c r="B2276" s="9">
        <v>0</v>
      </c>
    </row>
    <row r="2277" spans="1:2" x14ac:dyDescent="0.25">
      <c r="A2277" t="s">
        <v>2904</v>
      </c>
      <c r="B2277" s="9">
        <v>0</v>
      </c>
    </row>
    <row r="2278" spans="1:2" x14ac:dyDescent="0.25">
      <c r="A2278" t="s">
        <v>2905</v>
      </c>
      <c r="B2278" s="9">
        <v>0</v>
      </c>
    </row>
    <row r="2279" spans="1:2" x14ac:dyDescent="0.25">
      <c r="A2279" t="s">
        <v>2906</v>
      </c>
      <c r="B2279" s="9">
        <v>0</v>
      </c>
    </row>
    <row r="2280" spans="1:2" x14ac:dyDescent="0.25">
      <c r="A2280" t="s">
        <v>2907</v>
      </c>
      <c r="B2280" s="9">
        <v>0</v>
      </c>
    </row>
    <row r="2281" spans="1:2" x14ac:dyDescent="0.25">
      <c r="A2281" t="s">
        <v>2908</v>
      </c>
      <c r="B2281" s="9">
        <v>0</v>
      </c>
    </row>
    <row r="2282" spans="1:2" x14ac:dyDescent="0.25">
      <c r="A2282" t="s">
        <v>2909</v>
      </c>
      <c r="B2282" s="9">
        <v>0</v>
      </c>
    </row>
    <row r="2283" spans="1:2" x14ac:dyDescent="0.25">
      <c r="A2283" t="s">
        <v>2910</v>
      </c>
      <c r="B2283" s="9">
        <v>0</v>
      </c>
    </row>
    <row r="2284" spans="1:2" x14ac:dyDescent="0.25">
      <c r="A2284" t="s">
        <v>2911</v>
      </c>
      <c r="B2284" s="9">
        <v>0</v>
      </c>
    </row>
    <row r="2285" spans="1:2" x14ac:dyDescent="0.25">
      <c r="A2285" t="s">
        <v>2912</v>
      </c>
      <c r="B2285" s="9">
        <v>0</v>
      </c>
    </row>
    <row r="2286" spans="1:2" x14ac:dyDescent="0.25">
      <c r="A2286" t="s">
        <v>2913</v>
      </c>
      <c r="B2286" s="9">
        <v>0</v>
      </c>
    </row>
    <row r="2287" spans="1:2" x14ac:dyDescent="0.25">
      <c r="A2287" t="s">
        <v>2914</v>
      </c>
      <c r="B2287" s="9">
        <v>0</v>
      </c>
    </row>
    <row r="2288" spans="1:2" x14ac:dyDescent="0.25">
      <c r="A2288" t="s">
        <v>2915</v>
      </c>
      <c r="B2288" s="9">
        <v>0</v>
      </c>
    </row>
    <row r="2289" spans="1:2" x14ac:dyDescent="0.25">
      <c r="A2289" t="s">
        <v>2916</v>
      </c>
      <c r="B2289" s="9">
        <v>0</v>
      </c>
    </row>
    <row r="2290" spans="1:2" x14ac:dyDescent="0.25">
      <c r="A2290" t="s">
        <v>2917</v>
      </c>
      <c r="B2290" s="9">
        <v>0</v>
      </c>
    </row>
    <row r="2291" spans="1:2" x14ac:dyDescent="0.25">
      <c r="A2291" t="s">
        <v>2918</v>
      </c>
      <c r="B2291" s="9">
        <v>0</v>
      </c>
    </row>
    <row r="2292" spans="1:2" x14ac:dyDescent="0.25">
      <c r="A2292" t="s">
        <v>2919</v>
      </c>
      <c r="B2292" s="9">
        <v>0</v>
      </c>
    </row>
    <row r="2293" spans="1:2" x14ac:dyDescent="0.25">
      <c r="A2293" t="s">
        <v>2920</v>
      </c>
      <c r="B2293" s="9">
        <v>0</v>
      </c>
    </row>
    <row r="2294" spans="1:2" x14ac:dyDescent="0.25">
      <c r="A2294" t="s">
        <v>2921</v>
      </c>
      <c r="B2294" s="9">
        <v>0</v>
      </c>
    </row>
    <row r="2295" spans="1:2" x14ac:dyDescent="0.25">
      <c r="A2295" t="s">
        <v>2922</v>
      </c>
      <c r="B2295" s="9">
        <v>0</v>
      </c>
    </row>
    <row r="2296" spans="1:2" x14ac:dyDescent="0.25">
      <c r="A2296" t="s">
        <v>2923</v>
      </c>
      <c r="B2296" s="9">
        <v>0</v>
      </c>
    </row>
    <row r="2297" spans="1:2" x14ac:dyDescent="0.25">
      <c r="A2297" t="s">
        <v>2924</v>
      </c>
      <c r="B2297" s="9">
        <v>0</v>
      </c>
    </row>
    <row r="2298" spans="1:2" x14ac:dyDescent="0.25">
      <c r="A2298" t="s">
        <v>2925</v>
      </c>
      <c r="B2298" s="9">
        <v>0</v>
      </c>
    </row>
    <row r="2299" spans="1:2" x14ac:dyDescent="0.25">
      <c r="A2299" t="s">
        <v>2926</v>
      </c>
      <c r="B2299" s="9">
        <v>0</v>
      </c>
    </row>
    <row r="2300" spans="1:2" x14ac:dyDescent="0.25">
      <c r="A2300" t="s">
        <v>2927</v>
      </c>
      <c r="B2300" s="9">
        <v>0</v>
      </c>
    </row>
    <row r="2301" spans="1:2" x14ac:dyDescent="0.25">
      <c r="A2301" t="s">
        <v>2928</v>
      </c>
      <c r="B2301" s="9">
        <v>0</v>
      </c>
    </row>
    <row r="2302" spans="1:2" x14ac:dyDescent="0.25">
      <c r="A2302" t="s">
        <v>2929</v>
      </c>
      <c r="B2302" s="9">
        <v>0</v>
      </c>
    </row>
    <row r="2303" spans="1:2" x14ac:dyDescent="0.25">
      <c r="A2303" t="s">
        <v>2930</v>
      </c>
      <c r="B2303" s="9">
        <v>0</v>
      </c>
    </row>
    <row r="2304" spans="1:2" x14ac:dyDescent="0.25">
      <c r="A2304" t="s">
        <v>2931</v>
      </c>
      <c r="B2304" s="9">
        <v>0</v>
      </c>
    </row>
    <row r="2305" spans="1:2" x14ac:dyDescent="0.25">
      <c r="A2305" t="s">
        <v>2932</v>
      </c>
      <c r="B2305" s="9">
        <v>0</v>
      </c>
    </row>
    <row r="2306" spans="1:2" x14ac:dyDescent="0.25">
      <c r="A2306" t="s">
        <v>2933</v>
      </c>
      <c r="B2306" s="9">
        <v>0</v>
      </c>
    </row>
    <row r="2307" spans="1:2" x14ac:dyDescent="0.25">
      <c r="A2307" t="s">
        <v>2934</v>
      </c>
      <c r="B2307" s="9">
        <v>0</v>
      </c>
    </row>
    <row r="2308" spans="1:2" x14ac:dyDescent="0.25">
      <c r="A2308" t="s">
        <v>2935</v>
      </c>
      <c r="B2308" s="9">
        <v>0</v>
      </c>
    </row>
    <row r="2309" spans="1:2" x14ac:dyDescent="0.25">
      <c r="A2309" t="s">
        <v>2936</v>
      </c>
      <c r="B2309" s="9">
        <v>0</v>
      </c>
    </row>
    <row r="2310" spans="1:2" x14ac:dyDescent="0.25">
      <c r="A2310" t="s">
        <v>2937</v>
      </c>
      <c r="B2310" s="9">
        <v>0</v>
      </c>
    </row>
    <row r="2311" spans="1:2" x14ac:dyDescent="0.25">
      <c r="A2311" t="s">
        <v>2938</v>
      </c>
      <c r="B2311" s="9">
        <v>0</v>
      </c>
    </row>
    <row r="2312" spans="1:2" x14ac:dyDescent="0.25">
      <c r="A2312" t="s">
        <v>2939</v>
      </c>
      <c r="B2312" s="9">
        <v>0</v>
      </c>
    </row>
    <row r="2313" spans="1:2" x14ac:dyDescent="0.25">
      <c r="A2313" t="s">
        <v>2940</v>
      </c>
      <c r="B2313" s="9">
        <v>0</v>
      </c>
    </row>
    <row r="2314" spans="1:2" x14ac:dyDescent="0.25">
      <c r="A2314" t="s">
        <v>2941</v>
      </c>
      <c r="B2314" s="9">
        <v>0</v>
      </c>
    </row>
    <row r="2315" spans="1:2" x14ac:dyDescent="0.25">
      <c r="A2315" t="s">
        <v>2942</v>
      </c>
      <c r="B2315" s="9">
        <v>0</v>
      </c>
    </row>
    <row r="2316" spans="1:2" x14ac:dyDescent="0.25">
      <c r="A2316" t="s">
        <v>2943</v>
      </c>
      <c r="B2316" s="9">
        <v>0</v>
      </c>
    </row>
    <row r="2317" spans="1:2" x14ac:dyDescent="0.25">
      <c r="A2317" t="s">
        <v>2944</v>
      </c>
      <c r="B2317" s="9">
        <v>0</v>
      </c>
    </row>
    <row r="2318" spans="1:2" x14ac:dyDescent="0.25">
      <c r="A2318" t="s">
        <v>2945</v>
      </c>
      <c r="B2318" s="9">
        <v>0</v>
      </c>
    </row>
    <row r="2319" spans="1:2" x14ac:dyDescent="0.25">
      <c r="A2319" t="s">
        <v>2946</v>
      </c>
      <c r="B2319" s="9">
        <v>0</v>
      </c>
    </row>
    <row r="2320" spans="1:2" x14ac:dyDescent="0.25">
      <c r="A2320" t="s">
        <v>2947</v>
      </c>
      <c r="B2320" s="9">
        <v>0</v>
      </c>
    </row>
    <row r="2321" spans="1:2" x14ac:dyDescent="0.25">
      <c r="A2321" t="s">
        <v>2948</v>
      </c>
      <c r="B2321" s="9">
        <v>0</v>
      </c>
    </row>
    <row r="2322" spans="1:2" x14ac:dyDescent="0.25">
      <c r="A2322" t="s">
        <v>2949</v>
      </c>
      <c r="B2322" s="9">
        <v>0</v>
      </c>
    </row>
    <row r="2323" spans="1:2" x14ac:dyDescent="0.25">
      <c r="A2323" t="s">
        <v>2950</v>
      </c>
      <c r="B2323" s="9">
        <v>0</v>
      </c>
    </row>
    <row r="2324" spans="1:2" x14ac:dyDescent="0.25">
      <c r="A2324" t="s">
        <v>2951</v>
      </c>
      <c r="B2324" s="9">
        <v>0</v>
      </c>
    </row>
    <row r="2325" spans="1:2" x14ac:dyDescent="0.25">
      <c r="A2325" t="s">
        <v>2952</v>
      </c>
      <c r="B2325" s="9">
        <v>0</v>
      </c>
    </row>
    <row r="2326" spans="1:2" x14ac:dyDescent="0.25">
      <c r="A2326" t="s">
        <v>2953</v>
      </c>
      <c r="B2326" s="9">
        <v>0</v>
      </c>
    </row>
    <row r="2327" spans="1:2" x14ac:dyDescent="0.25">
      <c r="A2327" t="s">
        <v>2954</v>
      </c>
      <c r="B2327" s="9">
        <v>0</v>
      </c>
    </row>
    <row r="2328" spans="1:2" x14ac:dyDescent="0.25">
      <c r="A2328" t="s">
        <v>2955</v>
      </c>
      <c r="B2328" s="9">
        <v>0</v>
      </c>
    </row>
    <row r="2329" spans="1:2" x14ac:dyDescent="0.25">
      <c r="A2329" t="s">
        <v>2956</v>
      </c>
      <c r="B2329" s="9">
        <v>0</v>
      </c>
    </row>
    <row r="2330" spans="1:2" x14ac:dyDescent="0.25">
      <c r="A2330" t="s">
        <v>2957</v>
      </c>
      <c r="B2330" s="9">
        <v>0</v>
      </c>
    </row>
    <row r="2331" spans="1:2" x14ac:dyDescent="0.25">
      <c r="A2331" t="s">
        <v>2958</v>
      </c>
      <c r="B2331" s="9">
        <v>0</v>
      </c>
    </row>
    <row r="2332" spans="1:2" x14ac:dyDescent="0.25">
      <c r="A2332" t="s">
        <v>2959</v>
      </c>
      <c r="B2332" s="9">
        <v>0</v>
      </c>
    </row>
    <row r="2333" spans="1:2" x14ac:dyDescent="0.25">
      <c r="A2333" t="s">
        <v>2960</v>
      </c>
      <c r="B2333" s="9">
        <v>0</v>
      </c>
    </row>
    <row r="2334" spans="1:2" x14ac:dyDescent="0.25">
      <c r="A2334" t="s">
        <v>2961</v>
      </c>
      <c r="B2334" s="9">
        <v>0</v>
      </c>
    </row>
    <row r="2335" spans="1:2" x14ac:dyDescent="0.25">
      <c r="A2335" t="s">
        <v>2962</v>
      </c>
      <c r="B2335" s="9">
        <v>0</v>
      </c>
    </row>
    <row r="2336" spans="1:2" x14ac:dyDescent="0.25">
      <c r="A2336" t="s">
        <v>2963</v>
      </c>
      <c r="B2336" s="9">
        <v>0</v>
      </c>
    </row>
    <row r="2337" spans="1:2" x14ac:dyDescent="0.25">
      <c r="A2337" t="s">
        <v>2964</v>
      </c>
      <c r="B2337" s="9">
        <v>0</v>
      </c>
    </row>
    <row r="2338" spans="1:2" x14ac:dyDescent="0.25">
      <c r="A2338" t="s">
        <v>2965</v>
      </c>
      <c r="B2338" s="9">
        <v>0</v>
      </c>
    </row>
    <row r="2339" spans="1:2" x14ac:dyDescent="0.25">
      <c r="A2339" t="s">
        <v>2966</v>
      </c>
      <c r="B2339" s="9">
        <v>0</v>
      </c>
    </row>
    <row r="2340" spans="1:2" x14ac:dyDescent="0.25">
      <c r="A2340" t="s">
        <v>2967</v>
      </c>
      <c r="B2340" s="9">
        <v>0</v>
      </c>
    </row>
    <row r="2341" spans="1:2" x14ac:dyDescent="0.25">
      <c r="A2341" t="s">
        <v>2968</v>
      </c>
      <c r="B2341" s="9">
        <v>0</v>
      </c>
    </row>
    <row r="2342" spans="1:2" x14ac:dyDescent="0.25">
      <c r="A2342" t="s">
        <v>2969</v>
      </c>
      <c r="B2342" s="9">
        <v>0</v>
      </c>
    </row>
    <row r="2343" spans="1:2" x14ac:dyDescent="0.25">
      <c r="A2343" t="s">
        <v>2970</v>
      </c>
      <c r="B2343" s="9">
        <v>0</v>
      </c>
    </row>
    <row r="2344" spans="1:2" x14ac:dyDescent="0.25">
      <c r="A2344" t="s">
        <v>2971</v>
      </c>
      <c r="B2344" s="9">
        <v>0</v>
      </c>
    </row>
    <row r="2345" spans="1:2" x14ac:dyDescent="0.25">
      <c r="A2345" t="s">
        <v>2972</v>
      </c>
      <c r="B2345" s="9">
        <v>0</v>
      </c>
    </row>
    <row r="2346" spans="1:2" x14ac:dyDescent="0.25">
      <c r="A2346" t="s">
        <v>2973</v>
      </c>
      <c r="B2346" s="9">
        <v>0</v>
      </c>
    </row>
    <row r="2347" spans="1:2" x14ac:dyDescent="0.25">
      <c r="A2347" t="s">
        <v>2974</v>
      </c>
      <c r="B2347" s="9">
        <v>0</v>
      </c>
    </row>
    <row r="2348" spans="1:2" x14ac:dyDescent="0.25">
      <c r="A2348" t="s">
        <v>2975</v>
      </c>
      <c r="B2348" s="9">
        <v>0</v>
      </c>
    </row>
    <row r="2349" spans="1:2" x14ac:dyDescent="0.25">
      <c r="A2349" t="s">
        <v>2976</v>
      </c>
      <c r="B2349" s="9">
        <v>0</v>
      </c>
    </row>
    <row r="2350" spans="1:2" x14ac:dyDescent="0.25">
      <c r="A2350" t="s">
        <v>2977</v>
      </c>
      <c r="B2350" s="9">
        <v>0</v>
      </c>
    </row>
    <row r="2351" spans="1:2" x14ac:dyDescent="0.25">
      <c r="A2351" t="s">
        <v>2978</v>
      </c>
      <c r="B2351" s="9">
        <v>0</v>
      </c>
    </row>
    <row r="2352" spans="1:2" x14ac:dyDescent="0.25">
      <c r="A2352" t="s">
        <v>2979</v>
      </c>
      <c r="B2352" s="9">
        <v>0</v>
      </c>
    </row>
    <row r="2353" spans="1:2" x14ac:dyDescent="0.25">
      <c r="A2353" t="s">
        <v>2980</v>
      </c>
      <c r="B2353" s="9">
        <v>0</v>
      </c>
    </row>
    <row r="2354" spans="1:2" x14ac:dyDescent="0.25">
      <c r="A2354" t="s">
        <v>2981</v>
      </c>
      <c r="B2354" s="9">
        <v>0</v>
      </c>
    </row>
    <row r="2355" spans="1:2" x14ac:dyDescent="0.25">
      <c r="A2355" t="s">
        <v>2982</v>
      </c>
      <c r="B2355" s="9">
        <v>0</v>
      </c>
    </row>
    <row r="2356" spans="1:2" x14ac:dyDescent="0.25">
      <c r="A2356" t="s">
        <v>2983</v>
      </c>
      <c r="B2356" s="9">
        <v>0</v>
      </c>
    </row>
    <row r="2357" spans="1:2" x14ac:dyDescent="0.25">
      <c r="A2357" t="s">
        <v>2984</v>
      </c>
      <c r="B2357" s="9">
        <v>0</v>
      </c>
    </row>
    <row r="2358" spans="1:2" x14ac:dyDescent="0.25">
      <c r="A2358" t="s">
        <v>2985</v>
      </c>
      <c r="B2358" s="9">
        <v>0</v>
      </c>
    </row>
    <row r="2359" spans="1:2" x14ac:dyDescent="0.25">
      <c r="A2359" t="s">
        <v>2986</v>
      </c>
      <c r="B2359" s="9">
        <v>0</v>
      </c>
    </row>
    <row r="2360" spans="1:2" x14ac:dyDescent="0.25">
      <c r="A2360" t="s">
        <v>2987</v>
      </c>
      <c r="B2360" s="9">
        <v>0</v>
      </c>
    </row>
    <row r="2361" spans="1:2" x14ac:dyDescent="0.25">
      <c r="A2361" t="s">
        <v>2988</v>
      </c>
      <c r="B2361" s="9">
        <v>0</v>
      </c>
    </row>
    <row r="2362" spans="1:2" x14ac:dyDescent="0.25">
      <c r="A2362" t="s">
        <v>2989</v>
      </c>
      <c r="B2362" s="9">
        <v>0</v>
      </c>
    </row>
    <row r="2363" spans="1:2" x14ac:dyDescent="0.25">
      <c r="A2363" t="s">
        <v>2990</v>
      </c>
      <c r="B2363" s="9">
        <v>0</v>
      </c>
    </row>
    <row r="2364" spans="1:2" x14ac:dyDescent="0.25">
      <c r="A2364" t="s">
        <v>2991</v>
      </c>
      <c r="B2364" s="9">
        <v>0</v>
      </c>
    </row>
    <row r="2365" spans="1:2" x14ac:dyDescent="0.25">
      <c r="A2365" t="s">
        <v>2992</v>
      </c>
      <c r="B2365" s="9">
        <v>0</v>
      </c>
    </row>
    <row r="2366" spans="1:2" x14ac:dyDescent="0.25">
      <c r="A2366" t="s">
        <v>2993</v>
      </c>
      <c r="B2366" s="9">
        <v>0</v>
      </c>
    </row>
    <row r="2367" spans="1:2" x14ac:dyDescent="0.25">
      <c r="A2367" t="s">
        <v>2994</v>
      </c>
      <c r="B2367" s="9">
        <v>0</v>
      </c>
    </row>
    <row r="2368" spans="1:2" x14ac:dyDescent="0.25">
      <c r="A2368" t="s">
        <v>2995</v>
      </c>
      <c r="B2368" s="9">
        <v>0</v>
      </c>
    </row>
    <row r="2369" spans="1:2" x14ac:dyDescent="0.25">
      <c r="A2369" t="s">
        <v>2996</v>
      </c>
      <c r="B2369" s="9">
        <v>0</v>
      </c>
    </row>
    <row r="2370" spans="1:2" x14ac:dyDescent="0.25">
      <c r="A2370" t="s">
        <v>2997</v>
      </c>
      <c r="B2370" s="9">
        <v>0</v>
      </c>
    </row>
    <row r="2371" spans="1:2" x14ac:dyDescent="0.25">
      <c r="A2371" t="s">
        <v>2998</v>
      </c>
      <c r="B2371" s="9">
        <v>0</v>
      </c>
    </row>
    <row r="2372" spans="1:2" x14ac:dyDescent="0.25">
      <c r="A2372" t="s">
        <v>2999</v>
      </c>
      <c r="B2372" s="9">
        <v>0</v>
      </c>
    </row>
    <row r="2373" spans="1:2" x14ac:dyDescent="0.25">
      <c r="A2373" t="s">
        <v>3000</v>
      </c>
      <c r="B2373" s="9">
        <v>0</v>
      </c>
    </row>
    <row r="2374" spans="1:2" x14ac:dyDescent="0.25">
      <c r="A2374" t="s">
        <v>3001</v>
      </c>
      <c r="B2374" s="9">
        <v>0</v>
      </c>
    </row>
    <row r="2375" spans="1:2" x14ac:dyDescent="0.25">
      <c r="A2375" t="s">
        <v>3002</v>
      </c>
      <c r="B2375" s="9">
        <v>0</v>
      </c>
    </row>
    <row r="2376" spans="1:2" x14ac:dyDescent="0.25">
      <c r="A2376" t="s">
        <v>3003</v>
      </c>
      <c r="B2376" s="9">
        <v>0</v>
      </c>
    </row>
    <row r="2377" spans="1:2" x14ac:dyDescent="0.25">
      <c r="A2377" t="s">
        <v>3004</v>
      </c>
      <c r="B2377" s="9">
        <v>0</v>
      </c>
    </row>
    <row r="2378" spans="1:2" x14ac:dyDescent="0.25">
      <c r="A2378" t="s">
        <v>3005</v>
      </c>
      <c r="B2378" s="9">
        <v>0</v>
      </c>
    </row>
    <row r="2379" spans="1:2" x14ac:dyDescent="0.25">
      <c r="A2379" t="s">
        <v>3006</v>
      </c>
      <c r="B2379" s="9">
        <v>0</v>
      </c>
    </row>
    <row r="2380" spans="1:2" x14ac:dyDescent="0.25">
      <c r="A2380" t="s">
        <v>3007</v>
      </c>
      <c r="B2380" s="9">
        <v>0</v>
      </c>
    </row>
    <row r="2381" spans="1:2" x14ac:dyDescent="0.25">
      <c r="A2381" t="s">
        <v>3008</v>
      </c>
      <c r="B2381" s="9">
        <v>0</v>
      </c>
    </row>
    <row r="2382" spans="1:2" x14ac:dyDescent="0.25">
      <c r="A2382" t="s">
        <v>3009</v>
      </c>
      <c r="B2382" s="9">
        <v>0</v>
      </c>
    </row>
    <row r="2383" spans="1:2" x14ac:dyDescent="0.25">
      <c r="A2383" t="s">
        <v>3010</v>
      </c>
      <c r="B2383" s="9">
        <v>0</v>
      </c>
    </row>
    <row r="2384" spans="1:2" x14ac:dyDescent="0.25">
      <c r="A2384" t="s">
        <v>3011</v>
      </c>
      <c r="B2384" s="9">
        <v>0</v>
      </c>
    </row>
    <row r="2385" spans="1:2" x14ac:dyDescent="0.25">
      <c r="A2385" t="s">
        <v>3012</v>
      </c>
      <c r="B2385" s="9">
        <v>0</v>
      </c>
    </row>
    <row r="2386" spans="1:2" x14ac:dyDescent="0.25">
      <c r="A2386" t="s">
        <v>3013</v>
      </c>
      <c r="B2386" s="9">
        <v>0</v>
      </c>
    </row>
    <row r="2387" spans="1:2" x14ac:dyDescent="0.25">
      <c r="A2387" t="s">
        <v>3014</v>
      </c>
      <c r="B2387" s="9">
        <v>0</v>
      </c>
    </row>
    <row r="2388" spans="1:2" x14ac:dyDescent="0.25">
      <c r="A2388" t="s">
        <v>3015</v>
      </c>
      <c r="B2388" s="9">
        <v>0</v>
      </c>
    </row>
    <row r="2389" spans="1:2" x14ac:dyDescent="0.25">
      <c r="A2389" t="s">
        <v>3016</v>
      </c>
      <c r="B2389" s="9">
        <v>0</v>
      </c>
    </row>
    <row r="2390" spans="1:2" x14ac:dyDescent="0.25">
      <c r="A2390" t="s">
        <v>3017</v>
      </c>
      <c r="B2390" s="9">
        <v>0</v>
      </c>
    </row>
    <row r="2391" spans="1:2" x14ac:dyDescent="0.25">
      <c r="A2391" t="s">
        <v>3018</v>
      </c>
      <c r="B2391" s="9">
        <v>0</v>
      </c>
    </row>
    <row r="2392" spans="1:2" x14ac:dyDescent="0.25">
      <c r="A2392" t="s">
        <v>3019</v>
      </c>
      <c r="B2392" s="9">
        <v>0</v>
      </c>
    </row>
    <row r="2393" spans="1:2" x14ac:dyDescent="0.25">
      <c r="A2393" t="s">
        <v>3020</v>
      </c>
      <c r="B2393" s="9">
        <v>0</v>
      </c>
    </row>
    <row r="2394" spans="1:2" x14ac:dyDescent="0.25">
      <c r="A2394" t="s">
        <v>3021</v>
      </c>
      <c r="B2394" s="9">
        <v>0</v>
      </c>
    </row>
    <row r="2395" spans="1:2" x14ac:dyDescent="0.25">
      <c r="A2395" t="s">
        <v>3022</v>
      </c>
      <c r="B2395" s="9">
        <v>0</v>
      </c>
    </row>
    <row r="2396" spans="1:2" x14ac:dyDescent="0.25">
      <c r="A2396" t="s">
        <v>3023</v>
      </c>
      <c r="B2396" s="9">
        <v>0</v>
      </c>
    </row>
    <row r="2397" spans="1:2" x14ac:dyDescent="0.25">
      <c r="A2397" t="s">
        <v>3024</v>
      </c>
      <c r="B2397" s="9">
        <v>0</v>
      </c>
    </row>
    <row r="2398" spans="1:2" x14ac:dyDescent="0.25">
      <c r="A2398" t="s">
        <v>3025</v>
      </c>
      <c r="B2398" s="9">
        <v>0</v>
      </c>
    </row>
    <row r="2399" spans="1:2" x14ac:dyDescent="0.25">
      <c r="A2399" t="s">
        <v>3026</v>
      </c>
      <c r="B2399" s="9">
        <v>0</v>
      </c>
    </row>
    <row r="2400" spans="1:2" x14ac:dyDescent="0.25">
      <c r="A2400" t="s">
        <v>3027</v>
      </c>
      <c r="B2400" s="9">
        <v>0</v>
      </c>
    </row>
    <row r="2401" spans="1:2" x14ac:dyDescent="0.25">
      <c r="A2401" t="s">
        <v>3028</v>
      </c>
      <c r="B2401" s="9">
        <v>0</v>
      </c>
    </row>
    <row r="2402" spans="1:2" x14ac:dyDescent="0.25">
      <c r="A2402" t="s">
        <v>3029</v>
      </c>
      <c r="B2402" s="9">
        <v>0</v>
      </c>
    </row>
    <row r="2403" spans="1:2" x14ac:dyDescent="0.25">
      <c r="A2403" t="s">
        <v>3030</v>
      </c>
      <c r="B2403" s="9">
        <v>0</v>
      </c>
    </row>
    <row r="2404" spans="1:2" x14ac:dyDescent="0.25">
      <c r="A2404" t="s">
        <v>3031</v>
      </c>
      <c r="B2404" s="9">
        <v>0</v>
      </c>
    </row>
    <row r="2405" spans="1:2" x14ac:dyDescent="0.25">
      <c r="A2405" t="s">
        <v>3032</v>
      </c>
      <c r="B2405" s="9">
        <v>0</v>
      </c>
    </row>
    <row r="2406" spans="1:2" x14ac:dyDescent="0.25">
      <c r="A2406" t="s">
        <v>3033</v>
      </c>
      <c r="B2406" s="9">
        <v>0</v>
      </c>
    </row>
    <row r="2407" spans="1:2" x14ac:dyDescent="0.25">
      <c r="A2407" t="s">
        <v>3034</v>
      </c>
      <c r="B2407" s="9">
        <v>0</v>
      </c>
    </row>
    <row r="2408" spans="1:2" x14ac:dyDescent="0.25">
      <c r="A2408" t="s">
        <v>3035</v>
      </c>
      <c r="B2408" s="9">
        <v>0</v>
      </c>
    </row>
    <row r="2409" spans="1:2" x14ac:dyDescent="0.25">
      <c r="A2409" t="s">
        <v>3036</v>
      </c>
      <c r="B2409" s="9">
        <v>0</v>
      </c>
    </row>
    <row r="2410" spans="1:2" x14ac:dyDescent="0.25">
      <c r="A2410" t="s">
        <v>3037</v>
      </c>
      <c r="B2410" s="9">
        <v>0</v>
      </c>
    </row>
    <row r="2411" spans="1:2" x14ac:dyDescent="0.25">
      <c r="A2411" t="s">
        <v>3038</v>
      </c>
      <c r="B2411" s="9">
        <v>0</v>
      </c>
    </row>
    <row r="2412" spans="1:2" x14ac:dyDescent="0.25">
      <c r="A2412" t="s">
        <v>3039</v>
      </c>
      <c r="B2412" s="9">
        <v>0</v>
      </c>
    </row>
    <row r="2413" spans="1:2" x14ac:dyDescent="0.25">
      <c r="A2413" t="s">
        <v>3040</v>
      </c>
      <c r="B2413" s="9">
        <v>0</v>
      </c>
    </row>
    <row r="2414" spans="1:2" x14ac:dyDescent="0.25">
      <c r="A2414" t="s">
        <v>3041</v>
      </c>
      <c r="B2414" s="9">
        <v>0</v>
      </c>
    </row>
    <row r="2415" spans="1:2" x14ac:dyDescent="0.25">
      <c r="A2415" t="s">
        <v>3042</v>
      </c>
      <c r="B2415" s="9">
        <v>0</v>
      </c>
    </row>
    <row r="2416" spans="1:2" x14ac:dyDescent="0.25">
      <c r="A2416" t="s">
        <v>3043</v>
      </c>
      <c r="B2416" s="9">
        <v>0</v>
      </c>
    </row>
    <row r="2417" spans="1:2" x14ac:dyDescent="0.25">
      <c r="A2417" t="s">
        <v>3044</v>
      </c>
      <c r="B2417" s="9">
        <v>0</v>
      </c>
    </row>
    <row r="2418" spans="1:2" x14ac:dyDescent="0.25">
      <c r="A2418" t="s">
        <v>3045</v>
      </c>
      <c r="B2418" s="9">
        <v>0</v>
      </c>
    </row>
    <row r="2419" spans="1:2" x14ac:dyDescent="0.25">
      <c r="A2419" t="s">
        <v>3046</v>
      </c>
      <c r="B2419" s="9">
        <v>0</v>
      </c>
    </row>
    <row r="2420" spans="1:2" x14ac:dyDescent="0.25">
      <c r="A2420" t="s">
        <v>3047</v>
      </c>
      <c r="B2420" s="9">
        <v>0</v>
      </c>
    </row>
    <row r="2421" spans="1:2" x14ac:dyDescent="0.25">
      <c r="A2421" t="s">
        <v>3048</v>
      </c>
      <c r="B2421" s="9">
        <v>0</v>
      </c>
    </row>
    <row r="2422" spans="1:2" x14ac:dyDescent="0.25">
      <c r="A2422" t="s">
        <v>3049</v>
      </c>
      <c r="B2422" s="9">
        <v>0</v>
      </c>
    </row>
    <row r="2423" spans="1:2" x14ac:dyDescent="0.25">
      <c r="A2423" t="s">
        <v>3050</v>
      </c>
      <c r="B2423" s="9">
        <v>0</v>
      </c>
    </row>
    <row r="2424" spans="1:2" x14ac:dyDescent="0.25">
      <c r="A2424" t="s">
        <v>3051</v>
      </c>
      <c r="B2424" s="9">
        <v>0</v>
      </c>
    </row>
    <row r="2425" spans="1:2" x14ac:dyDescent="0.25">
      <c r="A2425" t="s">
        <v>3052</v>
      </c>
      <c r="B2425" s="9">
        <v>0</v>
      </c>
    </row>
    <row r="2426" spans="1:2" x14ac:dyDescent="0.25">
      <c r="A2426" t="s">
        <v>3053</v>
      </c>
      <c r="B2426" s="9">
        <v>0</v>
      </c>
    </row>
    <row r="2427" spans="1:2" x14ac:dyDescent="0.25">
      <c r="A2427" t="s">
        <v>3054</v>
      </c>
      <c r="B2427" s="9">
        <v>0</v>
      </c>
    </row>
    <row r="2428" spans="1:2" x14ac:dyDescent="0.25">
      <c r="A2428" t="s">
        <v>3055</v>
      </c>
      <c r="B2428" s="9">
        <v>0</v>
      </c>
    </row>
    <row r="2429" spans="1:2" x14ac:dyDescent="0.25">
      <c r="A2429" t="s">
        <v>3056</v>
      </c>
      <c r="B2429" s="9">
        <v>0</v>
      </c>
    </row>
    <row r="2430" spans="1:2" x14ac:dyDescent="0.25">
      <c r="A2430" t="s">
        <v>3057</v>
      </c>
      <c r="B2430" s="9">
        <v>0</v>
      </c>
    </row>
    <row r="2431" spans="1:2" x14ac:dyDescent="0.25">
      <c r="A2431" t="s">
        <v>3058</v>
      </c>
      <c r="B2431" s="9">
        <v>0</v>
      </c>
    </row>
    <row r="2432" spans="1:2" x14ac:dyDescent="0.25">
      <c r="A2432" t="s">
        <v>3059</v>
      </c>
      <c r="B2432" s="9">
        <v>0</v>
      </c>
    </row>
    <row r="2433" spans="1:2" x14ac:dyDescent="0.25">
      <c r="A2433" t="s">
        <v>3060</v>
      </c>
      <c r="B2433" s="9">
        <v>0</v>
      </c>
    </row>
    <row r="2434" spans="1:2" x14ac:dyDescent="0.25">
      <c r="A2434" t="s">
        <v>3061</v>
      </c>
      <c r="B2434" s="9">
        <v>0</v>
      </c>
    </row>
    <row r="2435" spans="1:2" x14ac:dyDescent="0.25">
      <c r="A2435" t="s">
        <v>3062</v>
      </c>
      <c r="B2435" s="9">
        <v>0</v>
      </c>
    </row>
    <row r="2436" spans="1:2" x14ac:dyDescent="0.25">
      <c r="A2436" t="s">
        <v>3063</v>
      </c>
      <c r="B2436" s="9">
        <v>0</v>
      </c>
    </row>
    <row r="2437" spans="1:2" x14ac:dyDescent="0.25">
      <c r="A2437" t="s">
        <v>3064</v>
      </c>
      <c r="B2437" s="9">
        <v>0</v>
      </c>
    </row>
    <row r="2438" spans="1:2" x14ac:dyDescent="0.25">
      <c r="A2438" t="s">
        <v>3065</v>
      </c>
      <c r="B2438" s="9">
        <v>0</v>
      </c>
    </row>
    <row r="2439" spans="1:2" x14ac:dyDescent="0.25">
      <c r="A2439" t="s">
        <v>3066</v>
      </c>
      <c r="B2439" s="9">
        <v>0</v>
      </c>
    </row>
    <row r="2440" spans="1:2" x14ac:dyDescent="0.25">
      <c r="A2440" t="s">
        <v>3067</v>
      </c>
      <c r="B2440" s="9">
        <v>0</v>
      </c>
    </row>
    <row r="2441" spans="1:2" x14ac:dyDescent="0.25">
      <c r="A2441" t="s">
        <v>3068</v>
      </c>
      <c r="B2441" s="9">
        <v>0</v>
      </c>
    </row>
    <row r="2442" spans="1:2" x14ac:dyDescent="0.25">
      <c r="A2442" t="s">
        <v>3069</v>
      </c>
      <c r="B2442" s="9">
        <v>0</v>
      </c>
    </row>
    <row r="2443" spans="1:2" x14ac:dyDescent="0.25">
      <c r="A2443" t="s">
        <v>3070</v>
      </c>
      <c r="B2443" s="9">
        <v>0</v>
      </c>
    </row>
    <row r="2444" spans="1:2" x14ac:dyDescent="0.25">
      <c r="A2444" t="s">
        <v>3071</v>
      </c>
      <c r="B2444" s="9">
        <v>0</v>
      </c>
    </row>
    <row r="2445" spans="1:2" x14ac:dyDescent="0.25">
      <c r="A2445" t="s">
        <v>3072</v>
      </c>
      <c r="B2445" s="9">
        <v>0</v>
      </c>
    </row>
    <row r="2446" spans="1:2" x14ac:dyDescent="0.25">
      <c r="A2446" t="s">
        <v>3073</v>
      </c>
      <c r="B2446" s="9">
        <v>0</v>
      </c>
    </row>
    <row r="2447" spans="1:2" x14ac:dyDescent="0.25">
      <c r="A2447" t="s">
        <v>3074</v>
      </c>
      <c r="B2447" s="9">
        <v>0</v>
      </c>
    </row>
    <row r="2448" spans="1:2" x14ac:dyDescent="0.25">
      <c r="A2448" t="s">
        <v>3075</v>
      </c>
      <c r="B2448" s="9">
        <v>0</v>
      </c>
    </row>
    <row r="2449" spans="1:2" x14ac:dyDescent="0.25">
      <c r="A2449" t="s">
        <v>3076</v>
      </c>
      <c r="B2449" s="9">
        <v>0</v>
      </c>
    </row>
    <row r="2450" spans="1:2" x14ac:dyDescent="0.25">
      <c r="A2450" t="s">
        <v>3077</v>
      </c>
      <c r="B2450" s="9">
        <v>0</v>
      </c>
    </row>
    <row r="2451" spans="1:2" x14ac:dyDescent="0.25">
      <c r="A2451" t="s">
        <v>3078</v>
      </c>
      <c r="B2451" s="9">
        <v>0</v>
      </c>
    </row>
    <row r="2452" spans="1:2" x14ac:dyDescent="0.25">
      <c r="A2452" t="s">
        <v>3079</v>
      </c>
      <c r="B2452" s="9">
        <v>0</v>
      </c>
    </row>
    <row r="2453" spans="1:2" x14ac:dyDescent="0.25">
      <c r="A2453" t="s">
        <v>3080</v>
      </c>
      <c r="B2453" s="9">
        <v>0</v>
      </c>
    </row>
    <row r="2454" spans="1:2" x14ac:dyDescent="0.25">
      <c r="A2454" t="s">
        <v>3081</v>
      </c>
      <c r="B2454" s="9">
        <v>0</v>
      </c>
    </row>
    <row r="2455" spans="1:2" x14ac:dyDescent="0.25">
      <c r="A2455" t="s">
        <v>3082</v>
      </c>
      <c r="B2455" s="9">
        <v>0</v>
      </c>
    </row>
    <row r="2456" spans="1:2" x14ac:dyDescent="0.25">
      <c r="A2456" t="s">
        <v>3083</v>
      </c>
      <c r="B2456" s="9">
        <v>0</v>
      </c>
    </row>
    <row r="2457" spans="1:2" x14ac:dyDescent="0.25">
      <c r="A2457" t="s">
        <v>3084</v>
      </c>
      <c r="B2457" s="9">
        <v>0</v>
      </c>
    </row>
    <row r="2458" spans="1:2" x14ac:dyDescent="0.25">
      <c r="A2458" t="s">
        <v>3085</v>
      </c>
      <c r="B2458" s="9">
        <v>0</v>
      </c>
    </row>
    <row r="2459" spans="1:2" x14ac:dyDescent="0.25">
      <c r="A2459" t="s">
        <v>3086</v>
      </c>
      <c r="B2459" s="9">
        <v>0</v>
      </c>
    </row>
    <row r="2460" spans="1:2" x14ac:dyDescent="0.25">
      <c r="A2460" t="s">
        <v>3087</v>
      </c>
      <c r="B2460" s="9">
        <v>0</v>
      </c>
    </row>
    <row r="2461" spans="1:2" x14ac:dyDescent="0.25">
      <c r="A2461" t="s">
        <v>3088</v>
      </c>
      <c r="B2461" s="9">
        <v>0</v>
      </c>
    </row>
    <row r="2462" spans="1:2" x14ac:dyDescent="0.25">
      <c r="A2462" t="s">
        <v>3089</v>
      </c>
      <c r="B2462" s="9">
        <v>0</v>
      </c>
    </row>
    <row r="2463" spans="1:2" x14ac:dyDescent="0.25">
      <c r="A2463" t="s">
        <v>3090</v>
      </c>
      <c r="B2463" s="9">
        <v>0</v>
      </c>
    </row>
    <row r="2464" spans="1:2" x14ac:dyDescent="0.25">
      <c r="A2464" t="s">
        <v>3091</v>
      </c>
      <c r="B2464" s="9">
        <v>0</v>
      </c>
    </row>
    <row r="2465" spans="1:2" x14ac:dyDescent="0.25">
      <c r="A2465" t="s">
        <v>3092</v>
      </c>
      <c r="B2465" s="9">
        <v>0</v>
      </c>
    </row>
    <row r="2466" spans="1:2" x14ac:dyDescent="0.25">
      <c r="A2466" t="s">
        <v>3093</v>
      </c>
      <c r="B2466" s="9">
        <v>0</v>
      </c>
    </row>
    <row r="2467" spans="1:2" x14ac:dyDescent="0.25">
      <c r="A2467" t="s">
        <v>3094</v>
      </c>
      <c r="B2467" s="9">
        <v>0</v>
      </c>
    </row>
    <row r="2468" spans="1:2" x14ac:dyDescent="0.25">
      <c r="A2468" t="s">
        <v>3095</v>
      </c>
      <c r="B2468" s="9">
        <v>0</v>
      </c>
    </row>
    <row r="2469" spans="1:2" x14ac:dyDescent="0.25">
      <c r="A2469" t="s">
        <v>3096</v>
      </c>
      <c r="B2469" s="9">
        <v>0</v>
      </c>
    </row>
    <row r="2470" spans="1:2" x14ac:dyDescent="0.25">
      <c r="A2470" t="s">
        <v>3097</v>
      </c>
      <c r="B2470" s="9">
        <v>0</v>
      </c>
    </row>
    <row r="2471" spans="1:2" x14ac:dyDescent="0.25">
      <c r="A2471" t="s">
        <v>3098</v>
      </c>
      <c r="B2471" s="9">
        <v>0</v>
      </c>
    </row>
    <row r="2472" spans="1:2" x14ac:dyDescent="0.25">
      <c r="A2472" t="s">
        <v>3099</v>
      </c>
      <c r="B2472" s="9">
        <v>0</v>
      </c>
    </row>
    <row r="2473" spans="1:2" x14ac:dyDescent="0.25">
      <c r="A2473" t="s">
        <v>3100</v>
      </c>
      <c r="B2473" s="9">
        <v>0</v>
      </c>
    </row>
    <row r="2474" spans="1:2" x14ac:dyDescent="0.25">
      <c r="A2474" t="s">
        <v>3101</v>
      </c>
      <c r="B2474" s="9">
        <v>0</v>
      </c>
    </row>
    <row r="2475" spans="1:2" x14ac:dyDescent="0.25">
      <c r="A2475" t="s">
        <v>3102</v>
      </c>
      <c r="B2475" s="9">
        <v>0</v>
      </c>
    </row>
    <row r="2476" spans="1:2" x14ac:dyDescent="0.25">
      <c r="A2476" t="s">
        <v>3103</v>
      </c>
      <c r="B2476" s="9">
        <v>0</v>
      </c>
    </row>
    <row r="2477" spans="1:2" x14ac:dyDescent="0.25">
      <c r="A2477" t="s">
        <v>3104</v>
      </c>
      <c r="B2477" s="9">
        <v>0</v>
      </c>
    </row>
    <row r="2478" spans="1:2" x14ac:dyDescent="0.25">
      <c r="A2478" t="s">
        <v>3105</v>
      </c>
      <c r="B2478" s="9">
        <v>0</v>
      </c>
    </row>
    <row r="2479" spans="1:2" x14ac:dyDescent="0.25">
      <c r="A2479" t="s">
        <v>3106</v>
      </c>
      <c r="B2479" s="9">
        <v>0</v>
      </c>
    </row>
    <row r="2480" spans="1:2" x14ac:dyDescent="0.25">
      <c r="A2480" t="s">
        <v>3107</v>
      </c>
      <c r="B2480" s="9">
        <v>0</v>
      </c>
    </row>
    <row r="2481" spans="1:2" x14ac:dyDescent="0.25">
      <c r="A2481" t="s">
        <v>3108</v>
      </c>
      <c r="B2481" s="9">
        <v>0</v>
      </c>
    </row>
    <row r="2482" spans="1:2" x14ac:dyDescent="0.25">
      <c r="A2482" t="s">
        <v>3109</v>
      </c>
      <c r="B2482" s="9">
        <v>0</v>
      </c>
    </row>
    <row r="2483" spans="1:2" x14ac:dyDescent="0.25">
      <c r="A2483" t="s">
        <v>3110</v>
      </c>
      <c r="B2483" s="9">
        <v>0</v>
      </c>
    </row>
    <row r="2484" spans="1:2" x14ac:dyDescent="0.25">
      <c r="A2484" t="s">
        <v>3111</v>
      </c>
      <c r="B2484" s="9">
        <v>0</v>
      </c>
    </row>
    <row r="2485" spans="1:2" x14ac:dyDescent="0.25">
      <c r="A2485" t="s">
        <v>3112</v>
      </c>
      <c r="B2485" s="9">
        <v>0</v>
      </c>
    </row>
    <row r="2486" spans="1:2" x14ac:dyDescent="0.25">
      <c r="A2486" t="s">
        <v>3113</v>
      </c>
      <c r="B2486" s="9">
        <v>0</v>
      </c>
    </row>
    <row r="2487" spans="1:2" x14ac:dyDescent="0.25">
      <c r="A2487" t="s">
        <v>3114</v>
      </c>
      <c r="B2487" s="9">
        <v>0</v>
      </c>
    </row>
    <row r="2488" spans="1:2" x14ac:dyDescent="0.25">
      <c r="A2488" t="s">
        <v>3115</v>
      </c>
      <c r="B2488" s="9">
        <v>0</v>
      </c>
    </row>
    <row r="2489" spans="1:2" x14ac:dyDescent="0.25">
      <c r="A2489" t="s">
        <v>3116</v>
      </c>
      <c r="B2489" s="9">
        <v>0</v>
      </c>
    </row>
    <row r="2490" spans="1:2" x14ac:dyDescent="0.25">
      <c r="A2490" t="s">
        <v>3117</v>
      </c>
      <c r="B2490" s="9">
        <v>0</v>
      </c>
    </row>
    <row r="2491" spans="1:2" x14ac:dyDescent="0.25">
      <c r="A2491" t="s">
        <v>3118</v>
      </c>
      <c r="B2491" s="9">
        <v>0</v>
      </c>
    </row>
    <row r="2492" spans="1:2" x14ac:dyDescent="0.25">
      <c r="A2492" t="s">
        <v>3119</v>
      </c>
      <c r="B2492" s="9">
        <v>0</v>
      </c>
    </row>
    <row r="2493" spans="1:2" x14ac:dyDescent="0.25">
      <c r="A2493" t="s">
        <v>3120</v>
      </c>
      <c r="B2493" s="9">
        <v>0</v>
      </c>
    </row>
    <row r="2494" spans="1:2" x14ac:dyDescent="0.25">
      <c r="A2494" t="s">
        <v>3121</v>
      </c>
      <c r="B2494" s="9">
        <v>0</v>
      </c>
    </row>
    <row r="2495" spans="1:2" x14ac:dyDescent="0.25">
      <c r="A2495" t="s">
        <v>3122</v>
      </c>
      <c r="B2495" s="9">
        <v>0</v>
      </c>
    </row>
    <row r="2496" spans="1:2" x14ac:dyDescent="0.25">
      <c r="A2496" t="s">
        <v>3123</v>
      </c>
      <c r="B2496" s="9">
        <v>0</v>
      </c>
    </row>
    <row r="2497" spans="1:2" x14ac:dyDescent="0.25">
      <c r="A2497" t="s">
        <v>3124</v>
      </c>
      <c r="B2497" s="9">
        <v>0</v>
      </c>
    </row>
    <row r="2498" spans="1:2" x14ac:dyDescent="0.25">
      <c r="A2498" t="s">
        <v>3125</v>
      </c>
      <c r="B2498" s="9">
        <v>0</v>
      </c>
    </row>
    <row r="2499" spans="1:2" x14ac:dyDescent="0.25">
      <c r="A2499" t="s">
        <v>3126</v>
      </c>
      <c r="B2499" s="9">
        <v>0</v>
      </c>
    </row>
    <row r="2500" spans="1:2" x14ac:dyDescent="0.25">
      <c r="A2500" t="s">
        <v>3127</v>
      </c>
      <c r="B2500" s="9">
        <v>0</v>
      </c>
    </row>
    <row r="2501" spans="1:2" x14ac:dyDescent="0.25">
      <c r="A2501" t="s">
        <v>3128</v>
      </c>
      <c r="B2501" s="9">
        <v>0</v>
      </c>
    </row>
    <row r="2502" spans="1:2" x14ac:dyDescent="0.25">
      <c r="A2502" t="s">
        <v>3129</v>
      </c>
      <c r="B2502" s="9">
        <v>0</v>
      </c>
    </row>
    <row r="2503" spans="1:2" x14ac:dyDescent="0.25">
      <c r="A2503" t="s">
        <v>3130</v>
      </c>
      <c r="B2503" s="9">
        <v>0</v>
      </c>
    </row>
    <row r="2504" spans="1:2" x14ac:dyDescent="0.25">
      <c r="A2504" t="s">
        <v>3131</v>
      </c>
      <c r="B2504" s="9">
        <v>0</v>
      </c>
    </row>
    <row r="2505" spans="1:2" x14ac:dyDescent="0.25">
      <c r="A2505" t="s">
        <v>3132</v>
      </c>
      <c r="B2505" s="9">
        <v>0</v>
      </c>
    </row>
    <row r="2506" spans="1:2" x14ac:dyDescent="0.25">
      <c r="A2506" t="s">
        <v>3133</v>
      </c>
      <c r="B2506" s="9">
        <v>0</v>
      </c>
    </row>
    <row r="2507" spans="1:2" x14ac:dyDescent="0.25">
      <c r="A2507" t="s">
        <v>3134</v>
      </c>
      <c r="B2507" s="9">
        <v>0</v>
      </c>
    </row>
    <row r="2508" spans="1:2" x14ac:dyDescent="0.25">
      <c r="A2508" t="s">
        <v>3135</v>
      </c>
      <c r="B2508" s="9">
        <v>0</v>
      </c>
    </row>
    <row r="2509" spans="1:2" x14ac:dyDescent="0.25">
      <c r="A2509" t="s">
        <v>3136</v>
      </c>
      <c r="B2509" s="9">
        <v>0</v>
      </c>
    </row>
    <row r="2510" spans="1:2" x14ac:dyDescent="0.25">
      <c r="A2510" t="s">
        <v>3137</v>
      </c>
      <c r="B2510" s="9">
        <v>0</v>
      </c>
    </row>
    <row r="2511" spans="1:2" x14ac:dyDescent="0.25">
      <c r="A2511" t="s">
        <v>3138</v>
      </c>
      <c r="B2511" s="9">
        <v>0</v>
      </c>
    </row>
    <row r="2512" spans="1:2" x14ac:dyDescent="0.25">
      <c r="A2512" t="s">
        <v>3139</v>
      </c>
      <c r="B2512" s="9">
        <v>0</v>
      </c>
    </row>
    <row r="2513" spans="1:2" x14ac:dyDescent="0.25">
      <c r="A2513" t="s">
        <v>3140</v>
      </c>
      <c r="B2513" s="9">
        <v>0</v>
      </c>
    </row>
    <row r="2514" spans="1:2" x14ac:dyDescent="0.25">
      <c r="A2514" t="s">
        <v>3141</v>
      </c>
      <c r="B2514" s="9">
        <v>0</v>
      </c>
    </row>
    <row r="2515" spans="1:2" x14ac:dyDescent="0.25">
      <c r="A2515" t="s">
        <v>3142</v>
      </c>
      <c r="B2515" s="9">
        <v>0</v>
      </c>
    </row>
    <row r="2516" spans="1:2" x14ac:dyDescent="0.25">
      <c r="A2516" t="s">
        <v>3143</v>
      </c>
      <c r="B2516" s="9">
        <v>0</v>
      </c>
    </row>
    <row r="2517" spans="1:2" x14ac:dyDescent="0.25">
      <c r="A2517" t="s">
        <v>3144</v>
      </c>
      <c r="B2517" s="9">
        <v>0</v>
      </c>
    </row>
    <row r="2518" spans="1:2" x14ac:dyDescent="0.25">
      <c r="A2518" t="s">
        <v>3145</v>
      </c>
      <c r="B2518" s="9">
        <v>0</v>
      </c>
    </row>
    <row r="2519" spans="1:2" x14ac:dyDescent="0.25">
      <c r="A2519" t="s">
        <v>3146</v>
      </c>
      <c r="B2519" s="9">
        <v>0</v>
      </c>
    </row>
    <row r="2520" spans="1:2" x14ac:dyDescent="0.25">
      <c r="A2520" t="s">
        <v>3147</v>
      </c>
      <c r="B2520" s="9">
        <v>0</v>
      </c>
    </row>
    <row r="2521" spans="1:2" x14ac:dyDescent="0.25">
      <c r="A2521" t="s">
        <v>3148</v>
      </c>
      <c r="B2521" s="9">
        <v>0</v>
      </c>
    </row>
    <row r="2522" spans="1:2" x14ac:dyDescent="0.25">
      <c r="A2522" t="s">
        <v>3149</v>
      </c>
      <c r="B2522" s="9">
        <v>0</v>
      </c>
    </row>
    <row r="2523" spans="1:2" x14ac:dyDescent="0.25">
      <c r="A2523" t="s">
        <v>3150</v>
      </c>
      <c r="B2523" s="9">
        <v>0</v>
      </c>
    </row>
    <row r="2524" spans="1:2" x14ac:dyDescent="0.25">
      <c r="A2524" t="s">
        <v>3151</v>
      </c>
      <c r="B2524" s="9">
        <v>0</v>
      </c>
    </row>
    <row r="2525" spans="1:2" x14ac:dyDescent="0.25">
      <c r="A2525" t="s">
        <v>3152</v>
      </c>
      <c r="B2525" s="9">
        <v>0</v>
      </c>
    </row>
    <row r="2526" spans="1:2" x14ac:dyDescent="0.25">
      <c r="A2526" t="s">
        <v>3153</v>
      </c>
      <c r="B2526" s="9">
        <v>0</v>
      </c>
    </row>
    <row r="2527" spans="1:2" x14ac:dyDescent="0.25">
      <c r="A2527" t="s">
        <v>3154</v>
      </c>
      <c r="B2527" s="9">
        <v>0</v>
      </c>
    </row>
    <row r="2528" spans="1:2" x14ac:dyDescent="0.25">
      <c r="A2528" t="s">
        <v>3155</v>
      </c>
      <c r="B2528" s="9">
        <v>0</v>
      </c>
    </row>
    <row r="2529" spans="1:2" x14ac:dyDescent="0.25">
      <c r="A2529" t="s">
        <v>3156</v>
      </c>
      <c r="B2529" s="9">
        <v>0</v>
      </c>
    </row>
    <row r="2530" spans="1:2" x14ac:dyDescent="0.25">
      <c r="A2530" t="s">
        <v>3157</v>
      </c>
      <c r="B2530" s="9">
        <v>0</v>
      </c>
    </row>
    <row r="2531" spans="1:2" x14ac:dyDescent="0.25">
      <c r="A2531" t="s">
        <v>3158</v>
      </c>
      <c r="B2531" s="9">
        <v>0</v>
      </c>
    </row>
    <row r="2532" spans="1:2" x14ac:dyDescent="0.25">
      <c r="A2532" t="s">
        <v>3159</v>
      </c>
      <c r="B2532" s="9">
        <v>0</v>
      </c>
    </row>
    <row r="2533" spans="1:2" x14ac:dyDescent="0.25">
      <c r="A2533" t="s">
        <v>3160</v>
      </c>
      <c r="B2533" s="9">
        <v>0</v>
      </c>
    </row>
    <row r="2534" spans="1:2" x14ac:dyDescent="0.25">
      <c r="A2534" t="s">
        <v>3161</v>
      </c>
      <c r="B2534" s="9">
        <v>0</v>
      </c>
    </row>
    <row r="2535" spans="1:2" x14ac:dyDescent="0.25">
      <c r="A2535" t="s">
        <v>3162</v>
      </c>
      <c r="B2535" s="9">
        <v>0</v>
      </c>
    </row>
    <row r="2536" spans="1:2" x14ac:dyDescent="0.25">
      <c r="A2536" t="s">
        <v>3163</v>
      </c>
      <c r="B2536" s="9">
        <v>0</v>
      </c>
    </row>
    <row r="2537" spans="1:2" x14ac:dyDescent="0.25">
      <c r="A2537" t="s">
        <v>3164</v>
      </c>
      <c r="B2537" s="9">
        <v>0</v>
      </c>
    </row>
    <row r="2538" spans="1:2" x14ac:dyDescent="0.25">
      <c r="A2538" t="s">
        <v>3165</v>
      </c>
      <c r="B2538" s="9">
        <v>0</v>
      </c>
    </row>
    <row r="2539" spans="1:2" x14ac:dyDescent="0.25">
      <c r="A2539" t="s">
        <v>3166</v>
      </c>
      <c r="B2539" s="9">
        <v>0</v>
      </c>
    </row>
    <row r="2540" spans="1:2" x14ac:dyDescent="0.25">
      <c r="A2540" t="s">
        <v>3167</v>
      </c>
      <c r="B2540" s="9">
        <v>0</v>
      </c>
    </row>
    <row r="2541" spans="1:2" x14ac:dyDescent="0.25">
      <c r="A2541" t="s">
        <v>3168</v>
      </c>
      <c r="B2541" s="9">
        <v>0</v>
      </c>
    </row>
    <row r="2542" spans="1:2" x14ac:dyDescent="0.25">
      <c r="A2542" t="s">
        <v>3169</v>
      </c>
      <c r="B2542" s="9">
        <v>0</v>
      </c>
    </row>
    <row r="2543" spans="1:2" x14ac:dyDescent="0.25">
      <c r="A2543" t="s">
        <v>3170</v>
      </c>
      <c r="B2543" s="9">
        <v>0</v>
      </c>
    </row>
    <row r="2544" spans="1:2" x14ac:dyDescent="0.25">
      <c r="A2544" t="s">
        <v>3171</v>
      </c>
      <c r="B2544" s="9">
        <v>0</v>
      </c>
    </row>
    <row r="2545" spans="1:2" x14ac:dyDescent="0.25">
      <c r="A2545" t="s">
        <v>3172</v>
      </c>
      <c r="B2545" s="9">
        <v>0</v>
      </c>
    </row>
    <row r="2546" spans="1:2" x14ac:dyDescent="0.25">
      <c r="A2546" t="s">
        <v>3173</v>
      </c>
      <c r="B2546" s="9">
        <v>0</v>
      </c>
    </row>
    <row r="2547" spans="1:2" x14ac:dyDescent="0.25">
      <c r="A2547" t="s">
        <v>3174</v>
      </c>
      <c r="B2547" s="9">
        <v>0</v>
      </c>
    </row>
    <row r="2548" spans="1:2" x14ac:dyDescent="0.25">
      <c r="A2548" t="s">
        <v>3175</v>
      </c>
      <c r="B2548" s="9">
        <v>0</v>
      </c>
    </row>
    <row r="2549" spans="1:2" x14ac:dyDescent="0.25">
      <c r="A2549" t="s">
        <v>3176</v>
      </c>
      <c r="B2549" s="9">
        <v>0</v>
      </c>
    </row>
    <row r="2550" spans="1:2" x14ac:dyDescent="0.25">
      <c r="A2550" t="s">
        <v>3177</v>
      </c>
      <c r="B2550" s="9">
        <v>0</v>
      </c>
    </row>
    <row r="2551" spans="1:2" x14ac:dyDescent="0.25">
      <c r="A2551" t="s">
        <v>3178</v>
      </c>
      <c r="B2551" s="9">
        <v>0</v>
      </c>
    </row>
    <row r="2552" spans="1:2" x14ac:dyDescent="0.25">
      <c r="A2552" t="s">
        <v>3179</v>
      </c>
      <c r="B2552" s="9">
        <v>0</v>
      </c>
    </row>
    <row r="2553" spans="1:2" x14ac:dyDescent="0.25">
      <c r="A2553" t="s">
        <v>3180</v>
      </c>
      <c r="B2553" s="9">
        <v>0</v>
      </c>
    </row>
    <row r="2554" spans="1:2" x14ac:dyDescent="0.25">
      <c r="A2554" t="s">
        <v>3181</v>
      </c>
      <c r="B2554" s="9">
        <v>0</v>
      </c>
    </row>
    <row r="2555" spans="1:2" x14ac:dyDescent="0.25">
      <c r="A2555" t="s">
        <v>3182</v>
      </c>
      <c r="B2555" s="9">
        <v>0</v>
      </c>
    </row>
    <row r="2556" spans="1:2" x14ac:dyDescent="0.25">
      <c r="A2556" t="s">
        <v>3183</v>
      </c>
      <c r="B2556" s="9">
        <v>0</v>
      </c>
    </row>
    <row r="2557" spans="1:2" x14ac:dyDescent="0.25">
      <c r="A2557" t="s">
        <v>3184</v>
      </c>
      <c r="B2557" s="9">
        <v>0</v>
      </c>
    </row>
    <row r="2558" spans="1:2" x14ac:dyDescent="0.25">
      <c r="A2558" t="s">
        <v>3185</v>
      </c>
      <c r="B2558" s="9">
        <v>0</v>
      </c>
    </row>
    <row r="2559" spans="1:2" x14ac:dyDescent="0.25">
      <c r="A2559" t="s">
        <v>3186</v>
      </c>
      <c r="B2559" s="9">
        <v>0</v>
      </c>
    </row>
    <row r="2560" spans="1:2" x14ac:dyDescent="0.25">
      <c r="A2560" t="s">
        <v>3187</v>
      </c>
      <c r="B2560" s="9">
        <v>0</v>
      </c>
    </row>
    <row r="2561" spans="1:2" x14ac:dyDescent="0.25">
      <c r="A2561" t="s">
        <v>3188</v>
      </c>
      <c r="B2561" s="9">
        <v>0</v>
      </c>
    </row>
    <row r="2562" spans="1:2" x14ac:dyDescent="0.25">
      <c r="A2562" t="s">
        <v>3189</v>
      </c>
      <c r="B2562" s="9">
        <v>0</v>
      </c>
    </row>
    <row r="2563" spans="1:2" x14ac:dyDescent="0.25">
      <c r="A2563" t="s">
        <v>3190</v>
      </c>
      <c r="B2563" s="9">
        <v>0</v>
      </c>
    </row>
    <row r="2564" spans="1:2" x14ac:dyDescent="0.25">
      <c r="A2564" t="s">
        <v>3191</v>
      </c>
      <c r="B2564" s="9">
        <v>0</v>
      </c>
    </row>
    <row r="2565" spans="1:2" x14ac:dyDescent="0.25">
      <c r="A2565" t="s">
        <v>3192</v>
      </c>
      <c r="B2565" s="9">
        <v>0</v>
      </c>
    </row>
    <row r="2566" spans="1:2" x14ac:dyDescent="0.25">
      <c r="A2566" t="s">
        <v>3193</v>
      </c>
      <c r="B2566" s="9">
        <v>0</v>
      </c>
    </row>
    <row r="2567" spans="1:2" x14ac:dyDescent="0.25">
      <c r="A2567" t="s">
        <v>3194</v>
      </c>
      <c r="B2567" s="9">
        <v>0</v>
      </c>
    </row>
    <row r="2568" spans="1:2" x14ac:dyDescent="0.25">
      <c r="A2568" t="s">
        <v>3195</v>
      </c>
      <c r="B2568" s="9">
        <v>0</v>
      </c>
    </row>
    <row r="2569" spans="1:2" x14ac:dyDescent="0.25">
      <c r="A2569" t="s">
        <v>3196</v>
      </c>
      <c r="B2569" s="9">
        <v>0</v>
      </c>
    </row>
    <row r="2570" spans="1:2" x14ac:dyDescent="0.25">
      <c r="A2570" t="s">
        <v>3197</v>
      </c>
      <c r="B2570" s="9">
        <v>0</v>
      </c>
    </row>
    <row r="2571" spans="1:2" x14ac:dyDescent="0.25">
      <c r="A2571" t="s">
        <v>3198</v>
      </c>
      <c r="B2571" s="9">
        <v>0</v>
      </c>
    </row>
    <row r="2572" spans="1:2" x14ac:dyDescent="0.25">
      <c r="A2572" t="s">
        <v>3199</v>
      </c>
      <c r="B2572" s="9">
        <v>0</v>
      </c>
    </row>
    <row r="2573" spans="1:2" x14ac:dyDescent="0.25">
      <c r="A2573" t="s">
        <v>3200</v>
      </c>
      <c r="B2573" s="9">
        <v>0</v>
      </c>
    </row>
    <row r="2574" spans="1:2" x14ac:dyDescent="0.25">
      <c r="A2574" t="s">
        <v>3201</v>
      </c>
      <c r="B2574" s="9">
        <v>0</v>
      </c>
    </row>
    <row r="2575" spans="1:2" x14ac:dyDescent="0.25">
      <c r="A2575" t="s">
        <v>3202</v>
      </c>
      <c r="B2575" s="9">
        <v>0</v>
      </c>
    </row>
    <row r="2576" spans="1:2" x14ac:dyDescent="0.25">
      <c r="A2576" t="s">
        <v>3203</v>
      </c>
      <c r="B2576" s="9">
        <v>0</v>
      </c>
    </row>
    <row r="2577" spans="1:2" x14ac:dyDescent="0.25">
      <c r="A2577" t="s">
        <v>3204</v>
      </c>
      <c r="B2577" s="9">
        <v>0</v>
      </c>
    </row>
    <row r="2578" spans="1:2" x14ac:dyDescent="0.25">
      <c r="A2578" t="s">
        <v>3205</v>
      </c>
      <c r="B2578" s="9">
        <v>0</v>
      </c>
    </row>
    <row r="2579" spans="1:2" x14ac:dyDescent="0.25">
      <c r="A2579" t="s">
        <v>3206</v>
      </c>
      <c r="B2579" s="9">
        <v>0</v>
      </c>
    </row>
    <row r="2580" spans="1:2" x14ac:dyDescent="0.25">
      <c r="A2580" t="s">
        <v>3207</v>
      </c>
      <c r="B2580" s="9">
        <v>0</v>
      </c>
    </row>
    <row r="2581" spans="1:2" x14ac:dyDescent="0.25">
      <c r="A2581" t="s">
        <v>3208</v>
      </c>
      <c r="B2581" s="9">
        <v>0</v>
      </c>
    </row>
    <row r="2582" spans="1:2" x14ac:dyDescent="0.25">
      <c r="A2582" t="s">
        <v>3209</v>
      </c>
      <c r="B2582" s="9">
        <v>0</v>
      </c>
    </row>
    <row r="2583" spans="1:2" x14ac:dyDescent="0.25">
      <c r="A2583" t="s">
        <v>3210</v>
      </c>
      <c r="B2583" s="9">
        <v>0</v>
      </c>
    </row>
    <row r="2584" spans="1:2" x14ac:dyDescent="0.25">
      <c r="A2584" t="s">
        <v>3211</v>
      </c>
      <c r="B2584" s="9">
        <v>0</v>
      </c>
    </row>
    <row r="2585" spans="1:2" x14ac:dyDescent="0.25">
      <c r="A2585" t="s">
        <v>3212</v>
      </c>
      <c r="B2585" s="9">
        <v>0</v>
      </c>
    </row>
    <row r="2586" spans="1:2" x14ac:dyDescent="0.25">
      <c r="A2586" t="s">
        <v>3213</v>
      </c>
      <c r="B2586" s="9">
        <v>0</v>
      </c>
    </row>
    <row r="2587" spans="1:2" x14ac:dyDescent="0.25">
      <c r="A2587" t="s">
        <v>3214</v>
      </c>
      <c r="B2587" s="9">
        <v>0</v>
      </c>
    </row>
    <row r="2588" spans="1:2" x14ac:dyDescent="0.25">
      <c r="A2588" t="s">
        <v>3215</v>
      </c>
      <c r="B2588" s="9">
        <v>0</v>
      </c>
    </row>
    <row r="2589" spans="1:2" x14ac:dyDescent="0.25">
      <c r="A2589" t="s">
        <v>3216</v>
      </c>
      <c r="B2589" s="9">
        <v>0</v>
      </c>
    </row>
    <row r="2590" spans="1:2" x14ac:dyDescent="0.25">
      <c r="A2590" t="s">
        <v>3217</v>
      </c>
      <c r="B2590" s="9">
        <v>0</v>
      </c>
    </row>
    <row r="2591" spans="1:2" x14ac:dyDescent="0.25">
      <c r="A2591" t="s">
        <v>3218</v>
      </c>
      <c r="B2591" s="9">
        <v>0</v>
      </c>
    </row>
    <row r="2592" spans="1:2" x14ac:dyDescent="0.25">
      <c r="A2592" t="s">
        <v>3219</v>
      </c>
      <c r="B2592" s="9">
        <v>0</v>
      </c>
    </row>
    <row r="2593" spans="1:2" x14ac:dyDescent="0.25">
      <c r="A2593" t="s">
        <v>3220</v>
      </c>
      <c r="B2593" s="9">
        <v>0</v>
      </c>
    </row>
    <row r="2594" spans="1:2" x14ac:dyDescent="0.25">
      <c r="A2594" t="s">
        <v>3221</v>
      </c>
      <c r="B2594" s="9">
        <v>0</v>
      </c>
    </row>
    <row r="2595" spans="1:2" x14ac:dyDescent="0.25">
      <c r="A2595" t="s">
        <v>3222</v>
      </c>
      <c r="B2595" s="9">
        <v>0</v>
      </c>
    </row>
    <row r="2596" spans="1:2" x14ac:dyDescent="0.25">
      <c r="A2596" t="s">
        <v>3223</v>
      </c>
      <c r="B2596" s="9">
        <v>0</v>
      </c>
    </row>
    <row r="2597" spans="1:2" x14ac:dyDescent="0.25">
      <c r="A2597" t="s">
        <v>3224</v>
      </c>
      <c r="B2597" s="9">
        <v>0</v>
      </c>
    </row>
    <row r="2598" spans="1:2" x14ac:dyDescent="0.25">
      <c r="A2598" t="s">
        <v>3225</v>
      </c>
      <c r="B2598" s="9">
        <v>0</v>
      </c>
    </row>
    <row r="2599" spans="1:2" x14ac:dyDescent="0.25">
      <c r="A2599" t="s">
        <v>3226</v>
      </c>
      <c r="B2599" s="9">
        <v>0</v>
      </c>
    </row>
    <row r="2600" spans="1:2" x14ac:dyDescent="0.25">
      <c r="A2600" t="s">
        <v>3227</v>
      </c>
      <c r="B2600" s="9">
        <v>0</v>
      </c>
    </row>
    <row r="2601" spans="1:2" x14ac:dyDescent="0.25">
      <c r="A2601" t="s">
        <v>3228</v>
      </c>
      <c r="B2601" s="9">
        <v>0</v>
      </c>
    </row>
    <row r="2602" spans="1:2" x14ac:dyDescent="0.25">
      <c r="A2602" t="s">
        <v>3229</v>
      </c>
      <c r="B2602" s="9">
        <v>0</v>
      </c>
    </row>
    <row r="2603" spans="1:2" x14ac:dyDescent="0.25">
      <c r="A2603" t="s">
        <v>3230</v>
      </c>
      <c r="B2603" s="9">
        <v>0</v>
      </c>
    </row>
    <row r="2604" spans="1:2" x14ac:dyDescent="0.25">
      <c r="A2604" t="s">
        <v>3231</v>
      </c>
      <c r="B2604" s="9">
        <v>0</v>
      </c>
    </row>
    <row r="2605" spans="1:2" x14ac:dyDescent="0.25">
      <c r="A2605" t="s">
        <v>3232</v>
      </c>
      <c r="B2605" s="9">
        <v>0</v>
      </c>
    </row>
    <row r="2606" spans="1:2" x14ac:dyDescent="0.25">
      <c r="A2606" t="s">
        <v>3233</v>
      </c>
      <c r="B2606" s="9">
        <v>0</v>
      </c>
    </row>
    <row r="2607" spans="1:2" x14ac:dyDescent="0.25">
      <c r="A2607" t="s">
        <v>3234</v>
      </c>
      <c r="B2607" s="9">
        <v>0</v>
      </c>
    </row>
    <row r="2608" spans="1:2" x14ac:dyDescent="0.25">
      <c r="A2608" t="s">
        <v>3235</v>
      </c>
      <c r="B2608" s="9">
        <v>0</v>
      </c>
    </row>
    <row r="2609" spans="1:2" x14ac:dyDescent="0.25">
      <c r="A2609" t="s">
        <v>3236</v>
      </c>
      <c r="B2609" s="9">
        <v>0</v>
      </c>
    </row>
    <row r="2610" spans="1:2" x14ac:dyDescent="0.25">
      <c r="A2610" t="s">
        <v>3237</v>
      </c>
      <c r="B2610" s="9">
        <v>0</v>
      </c>
    </row>
    <row r="2611" spans="1:2" x14ac:dyDescent="0.25">
      <c r="A2611" t="s">
        <v>3238</v>
      </c>
      <c r="B2611" s="9">
        <v>0</v>
      </c>
    </row>
    <row r="2612" spans="1:2" x14ac:dyDescent="0.25">
      <c r="A2612" t="s">
        <v>3239</v>
      </c>
      <c r="B2612" s="9">
        <v>0</v>
      </c>
    </row>
    <row r="2613" spans="1:2" x14ac:dyDescent="0.25">
      <c r="A2613" t="s">
        <v>3240</v>
      </c>
      <c r="B2613" s="9">
        <v>0</v>
      </c>
    </row>
    <row r="2614" spans="1:2" x14ac:dyDescent="0.25">
      <c r="A2614" t="s">
        <v>3241</v>
      </c>
      <c r="B2614" s="9">
        <v>0</v>
      </c>
    </row>
    <row r="2615" spans="1:2" x14ac:dyDescent="0.25">
      <c r="A2615" t="s">
        <v>3242</v>
      </c>
      <c r="B2615" s="9">
        <v>0</v>
      </c>
    </row>
    <row r="2616" spans="1:2" x14ac:dyDescent="0.25">
      <c r="A2616" t="s">
        <v>3243</v>
      </c>
      <c r="B2616" s="9">
        <v>0</v>
      </c>
    </row>
    <row r="2617" spans="1:2" x14ac:dyDescent="0.25">
      <c r="A2617" t="s">
        <v>3244</v>
      </c>
      <c r="B2617" s="9">
        <v>0</v>
      </c>
    </row>
    <row r="2618" spans="1:2" x14ac:dyDescent="0.25">
      <c r="A2618" t="s">
        <v>3245</v>
      </c>
      <c r="B2618" s="9">
        <v>0</v>
      </c>
    </row>
    <row r="2619" spans="1:2" x14ac:dyDescent="0.25">
      <c r="A2619" t="s">
        <v>3246</v>
      </c>
      <c r="B2619" s="9">
        <v>0</v>
      </c>
    </row>
    <row r="2620" spans="1:2" x14ac:dyDescent="0.25">
      <c r="A2620" t="s">
        <v>3247</v>
      </c>
      <c r="B2620" s="9">
        <v>0</v>
      </c>
    </row>
    <row r="2621" spans="1:2" x14ac:dyDescent="0.25">
      <c r="A2621" t="s">
        <v>3248</v>
      </c>
      <c r="B2621" s="9">
        <v>0</v>
      </c>
    </row>
    <row r="2622" spans="1:2" x14ac:dyDescent="0.25">
      <c r="A2622" t="s">
        <v>3249</v>
      </c>
      <c r="B2622" s="9">
        <v>0</v>
      </c>
    </row>
    <row r="2623" spans="1:2" x14ac:dyDescent="0.25">
      <c r="A2623" t="s">
        <v>3250</v>
      </c>
      <c r="B2623" s="9">
        <v>0</v>
      </c>
    </row>
    <row r="2624" spans="1:2" x14ac:dyDescent="0.25">
      <c r="A2624" t="s">
        <v>3251</v>
      </c>
      <c r="B2624" s="9">
        <v>0</v>
      </c>
    </row>
    <row r="2625" spans="1:2" x14ac:dyDescent="0.25">
      <c r="A2625" t="s">
        <v>3252</v>
      </c>
      <c r="B2625" s="9">
        <v>0</v>
      </c>
    </row>
    <row r="2626" spans="1:2" x14ac:dyDescent="0.25">
      <c r="A2626" t="s">
        <v>3253</v>
      </c>
      <c r="B2626" s="9">
        <v>0</v>
      </c>
    </row>
    <row r="2627" spans="1:2" x14ac:dyDescent="0.25">
      <c r="A2627" t="s">
        <v>3254</v>
      </c>
      <c r="B2627" s="9">
        <v>0</v>
      </c>
    </row>
    <row r="2628" spans="1:2" x14ac:dyDescent="0.25">
      <c r="A2628" t="s">
        <v>3255</v>
      </c>
      <c r="B2628" s="9">
        <v>0</v>
      </c>
    </row>
    <row r="2629" spans="1:2" x14ac:dyDescent="0.25">
      <c r="A2629" t="s">
        <v>3256</v>
      </c>
      <c r="B2629" s="9">
        <v>0</v>
      </c>
    </row>
    <row r="2630" spans="1:2" x14ac:dyDescent="0.25">
      <c r="A2630" t="s">
        <v>3257</v>
      </c>
      <c r="B2630" s="9">
        <v>0</v>
      </c>
    </row>
    <row r="2631" spans="1:2" x14ac:dyDescent="0.25">
      <c r="A2631" t="s">
        <v>3258</v>
      </c>
      <c r="B2631" s="9">
        <v>0</v>
      </c>
    </row>
    <row r="2632" spans="1:2" x14ac:dyDescent="0.25">
      <c r="A2632" t="s">
        <v>3259</v>
      </c>
      <c r="B2632" s="9">
        <v>0</v>
      </c>
    </row>
    <row r="2633" spans="1:2" x14ac:dyDescent="0.25">
      <c r="A2633" t="s">
        <v>3260</v>
      </c>
      <c r="B2633" s="9">
        <v>0</v>
      </c>
    </row>
    <row r="2634" spans="1:2" x14ac:dyDescent="0.25">
      <c r="A2634" t="s">
        <v>3261</v>
      </c>
      <c r="B2634" s="9">
        <v>0</v>
      </c>
    </row>
    <row r="2635" spans="1:2" x14ac:dyDescent="0.25">
      <c r="A2635" t="s">
        <v>3262</v>
      </c>
      <c r="B2635" s="9">
        <v>0</v>
      </c>
    </row>
    <row r="2636" spans="1:2" x14ac:dyDescent="0.25">
      <c r="A2636" t="s">
        <v>3263</v>
      </c>
      <c r="B2636" s="9">
        <v>0</v>
      </c>
    </row>
    <row r="2637" spans="1:2" x14ac:dyDescent="0.25">
      <c r="A2637" t="s">
        <v>3264</v>
      </c>
      <c r="B2637" s="9">
        <v>0</v>
      </c>
    </row>
    <row r="2638" spans="1:2" x14ac:dyDescent="0.25">
      <c r="A2638" t="s">
        <v>3265</v>
      </c>
      <c r="B2638" s="9">
        <v>0</v>
      </c>
    </row>
    <row r="2639" spans="1:2" x14ac:dyDescent="0.25">
      <c r="A2639" t="s">
        <v>3266</v>
      </c>
      <c r="B2639" s="9">
        <v>0</v>
      </c>
    </row>
    <row r="2640" spans="1:2" x14ac:dyDescent="0.25">
      <c r="A2640" t="s">
        <v>3267</v>
      </c>
      <c r="B2640" s="9">
        <v>0</v>
      </c>
    </row>
    <row r="2641" spans="1:2" x14ac:dyDescent="0.25">
      <c r="A2641" t="s">
        <v>3268</v>
      </c>
      <c r="B2641" s="9">
        <v>0</v>
      </c>
    </row>
    <row r="2642" spans="1:2" x14ac:dyDescent="0.25">
      <c r="A2642" t="s">
        <v>3269</v>
      </c>
      <c r="B2642" s="9">
        <v>0</v>
      </c>
    </row>
    <row r="2643" spans="1:2" x14ac:dyDescent="0.25">
      <c r="A2643" t="s">
        <v>3270</v>
      </c>
      <c r="B2643" s="9">
        <v>0</v>
      </c>
    </row>
    <row r="2644" spans="1:2" x14ac:dyDescent="0.25">
      <c r="A2644" t="s">
        <v>3271</v>
      </c>
      <c r="B2644" s="9">
        <v>0</v>
      </c>
    </row>
    <row r="2645" spans="1:2" x14ac:dyDescent="0.25">
      <c r="A2645" t="s">
        <v>3272</v>
      </c>
      <c r="B2645" s="9">
        <v>0</v>
      </c>
    </row>
    <row r="2646" spans="1:2" x14ac:dyDescent="0.25">
      <c r="A2646" t="s">
        <v>3273</v>
      </c>
      <c r="B2646" s="9">
        <v>0</v>
      </c>
    </row>
    <row r="2647" spans="1:2" x14ac:dyDescent="0.25">
      <c r="A2647" t="s">
        <v>3274</v>
      </c>
      <c r="B2647" s="9">
        <v>0</v>
      </c>
    </row>
    <row r="2648" spans="1:2" x14ac:dyDescent="0.25">
      <c r="A2648" t="s">
        <v>3275</v>
      </c>
      <c r="B2648" s="9">
        <v>0</v>
      </c>
    </row>
    <row r="2649" spans="1:2" x14ac:dyDescent="0.25">
      <c r="A2649" t="s">
        <v>3276</v>
      </c>
      <c r="B2649" s="9">
        <v>0</v>
      </c>
    </row>
    <row r="2650" spans="1:2" x14ac:dyDescent="0.25">
      <c r="A2650" t="s">
        <v>3277</v>
      </c>
      <c r="B2650" s="9">
        <v>0</v>
      </c>
    </row>
    <row r="2651" spans="1:2" x14ac:dyDescent="0.25">
      <c r="A2651" t="s">
        <v>3278</v>
      </c>
      <c r="B2651" s="9">
        <v>0</v>
      </c>
    </row>
    <row r="2652" spans="1:2" x14ac:dyDescent="0.25">
      <c r="A2652" t="s">
        <v>3279</v>
      </c>
      <c r="B2652" s="9">
        <v>0</v>
      </c>
    </row>
    <row r="2653" spans="1:2" x14ac:dyDescent="0.25">
      <c r="A2653" t="s">
        <v>3280</v>
      </c>
      <c r="B2653" s="9">
        <v>0</v>
      </c>
    </row>
    <row r="2654" spans="1:2" x14ac:dyDescent="0.25">
      <c r="A2654" t="s">
        <v>3281</v>
      </c>
      <c r="B2654" s="9">
        <v>0</v>
      </c>
    </row>
    <row r="2655" spans="1:2" x14ac:dyDescent="0.25">
      <c r="A2655" t="s">
        <v>3282</v>
      </c>
      <c r="B2655" s="9">
        <v>0</v>
      </c>
    </row>
    <row r="2656" spans="1:2" x14ac:dyDescent="0.25">
      <c r="A2656" t="s">
        <v>3283</v>
      </c>
      <c r="B2656" s="9">
        <v>0</v>
      </c>
    </row>
    <row r="2657" spans="1:2" x14ac:dyDescent="0.25">
      <c r="A2657" t="s">
        <v>3284</v>
      </c>
      <c r="B2657" s="9">
        <v>0</v>
      </c>
    </row>
    <row r="2658" spans="1:2" x14ac:dyDescent="0.25">
      <c r="A2658" t="s">
        <v>3285</v>
      </c>
      <c r="B2658" s="9">
        <v>0</v>
      </c>
    </row>
    <row r="2659" spans="1:2" x14ac:dyDescent="0.25">
      <c r="A2659" t="s">
        <v>3286</v>
      </c>
      <c r="B2659" s="9">
        <v>0</v>
      </c>
    </row>
    <row r="2660" spans="1:2" x14ac:dyDescent="0.25">
      <c r="A2660" t="s">
        <v>3287</v>
      </c>
      <c r="B2660" s="9">
        <v>0</v>
      </c>
    </row>
    <row r="2661" spans="1:2" x14ac:dyDescent="0.25">
      <c r="A2661" t="s">
        <v>3288</v>
      </c>
      <c r="B2661" s="9">
        <v>0</v>
      </c>
    </row>
    <row r="2662" spans="1:2" x14ac:dyDescent="0.25">
      <c r="A2662" t="s">
        <v>3289</v>
      </c>
      <c r="B2662" s="9">
        <v>0</v>
      </c>
    </row>
    <row r="2663" spans="1:2" x14ac:dyDescent="0.25">
      <c r="A2663" t="s">
        <v>3290</v>
      </c>
      <c r="B2663" s="9">
        <v>0</v>
      </c>
    </row>
    <row r="2664" spans="1:2" x14ac:dyDescent="0.25">
      <c r="A2664" t="s">
        <v>3291</v>
      </c>
      <c r="B2664" s="9">
        <v>0</v>
      </c>
    </row>
    <row r="2665" spans="1:2" x14ac:dyDescent="0.25">
      <c r="A2665" t="s">
        <v>3292</v>
      </c>
      <c r="B2665" s="9">
        <v>0</v>
      </c>
    </row>
    <row r="2666" spans="1:2" x14ac:dyDescent="0.25">
      <c r="A2666" t="s">
        <v>3293</v>
      </c>
      <c r="B2666" s="9">
        <v>0</v>
      </c>
    </row>
    <row r="2667" spans="1:2" x14ac:dyDescent="0.25">
      <c r="A2667" t="s">
        <v>3294</v>
      </c>
      <c r="B2667" s="9">
        <v>0</v>
      </c>
    </row>
    <row r="2668" spans="1:2" x14ac:dyDescent="0.25">
      <c r="A2668" t="s">
        <v>3295</v>
      </c>
      <c r="B2668" s="9">
        <v>0</v>
      </c>
    </row>
    <row r="2669" spans="1:2" x14ac:dyDescent="0.25">
      <c r="A2669" t="s">
        <v>3296</v>
      </c>
      <c r="B2669" s="9">
        <v>0</v>
      </c>
    </row>
    <row r="2670" spans="1:2" x14ac:dyDescent="0.25">
      <c r="A2670" t="s">
        <v>3297</v>
      </c>
      <c r="B2670" s="9">
        <v>0</v>
      </c>
    </row>
    <row r="2671" spans="1:2" x14ac:dyDescent="0.25">
      <c r="A2671" t="s">
        <v>3298</v>
      </c>
      <c r="B2671" s="9">
        <v>0</v>
      </c>
    </row>
    <row r="2672" spans="1:2" x14ac:dyDescent="0.25">
      <c r="A2672" t="s">
        <v>3299</v>
      </c>
      <c r="B2672" s="9">
        <v>0</v>
      </c>
    </row>
    <row r="2673" spans="1:2" x14ac:dyDescent="0.25">
      <c r="A2673" t="s">
        <v>3300</v>
      </c>
      <c r="B2673" s="9">
        <v>0</v>
      </c>
    </row>
    <row r="2674" spans="1:2" x14ac:dyDescent="0.25">
      <c r="A2674" t="s">
        <v>3301</v>
      </c>
      <c r="B2674" s="9">
        <v>0</v>
      </c>
    </row>
    <row r="2675" spans="1:2" x14ac:dyDescent="0.25">
      <c r="A2675" t="s">
        <v>3302</v>
      </c>
      <c r="B2675" s="9">
        <v>0</v>
      </c>
    </row>
    <row r="2676" spans="1:2" x14ac:dyDescent="0.25">
      <c r="A2676" t="s">
        <v>3303</v>
      </c>
      <c r="B2676" s="9">
        <v>0</v>
      </c>
    </row>
    <row r="2677" spans="1:2" x14ac:dyDescent="0.25">
      <c r="A2677" t="s">
        <v>3304</v>
      </c>
      <c r="B2677" s="9">
        <v>0</v>
      </c>
    </row>
    <row r="2678" spans="1:2" x14ac:dyDescent="0.25">
      <c r="A2678" t="s">
        <v>3305</v>
      </c>
      <c r="B2678" s="9">
        <v>0</v>
      </c>
    </row>
    <row r="2679" spans="1:2" x14ac:dyDescent="0.25">
      <c r="A2679" t="s">
        <v>3306</v>
      </c>
      <c r="B2679" s="9">
        <v>0</v>
      </c>
    </row>
    <row r="2680" spans="1:2" x14ac:dyDescent="0.25">
      <c r="A2680" t="s">
        <v>3307</v>
      </c>
      <c r="B2680" s="9">
        <v>0</v>
      </c>
    </row>
    <row r="2681" spans="1:2" x14ac:dyDescent="0.25">
      <c r="A2681" t="s">
        <v>3308</v>
      </c>
      <c r="B2681" s="9">
        <v>0</v>
      </c>
    </row>
    <row r="2682" spans="1:2" x14ac:dyDescent="0.25">
      <c r="A2682" t="s">
        <v>3309</v>
      </c>
      <c r="B2682" s="9">
        <v>0</v>
      </c>
    </row>
    <row r="2683" spans="1:2" x14ac:dyDescent="0.25">
      <c r="A2683" t="s">
        <v>3310</v>
      </c>
      <c r="B2683" s="9">
        <v>0</v>
      </c>
    </row>
    <row r="2684" spans="1:2" x14ac:dyDescent="0.25">
      <c r="A2684" t="s">
        <v>3311</v>
      </c>
      <c r="B2684" s="9">
        <v>0</v>
      </c>
    </row>
    <row r="2685" spans="1:2" x14ac:dyDescent="0.25">
      <c r="A2685" t="s">
        <v>3312</v>
      </c>
      <c r="B2685" s="9">
        <v>0</v>
      </c>
    </row>
    <row r="2686" spans="1:2" x14ac:dyDescent="0.25">
      <c r="A2686" t="s">
        <v>3313</v>
      </c>
      <c r="B2686" s="9">
        <v>0</v>
      </c>
    </row>
    <row r="2687" spans="1:2" x14ac:dyDescent="0.25">
      <c r="A2687" t="s">
        <v>3314</v>
      </c>
      <c r="B2687" s="9">
        <v>0</v>
      </c>
    </row>
    <row r="2688" spans="1:2" x14ac:dyDescent="0.25">
      <c r="A2688" t="s">
        <v>3315</v>
      </c>
      <c r="B2688" s="9">
        <v>0</v>
      </c>
    </row>
    <row r="2689" spans="1:2" x14ac:dyDescent="0.25">
      <c r="A2689" t="s">
        <v>3316</v>
      </c>
      <c r="B2689" s="9">
        <v>0</v>
      </c>
    </row>
    <row r="2690" spans="1:2" x14ac:dyDescent="0.25">
      <c r="A2690" t="s">
        <v>3317</v>
      </c>
      <c r="B2690" s="9">
        <v>0</v>
      </c>
    </row>
    <row r="2691" spans="1:2" x14ac:dyDescent="0.25">
      <c r="A2691" t="s">
        <v>3318</v>
      </c>
      <c r="B2691" s="9">
        <v>0</v>
      </c>
    </row>
    <row r="2692" spans="1:2" x14ac:dyDescent="0.25">
      <c r="A2692" t="s">
        <v>3319</v>
      </c>
      <c r="B2692" s="9">
        <v>0</v>
      </c>
    </row>
    <row r="2693" spans="1:2" x14ac:dyDescent="0.25">
      <c r="A2693" t="s">
        <v>3320</v>
      </c>
      <c r="B2693" s="9">
        <v>0</v>
      </c>
    </row>
    <row r="2694" spans="1:2" x14ac:dyDescent="0.25">
      <c r="A2694" t="s">
        <v>3321</v>
      </c>
      <c r="B2694" s="9">
        <v>0</v>
      </c>
    </row>
    <row r="2695" spans="1:2" x14ac:dyDescent="0.25">
      <c r="A2695" t="s">
        <v>3322</v>
      </c>
      <c r="B2695" s="9">
        <v>0</v>
      </c>
    </row>
    <row r="2696" spans="1:2" x14ac:dyDescent="0.25">
      <c r="A2696" t="s">
        <v>3323</v>
      </c>
      <c r="B2696" s="9">
        <v>0</v>
      </c>
    </row>
    <row r="2697" spans="1:2" x14ac:dyDescent="0.25">
      <c r="A2697" t="s">
        <v>3324</v>
      </c>
      <c r="B2697" s="9">
        <v>0</v>
      </c>
    </row>
    <row r="2698" spans="1:2" x14ac:dyDescent="0.25">
      <c r="A2698" t="s">
        <v>3325</v>
      </c>
      <c r="B2698" s="9">
        <v>0</v>
      </c>
    </row>
    <row r="2699" spans="1:2" x14ac:dyDescent="0.25">
      <c r="A2699" t="s">
        <v>3326</v>
      </c>
      <c r="B2699" s="9">
        <v>0</v>
      </c>
    </row>
    <row r="2700" spans="1:2" x14ac:dyDescent="0.25">
      <c r="A2700" t="s">
        <v>3327</v>
      </c>
      <c r="B2700" s="9">
        <v>0</v>
      </c>
    </row>
    <row r="2701" spans="1:2" x14ac:dyDescent="0.25">
      <c r="A2701" t="s">
        <v>3328</v>
      </c>
      <c r="B2701" s="9">
        <v>0</v>
      </c>
    </row>
    <row r="2702" spans="1:2" x14ac:dyDescent="0.25">
      <c r="A2702" t="s">
        <v>3329</v>
      </c>
      <c r="B2702" s="9">
        <v>0</v>
      </c>
    </row>
    <row r="2703" spans="1:2" x14ac:dyDescent="0.25">
      <c r="A2703" t="s">
        <v>3330</v>
      </c>
      <c r="B2703" s="9">
        <v>0</v>
      </c>
    </row>
    <row r="2704" spans="1:2" x14ac:dyDescent="0.25">
      <c r="A2704" t="s">
        <v>3331</v>
      </c>
      <c r="B2704" s="9">
        <v>0</v>
      </c>
    </row>
    <row r="2705" spans="1:2" x14ac:dyDescent="0.25">
      <c r="A2705" t="s">
        <v>3332</v>
      </c>
      <c r="B2705" s="9">
        <v>0</v>
      </c>
    </row>
    <row r="2706" spans="1:2" x14ac:dyDescent="0.25">
      <c r="A2706" t="s">
        <v>3333</v>
      </c>
      <c r="B2706" s="9">
        <v>0</v>
      </c>
    </row>
    <row r="2707" spans="1:2" x14ac:dyDescent="0.25">
      <c r="A2707" t="s">
        <v>3334</v>
      </c>
      <c r="B2707" s="9">
        <v>0</v>
      </c>
    </row>
    <row r="2708" spans="1:2" x14ac:dyDescent="0.25">
      <c r="A2708" t="s">
        <v>3335</v>
      </c>
      <c r="B2708" s="9">
        <v>0</v>
      </c>
    </row>
    <row r="2709" spans="1:2" x14ac:dyDescent="0.25">
      <c r="A2709" t="s">
        <v>3336</v>
      </c>
      <c r="B2709" s="9">
        <v>0</v>
      </c>
    </row>
    <row r="2710" spans="1:2" x14ac:dyDescent="0.25">
      <c r="A2710" t="s">
        <v>3337</v>
      </c>
      <c r="B2710" s="9">
        <v>0</v>
      </c>
    </row>
    <row r="2711" spans="1:2" x14ac:dyDescent="0.25">
      <c r="A2711" t="s">
        <v>3338</v>
      </c>
      <c r="B2711" s="9">
        <v>0</v>
      </c>
    </row>
    <row r="2712" spans="1:2" x14ac:dyDescent="0.25">
      <c r="A2712" t="s">
        <v>3339</v>
      </c>
      <c r="B2712" s="9">
        <v>0</v>
      </c>
    </row>
    <row r="2713" spans="1:2" x14ac:dyDescent="0.25">
      <c r="A2713" t="s">
        <v>3340</v>
      </c>
      <c r="B2713" s="9">
        <v>0</v>
      </c>
    </row>
    <row r="2714" spans="1:2" x14ac:dyDescent="0.25">
      <c r="A2714" t="s">
        <v>3341</v>
      </c>
      <c r="B2714" s="9">
        <v>0</v>
      </c>
    </row>
    <row r="2715" spans="1:2" x14ac:dyDescent="0.25">
      <c r="A2715" t="s">
        <v>3342</v>
      </c>
      <c r="B2715" s="9">
        <v>0</v>
      </c>
    </row>
    <row r="2716" spans="1:2" x14ac:dyDescent="0.25">
      <c r="A2716" t="s">
        <v>3343</v>
      </c>
      <c r="B2716" s="9">
        <v>0</v>
      </c>
    </row>
    <row r="2717" spans="1:2" x14ac:dyDescent="0.25">
      <c r="A2717" t="s">
        <v>3344</v>
      </c>
      <c r="B2717" s="9">
        <v>0</v>
      </c>
    </row>
    <row r="2718" spans="1:2" x14ac:dyDescent="0.25">
      <c r="A2718" t="s">
        <v>3345</v>
      </c>
      <c r="B2718" s="9">
        <v>0</v>
      </c>
    </row>
    <row r="2719" spans="1:2" x14ac:dyDescent="0.25">
      <c r="A2719" t="s">
        <v>3346</v>
      </c>
      <c r="B2719" s="9">
        <v>0</v>
      </c>
    </row>
    <row r="2720" spans="1:2" x14ac:dyDescent="0.25">
      <c r="A2720" t="s">
        <v>3347</v>
      </c>
      <c r="B2720" s="9">
        <v>0</v>
      </c>
    </row>
    <row r="2721" spans="1:2" x14ac:dyDescent="0.25">
      <c r="A2721" t="s">
        <v>3348</v>
      </c>
      <c r="B2721" s="9">
        <v>0</v>
      </c>
    </row>
    <row r="2722" spans="1:2" x14ac:dyDescent="0.25">
      <c r="A2722" t="s">
        <v>3349</v>
      </c>
      <c r="B2722" s="9">
        <v>0</v>
      </c>
    </row>
    <row r="2723" spans="1:2" x14ac:dyDescent="0.25">
      <c r="A2723" t="s">
        <v>3350</v>
      </c>
      <c r="B2723" s="9">
        <v>0</v>
      </c>
    </row>
    <row r="2724" spans="1:2" x14ac:dyDescent="0.25">
      <c r="A2724" t="s">
        <v>3351</v>
      </c>
      <c r="B2724" s="9">
        <v>0</v>
      </c>
    </row>
    <row r="2725" spans="1:2" x14ac:dyDescent="0.25">
      <c r="A2725" t="s">
        <v>3352</v>
      </c>
      <c r="B2725" s="9">
        <v>0</v>
      </c>
    </row>
    <row r="2726" spans="1:2" x14ac:dyDescent="0.25">
      <c r="A2726" t="s">
        <v>3353</v>
      </c>
      <c r="B2726" s="9">
        <v>0</v>
      </c>
    </row>
    <row r="2727" spans="1:2" x14ac:dyDescent="0.25">
      <c r="A2727" t="s">
        <v>3354</v>
      </c>
      <c r="B2727" s="9">
        <v>0</v>
      </c>
    </row>
    <row r="2728" spans="1:2" x14ac:dyDescent="0.25">
      <c r="A2728" t="s">
        <v>3355</v>
      </c>
      <c r="B2728" s="9">
        <v>0</v>
      </c>
    </row>
    <row r="2729" spans="1:2" x14ac:dyDescent="0.25">
      <c r="A2729" t="s">
        <v>3356</v>
      </c>
      <c r="B2729" s="9">
        <v>0</v>
      </c>
    </row>
    <row r="2730" spans="1:2" x14ac:dyDescent="0.25">
      <c r="A2730" t="s">
        <v>3357</v>
      </c>
      <c r="B2730" s="9">
        <v>0</v>
      </c>
    </row>
    <row r="2731" spans="1:2" x14ac:dyDescent="0.25">
      <c r="A2731" t="s">
        <v>3358</v>
      </c>
      <c r="B2731" s="9">
        <v>0</v>
      </c>
    </row>
    <row r="2732" spans="1:2" x14ac:dyDescent="0.25">
      <c r="A2732" t="s">
        <v>3359</v>
      </c>
      <c r="B2732" s="9">
        <v>0</v>
      </c>
    </row>
    <row r="2733" spans="1:2" x14ac:dyDescent="0.25">
      <c r="A2733" t="s">
        <v>3360</v>
      </c>
      <c r="B2733" s="9">
        <v>0</v>
      </c>
    </row>
    <row r="2734" spans="1:2" x14ac:dyDescent="0.25">
      <c r="A2734" t="s">
        <v>3361</v>
      </c>
      <c r="B2734" s="9">
        <v>0</v>
      </c>
    </row>
    <row r="2735" spans="1:2" x14ac:dyDescent="0.25">
      <c r="A2735" t="s">
        <v>3362</v>
      </c>
      <c r="B2735" s="9">
        <v>0</v>
      </c>
    </row>
    <row r="2736" spans="1:2" x14ac:dyDescent="0.25">
      <c r="A2736" t="s">
        <v>3363</v>
      </c>
      <c r="B2736" s="9">
        <v>0</v>
      </c>
    </row>
    <row r="2737" spans="1:2" x14ac:dyDescent="0.25">
      <c r="A2737" t="s">
        <v>3364</v>
      </c>
      <c r="B2737" s="9">
        <v>0</v>
      </c>
    </row>
    <row r="2738" spans="1:2" x14ac:dyDescent="0.25">
      <c r="A2738" t="s">
        <v>3365</v>
      </c>
      <c r="B2738" s="9">
        <v>0</v>
      </c>
    </row>
    <row r="2739" spans="1:2" x14ac:dyDescent="0.25">
      <c r="A2739" t="s">
        <v>3366</v>
      </c>
      <c r="B2739" s="9">
        <v>0</v>
      </c>
    </row>
    <row r="2740" spans="1:2" x14ac:dyDescent="0.25">
      <c r="A2740" t="s">
        <v>3367</v>
      </c>
      <c r="B2740" s="9">
        <v>0</v>
      </c>
    </row>
    <row r="2741" spans="1:2" x14ac:dyDescent="0.25">
      <c r="A2741" t="s">
        <v>3368</v>
      </c>
      <c r="B2741" s="9">
        <v>0</v>
      </c>
    </row>
    <row r="2742" spans="1:2" x14ac:dyDescent="0.25">
      <c r="A2742" t="s">
        <v>3369</v>
      </c>
      <c r="B2742" s="9">
        <v>0</v>
      </c>
    </row>
    <row r="2743" spans="1:2" x14ac:dyDescent="0.25">
      <c r="A2743" t="s">
        <v>3370</v>
      </c>
      <c r="B2743" s="9">
        <v>0</v>
      </c>
    </row>
    <row r="2744" spans="1:2" x14ac:dyDescent="0.25">
      <c r="A2744" t="s">
        <v>3371</v>
      </c>
      <c r="B2744" s="9">
        <v>0</v>
      </c>
    </row>
    <row r="2745" spans="1:2" x14ac:dyDescent="0.25">
      <c r="A2745" t="s">
        <v>3372</v>
      </c>
      <c r="B2745" s="9">
        <v>0</v>
      </c>
    </row>
    <row r="2746" spans="1:2" x14ac:dyDescent="0.25">
      <c r="A2746" t="s">
        <v>3373</v>
      </c>
      <c r="B2746" s="9">
        <v>0</v>
      </c>
    </row>
    <row r="2747" spans="1:2" x14ac:dyDescent="0.25">
      <c r="A2747" t="s">
        <v>3374</v>
      </c>
      <c r="B2747" s="9">
        <v>0</v>
      </c>
    </row>
    <row r="2748" spans="1:2" x14ac:dyDescent="0.25">
      <c r="A2748" t="s">
        <v>3375</v>
      </c>
      <c r="B2748" s="9">
        <v>0</v>
      </c>
    </row>
    <row r="2749" spans="1:2" x14ac:dyDescent="0.25">
      <c r="A2749" t="s">
        <v>3376</v>
      </c>
      <c r="B2749" s="9">
        <v>0</v>
      </c>
    </row>
    <row r="2750" spans="1:2" x14ac:dyDescent="0.25">
      <c r="A2750" t="s">
        <v>3377</v>
      </c>
      <c r="B2750" s="9">
        <v>0</v>
      </c>
    </row>
    <row r="2751" spans="1:2" x14ac:dyDescent="0.25">
      <c r="A2751" t="s">
        <v>3378</v>
      </c>
      <c r="B2751" s="9">
        <v>0</v>
      </c>
    </row>
    <row r="2752" spans="1:2" x14ac:dyDescent="0.25">
      <c r="A2752" t="s">
        <v>3379</v>
      </c>
      <c r="B2752" s="9">
        <v>0</v>
      </c>
    </row>
    <row r="2753" spans="1:2" x14ac:dyDescent="0.25">
      <c r="A2753" t="s">
        <v>3380</v>
      </c>
      <c r="B2753" s="9">
        <v>0</v>
      </c>
    </row>
    <row r="2754" spans="1:2" x14ac:dyDescent="0.25">
      <c r="A2754" t="s">
        <v>3381</v>
      </c>
      <c r="B2754" s="9">
        <v>0</v>
      </c>
    </row>
    <row r="2755" spans="1:2" x14ac:dyDescent="0.25">
      <c r="A2755" t="s">
        <v>3382</v>
      </c>
      <c r="B2755" s="9">
        <v>0</v>
      </c>
    </row>
    <row r="2756" spans="1:2" x14ac:dyDescent="0.25">
      <c r="A2756" t="s">
        <v>3383</v>
      </c>
      <c r="B2756" s="9">
        <v>0</v>
      </c>
    </row>
    <row r="2757" spans="1:2" x14ac:dyDescent="0.25">
      <c r="A2757" t="s">
        <v>3384</v>
      </c>
      <c r="B2757" s="9">
        <v>0</v>
      </c>
    </row>
    <row r="2758" spans="1:2" x14ac:dyDescent="0.25">
      <c r="A2758" t="s">
        <v>3385</v>
      </c>
      <c r="B2758" s="9">
        <v>0</v>
      </c>
    </row>
    <row r="2759" spans="1:2" x14ac:dyDescent="0.25">
      <c r="A2759" t="s">
        <v>3386</v>
      </c>
      <c r="B2759" s="9">
        <v>0</v>
      </c>
    </row>
    <row r="2760" spans="1:2" x14ac:dyDescent="0.25">
      <c r="A2760" t="s">
        <v>3387</v>
      </c>
      <c r="B2760" s="9">
        <v>0</v>
      </c>
    </row>
    <row r="2761" spans="1:2" x14ac:dyDescent="0.25">
      <c r="A2761" t="s">
        <v>3388</v>
      </c>
      <c r="B2761" s="9">
        <v>0</v>
      </c>
    </row>
    <row r="2762" spans="1:2" x14ac:dyDescent="0.25">
      <c r="A2762" t="s">
        <v>3389</v>
      </c>
      <c r="B2762" s="9">
        <v>0</v>
      </c>
    </row>
    <row r="2763" spans="1:2" x14ac:dyDescent="0.25">
      <c r="A2763" t="s">
        <v>3390</v>
      </c>
      <c r="B2763" s="9">
        <v>0</v>
      </c>
    </row>
    <row r="2764" spans="1:2" x14ac:dyDescent="0.25">
      <c r="A2764" t="s">
        <v>3391</v>
      </c>
      <c r="B2764" s="9">
        <v>0</v>
      </c>
    </row>
    <row r="2765" spans="1:2" x14ac:dyDescent="0.25">
      <c r="A2765" t="s">
        <v>3392</v>
      </c>
      <c r="B2765" s="9">
        <v>0</v>
      </c>
    </row>
    <row r="2766" spans="1:2" x14ac:dyDescent="0.25">
      <c r="A2766" t="s">
        <v>3393</v>
      </c>
      <c r="B2766" s="9">
        <v>0</v>
      </c>
    </row>
    <row r="2767" spans="1:2" x14ac:dyDescent="0.25">
      <c r="A2767" t="s">
        <v>3394</v>
      </c>
      <c r="B2767" s="9">
        <v>0</v>
      </c>
    </row>
    <row r="2768" spans="1:2" x14ac:dyDescent="0.25">
      <c r="A2768" t="s">
        <v>3395</v>
      </c>
      <c r="B2768" s="9">
        <v>0</v>
      </c>
    </row>
    <row r="2769" spans="1:2" x14ac:dyDescent="0.25">
      <c r="A2769" t="s">
        <v>3396</v>
      </c>
      <c r="B2769" s="9">
        <v>0</v>
      </c>
    </row>
    <row r="2770" spans="1:2" x14ac:dyDescent="0.25">
      <c r="A2770" t="s">
        <v>3397</v>
      </c>
      <c r="B2770" s="9">
        <v>0</v>
      </c>
    </row>
    <row r="2771" spans="1:2" x14ac:dyDescent="0.25">
      <c r="A2771" t="s">
        <v>3398</v>
      </c>
      <c r="B2771" s="9">
        <v>0</v>
      </c>
    </row>
    <row r="2772" spans="1:2" x14ac:dyDescent="0.25">
      <c r="A2772" t="s">
        <v>3399</v>
      </c>
      <c r="B2772" s="9">
        <v>0</v>
      </c>
    </row>
    <row r="2773" spans="1:2" x14ac:dyDescent="0.25">
      <c r="A2773" t="s">
        <v>3400</v>
      </c>
      <c r="B2773" s="9">
        <v>0</v>
      </c>
    </row>
    <row r="2774" spans="1:2" x14ac:dyDescent="0.25">
      <c r="A2774" t="s">
        <v>3401</v>
      </c>
      <c r="B2774" s="9">
        <v>0</v>
      </c>
    </row>
    <row r="2775" spans="1:2" x14ac:dyDescent="0.25">
      <c r="A2775" t="s">
        <v>3402</v>
      </c>
      <c r="B2775" s="9">
        <v>0</v>
      </c>
    </row>
    <row r="2776" spans="1:2" x14ac:dyDescent="0.25">
      <c r="A2776" t="s">
        <v>3403</v>
      </c>
      <c r="B2776" s="9">
        <v>0</v>
      </c>
    </row>
    <row r="2777" spans="1:2" x14ac:dyDescent="0.25">
      <c r="A2777" t="s">
        <v>3404</v>
      </c>
      <c r="B2777" s="9">
        <v>0</v>
      </c>
    </row>
    <row r="2778" spans="1:2" x14ac:dyDescent="0.25">
      <c r="A2778" t="s">
        <v>3405</v>
      </c>
      <c r="B2778" s="9">
        <v>0</v>
      </c>
    </row>
    <row r="2779" spans="1:2" x14ac:dyDescent="0.25">
      <c r="A2779" t="s">
        <v>3406</v>
      </c>
      <c r="B2779" s="9">
        <v>0</v>
      </c>
    </row>
    <row r="2780" spans="1:2" x14ac:dyDescent="0.25">
      <c r="A2780" t="s">
        <v>3407</v>
      </c>
      <c r="B2780" s="9">
        <v>0</v>
      </c>
    </row>
    <row r="2781" spans="1:2" x14ac:dyDescent="0.25">
      <c r="A2781" t="s">
        <v>3408</v>
      </c>
      <c r="B2781" s="9">
        <v>0</v>
      </c>
    </row>
    <row r="2782" spans="1:2" x14ac:dyDescent="0.25">
      <c r="A2782" t="s">
        <v>3409</v>
      </c>
      <c r="B2782" s="9">
        <v>0</v>
      </c>
    </row>
    <row r="2783" spans="1:2" x14ac:dyDescent="0.25">
      <c r="A2783" t="s">
        <v>3410</v>
      </c>
      <c r="B2783" s="9">
        <v>0</v>
      </c>
    </row>
    <row r="2784" spans="1:2" x14ac:dyDescent="0.25">
      <c r="A2784" t="s">
        <v>3411</v>
      </c>
      <c r="B2784" s="9">
        <v>0</v>
      </c>
    </row>
    <row r="2785" spans="1:2" x14ac:dyDescent="0.25">
      <c r="A2785" t="s">
        <v>3412</v>
      </c>
      <c r="B2785" s="9">
        <v>0</v>
      </c>
    </row>
    <row r="2786" spans="1:2" x14ac:dyDescent="0.25">
      <c r="A2786" t="s">
        <v>3413</v>
      </c>
      <c r="B2786" s="9">
        <v>0</v>
      </c>
    </row>
    <row r="2787" spans="1:2" x14ac:dyDescent="0.25">
      <c r="A2787" t="s">
        <v>3414</v>
      </c>
      <c r="B2787" s="9">
        <v>0</v>
      </c>
    </row>
    <row r="2788" spans="1:2" x14ac:dyDescent="0.25">
      <c r="A2788" t="s">
        <v>3415</v>
      </c>
      <c r="B2788" s="9">
        <v>0</v>
      </c>
    </row>
    <row r="2789" spans="1:2" x14ac:dyDescent="0.25">
      <c r="A2789" t="s">
        <v>3416</v>
      </c>
      <c r="B2789" s="9">
        <v>0</v>
      </c>
    </row>
    <row r="2790" spans="1:2" x14ac:dyDescent="0.25">
      <c r="A2790" t="s">
        <v>3417</v>
      </c>
      <c r="B2790" s="9">
        <v>0</v>
      </c>
    </row>
    <row r="2791" spans="1:2" x14ac:dyDescent="0.25">
      <c r="A2791" t="s">
        <v>3418</v>
      </c>
      <c r="B2791" s="9">
        <v>0</v>
      </c>
    </row>
    <row r="2792" spans="1:2" x14ac:dyDescent="0.25">
      <c r="A2792" t="s">
        <v>3419</v>
      </c>
      <c r="B2792" s="9">
        <v>0</v>
      </c>
    </row>
    <row r="2793" spans="1:2" x14ac:dyDescent="0.25">
      <c r="A2793" t="s">
        <v>3420</v>
      </c>
      <c r="B2793" s="9">
        <v>0</v>
      </c>
    </row>
    <row r="2794" spans="1:2" x14ac:dyDescent="0.25">
      <c r="A2794" t="s">
        <v>3421</v>
      </c>
      <c r="B2794" s="9">
        <v>0</v>
      </c>
    </row>
    <row r="2795" spans="1:2" x14ac:dyDescent="0.25">
      <c r="A2795" t="s">
        <v>3422</v>
      </c>
      <c r="B2795" s="9">
        <v>0</v>
      </c>
    </row>
    <row r="2796" spans="1:2" x14ac:dyDescent="0.25">
      <c r="A2796" t="s">
        <v>3423</v>
      </c>
      <c r="B2796" s="9">
        <v>0</v>
      </c>
    </row>
    <row r="2797" spans="1:2" x14ac:dyDescent="0.25">
      <c r="A2797" t="s">
        <v>3424</v>
      </c>
      <c r="B2797" s="9">
        <v>0</v>
      </c>
    </row>
    <row r="2798" spans="1:2" x14ac:dyDescent="0.25">
      <c r="A2798" t="s">
        <v>3425</v>
      </c>
      <c r="B2798" s="9">
        <v>0</v>
      </c>
    </row>
    <row r="2799" spans="1:2" x14ac:dyDescent="0.25">
      <c r="A2799" t="s">
        <v>3426</v>
      </c>
      <c r="B2799" s="9">
        <v>0</v>
      </c>
    </row>
    <row r="2800" spans="1:2" x14ac:dyDescent="0.25">
      <c r="A2800" t="s">
        <v>3427</v>
      </c>
      <c r="B2800" s="9">
        <v>0</v>
      </c>
    </row>
    <row r="2801" spans="1:2" x14ac:dyDescent="0.25">
      <c r="A2801" t="s">
        <v>3428</v>
      </c>
      <c r="B2801" s="9">
        <v>0</v>
      </c>
    </row>
    <row r="2802" spans="1:2" x14ac:dyDescent="0.25">
      <c r="A2802" t="s">
        <v>3429</v>
      </c>
      <c r="B2802" s="9">
        <v>0</v>
      </c>
    </row>
    <row r="2803" spans="1:2" x14ac:dyDescent="0.25">
      <c r="A2803" t="s">
        <v>3430</v>
      </c>
      <c r="B2803" s="9">
        <v>0</v>
      </c>
    </row>
    <row r="2804" spans="1:2" x14ac:dyDescent="0.25">
      <c r="A2804" t="s">
        <v>3431</v>
      </c>
      <c r="B2804" s="9">
        <v>0</v>
      </c>
    </row>
    <row r="2805" spans="1:2" x14ac:dyDescent="0.25">
      <c r="A2805" t="s">
        <v>3432</v>
      </c>
      <c r="B2805" s="9">
        <v>0</v>
      </c>
    </row>
    <row r="2806" spans="1:2" x14ac:dyDescent="0.25">
      <c r="A2806" t="s">
        <v>3433</v>
      </c>
      <c r="B2806" s="9">
        <v>0</v>
      </c>
    </row>
    <row r="2807" spans="1:2" x14ac:dyDescent="0.25">
      <c r="A2807" t="s">
        <v>3434</v>
      </c>
      <c r="B2807" s="9">
        <v>0</v>
      </c>
    </row>
    <row r="2808" spans="1:2" x14ac:dyDescent="0.25">
      <c r="A2808" t="s">
        <v>3435</v>
      </c>
      <c r="B2808" s="9">
        <v>0</v>
      </c>
    </row>
    <row r="2809" spans="1:2" x14ac:dyDescent="0.25">
      <c r="A2809" t="s">
        <v>3436</v>
      </c>
      <c r="B2809" s="9">
        <v>0</v>
      </c>
    </row>
    <row r="2810" spans="1:2" x14ac:dyDescent="0.25">
      <c r="A2810" t="s">
        <v>3437</v>
      </c>
      <c r="B2810" s="9">
        <v>0</v>
      </c>
    </row>
    <row r="2811" spans="1:2" x14ac:dyDescent="0.25">
      <c r="A2811" t="s">
        <v>3438</v>
      </c>
      <c r="B2811" s="9">
        <v>0</v>
      </c>
    </row>
    <row r="2812" spans="1:2" x14ac:dyDescent="0.25">
      <c r="A2812" t="s">
        <v>3439</v>
      </c>
      <c r="B2812" s="9">
        <v>0</v>
      </c>
    </row>
    <row r="2813" spans="1:2" x14ac:dyDescent="0.25">
      <c r="A2813" t="s">
        <v>3440</v>
      </c>
      <c r="B2813" s="9">
        <v>0</v>
      </c>
    </row>
    <row r="2814" spans="1:2" x14ac:dyDescent="0.25">
      <c r="A2814" t="s">
        <v>3441</v>
      </c>
      <c r="B2814" s="9">
        <v>0</v>
      </c>
    </row>
    <row r="2815" spans="1:2" x14ac:dyDescent="0.25">
      <c r="A2815" t="s">
        <v>3442</v>
      </c>
      <c r="B2815" s="9">
        <v>0</v>
      </c>
    </row>
    <row r="2816" spans="1:2" x14ac:dyDescent="0.25">
      <c r="A2816" t="s">
        <v>3443</v>
      </c>
      <c r="B2816" s="9">
        <v>0</v>
      </c>
    </row>
    <row r="2817" spans="1:2" x14ac:dyDescent="0.25">
      <c r="A2817" t="s">
        <v>3444</v>
      </c>
      <c r="B2817" s="9">
        <v>0</v>
      </c>
    </row>
    <row r="2818" spans="1:2" x14ac:dyDescent="0.25">
      <c r="A2818" t="s">
        <v>3445</v>
      </c>
      <c r="B2818" s="9">
        <v>0</v>
      </c>
    </row>
    <row r="2819" spans="1:2" x14ac:dyDescent="0.25">
      <c r="A2819" t="s">
        <v>3446</v>
      </c>
      <c r="B2819" s="9">
        <v>0</v>
      </c>
    </row>
    <row r="2820" spans="1:2" x14ac:dyDescent="0.25">
      <c r="A2820" t="s">
        <v>3447</v>
      </c>
      <c r="B2820" s="9">
        <v>0</v>
      </c>
    </row>
    <row r="2821" spans="1:2" x14ac:dyDescent="0.25">
      <c r="A2821" t="s">
        <v>3448</v>
      </c>
      <c r="B2821" s="9">
        <v>0</v>
      </c>
    </row>
    <row r="2822" spans="1:2" x14ac:dyDescent="0.25">
      <c r="A2822" t="s">
        <v>3449</v>
      </c>
      <c r="B2822" s="9">
        <v>0</v>
      </c>
    </row>
    <row r="2823" spans="1:2" x14ac:dyDescent="0.25">
      <c r="A2823" t="s">
        <v>3450</v>
      </c>
      <c r="B2823" s="9">
        <v>0</v>
      </c>
    </row>
    <row r="2824" spans="1:2" x14ac:dyDescent="0.25">
      <c r="A2824" t="s">
        <v>3451</v>
      </c>
      <c r="B2824" s="9">
        <v>0</v>
      </c>
    </row>
    <row r="2825" spans="1:2" x14ac:dyDescent="0.25">
      <c r="A2825" t="s">
        <v>3452</v>
      </c>
      <c r="B2825" s="9">
        <v>0</v>
      </c>
    </row>
    <row r="2826" spans="1:2" x14ac:dyDescent="0.25">
      <c r="A2826" t="s">
        <v>3453</v>
      </c>
      <c r="B2826" s="9">
        <v>0</v>
      </c>
    </row>
    <row r="2827" spans="1:2" x14ac:dyDescent="0.25">
      <c r="A2827" t="s">
        <v>3454</v>
      </c>
      <c r="B2827" s="9">
        <v>0</v>
      </c>
    </row>
    <row r="2828" spans="1:2" x14ac:dyDescent="0.25">
      <c r="A2828" t="s">
        <v>3455</v>
      </c>
      <c r="B2828" s="9">
        <v>0</v>
      </c>
    </row>
    <row r="2829" spans="1:2" x14ac:dyDescent="0.25">
      <c r="A2829" t="s">
        <v>3456</v>
      </c>
      <c r="B2829" s="9">
        <v>0</v>
      </c>
    </row>
    <row r="2830" spans="1:2" x14ac:dyDescent="0.25">
      <c r="A2830" t="s">
        <v>3457</v>
      </c>
      <c r="B2830" s="9">
        <v>0</v>
      </c>
    </row>
    <row r="2831" spans="1:2" x14ac:dyDescent="0.25">
      <c r="A2831" t="s">
        <v>3458</v>
      </c>
      <c r="B2831" s="9">
        <v>0</v>
      </c>
    </row>
    <row r="2832" spans="1:2" x14ac:dyDescent="0.25">
      <c r="A2832" t="s">
        <v>3459</v>
      </c>
      <c r="B2832" s="9">
        <v>0</v>
      </c>
    </row>
    <row r="2833" spans="1:2" x14ac:dyDescent="0.25">
      <c r="A2833" t="s">
        <v>3460</v>
      </c>
      <c r="B2833" s="9">
        <v>0</v>
      </c>
    </row>
    <row r="2834" spans="1:2" x14ac:dyDescent="0.25">
      <c r="A2834" t="s">
        <v>3461</v>
      </c>
      <c r="B2834" s="9">
        <v>0</v>
      </c>
    </row>
    <row r="2835" spans="1:2" x14ac:dyDescent="0.25">
      <c r="A2835" t="s">
        <v>3462</v>
      </c>
      <c r="B2835" s="9">
        <v>0</v>
      </c>
    </row>
    <row r="2836" spans="1:2" x14ac:dyDescent="0.25">
      <c r="A2836" t="s">
        <v>3463</v>
      </c>
      <c r="B2836" s="9">
        <v>0</v>
      </c>
    </row>
    <row r="2837" spans="1:2" x14ac:dyDescent="0.25">
      <c r="A2837" t="s">
        <v>3464</v>
      </c>
      <c r="B2837" s="9">
        <v>0</v>
      </c>
    </row>
    <row r="2838" spans="1:2" x14ac:dyDescent="0.25">
      <c r="A2838" t="s">
        <v>3465</v>
      </c>
      <c r="B2838" s="9">
        <v>0</v>
      </c>
    </row>
    <row r="2839" spans="1:2" x14ac:dyDescent="0.25">
      <c r="A2839" t="s">
        <v>3466</v>
      </c>
      <c r="B2839" s="9">
        <v>0</v>
      </c>
    </row>
    <row r="2840" spans="1:2" x14ac:dyDescent="0.25">
      <c r="A2840" t="s">
        <v>3467</v>
      </c>
      <c r="B2840" s="9">
        <v>0</v>
      </c>
    </row>
    <row r="2841" spans="1:2" x14ac:dyDescent="0.25">
      <c r="A2841" t="s">
        <v>3468</v>
      </c>
      <c r="B2841" s="9">
        <v>0</v>
      </c>
    </row>
    <row r="2842" spans="1:2" x14ac:dyDescent="0.25">
      <c r="A2842" t="s">
        <v>3469</v>
      </c>
      <c r="B2842" s="9">
        <v>0</v>
      </c>
    </row>
    <row r="2843" spans="1:2" x14ac:dyDescent="0.25">
      <c r="A2843" t="s">
        <v>3470</v>
      </c>
      <c r="B2843" s="9">
        <v>0</v>
      </c>
    </row>
    <row r="2844" spans="1:2" x14ac:dyDescent="0.25">
      <c r="A2844" t="s">
        <v>3471</v>
      </c>
      <c r="B2844" s="9">
        <v>0</v>
      </c>
    </row>
    <row r="2845" spans="1:2" x14ac:dyDescent="0.25">
      <c r="A2845" t="s">
        <v>3472</v>
      </c>
      <c r="B2845" s="9">
        <v>0</v>
      </c>
    </row>
    <row r="2846" spans="1:2" x14ac:dyDescent="0.25">
      <c r="A2846" t="s">
        <v>3473</v>
      </c>
      <c r="B2846" s="9">
        <v>0</v>
      </c>
    </row>
    <row r="2847" spans="1:2" x14ac:dyDescent="0.25">
      <c r="A2847" t="s">
        <v>3474</v>
      </c>
      <c r="B2847" s="9">
        <v>0</v>
      </c>
    </row>
    <row r="2848" spans="1:2" x14ac:dyDescent="0.25">
      <c r="A2848" t="s">
        <v>3475</v>
      </c>
      <c r="B2848" s="9">
        <v>0</v>
      </c>
    </row>
    <row r="2849" spans="1:2" x14ac:dyDescent="0.25">
      <c r="A2849" t="s">
        <v>3476</v>
      </c>
      <c r="B2849" s="9">
        <v>0</v>
      </c>
    </row>
    <row r="2850" spans="1:2" x14ac:dyDescent="0.25">
      <c r="A2850" t="s">
        <v>3477</v>
      </c>
      <c r="B2850" s="9">
        <v>0</v>
      </c>
    </row>
    <row r="2851" spans="1:2" x14ac:dyDescent="0.25">
      <c r="A2851" t="s">
        <v>3478</v>
      </c>
      <c r="B2851" s="9">
        <v>0</v>
      </c>
    </row>
    <row r="2852" spans="1:2" x14ac:dyDescent="0.25">
      <c r="A2852" t="s">
        <v>3479</v>
      </c>
      <c r="B2852" s="9">
        <v>0</v>
      </c>
    </row>
    <row r="2853" spans="1:2" x14ac:dyDescent="0.25">
      <c r="A2853" t="s">
        <v>3480</v>
      </c>
      <c r="B2853" s="9">
        <v>0</v>
      </c>
    </row>
    <row r="2854" spans="1:2" x14ac:dyDescent="0.25">
      <c r="A2854" t="s">
        <v>3481</v>
      </c>
      <c r="B2854" s="9">
        <v>0</v>
      </c>
    </row>
    <row r="2855" spans="1:2" x14ac:dyDescent="0.25">
      <c r="A2855" t="s">
        <v>3482</v>
      </c>
      <c r="B2855" s="9">
        <v>0</v>
      </c>
    </row>
    <row r="2856" spans="1:2" x14ac:dyDescent="0.25">
      <c r="A2856" t="s">
        <v>3483</v>
      </c>
      <c r="B2856" s="9">
        <v>0</v>
      </c>
    </row>
    <row r="2857" spans="1:2" x14ac:dyDescent="0.25">
      <c r="A2857" t="s">
        <v>3484</v>
      </c>
      <c r="B2857" s="9">
        <v>0</v>
      </c>
    </row>
    <row r="2858" spans="1:2" x14ac:dyDescent="0.25">
      <c r="A2858" t="s">
        <v>3485</v>
      </c>
      <c r="B2858" s="9">
        <v>0</v>
      </c>
    </row>
    <row r="2859" spans="1:2" x14ac:dyDescent="0.25">
      <c r="A2859" t="s">
        <v>3486</v>
      </c>
      <c r="B2859" s="9">
        <v>0</v>
      </c>
    </row>
    <row r="2860" spans="1:2" x14ac:dyDescent="0.25">
      <c r="A2860" t="s">
        <v>3487</v>
      </c>
      <c r="B2860" s="9">
        <v>0</v>
      </c>
    </row>
    <row r="2861" spans="1:2" x14ac:dyDescent="0.25">
      <c r="A2861" t="s">
        <v>3488</v>
      </c>
      <c r="B2861" s="9">
        <v>0</v>
      </c>
    </row>
    <row r="2862" spans="1:2" x14ac:dyDescent="0.25">
      <c r="A2862" t="s">
        <v>3489</v>
      </c>
      <c r="B2862" s="9">
        <v>0</v>
      </c>
    </row>
    <row r="2863" spans="1:2" x14ac:dyDescent="0.25">
      <c r="A2863" t="s">
        <v>3490</v>
      </c>
      <c r="B2863" s="9">
        <v>0</v>
      </c>
    </row>
    <row r="2864" spans="1:2" x14ac:dyDescent="0.25">
      <c r="A2864" t="s">
        <v>3491</v>
      </c>
      <c r="B2864" s="9">
        <v>0</v>
      </c>
    </row>
    <row r="2865" spans="1:2" x14ac:dyDescent="0.25">
      <c r="A2865" t="s">
        <v>3492</v>
      </c>
      <c r="B2865" s="9">
        <v>0</v>
      </c>
    </row>
    <row r="2866" spans="1:2" x14ac:dyDescent="0.25">
      <c r="A2866" t="s">
        <v>3493</v>
      </c>
      <c r="B2866" s="9">
        <v>0</v>
      </c>
    </row>
    <row r="2867" spans="1:2" x14ac:dyDescent="0.25">
      <c r="A2867" t="s">
        <v>3493</v>
      </c>
      <c r="B2867" s="9">
        <v>0</v>
      </c>
    </row>
    <row r="2868" spans="1:2" x14ac:dyDescent="0.25">
      <c r="A2868" t="s">
        <v>3494</v>
      </c>
      <c r="B2868" s="9">
        <v>0</v>
      </c>
    </row>
    <row r="2869" spans="1:2" x14ac:dyDescent="0.25">
      <c r="A2869" t="s">
        <v>3495</v>
      </c>
      <c r="B2869" s="9">
        <v>0</v>
      </c>
    </row>
    <row r="2870" spans="1:2" x14ac:dyDescent="0.25">
      <c r="A2870" t="s">
        <v>3496</v>
      </c>
      <c r="B2870" s="9">
        <v>0</v>
      </c>
    </row>
    <row r="2871" spans="1:2" x14ac:dyDescent="0.25">
      <c r="A2871" t="s">
        <v>3497</v>
      </c>
      <c r="B2871" s="9">
        <v>0</v>
      </c>
    </row>
    <row r="2872" spans="1:2" x14ac:dyDescent="0.25">
      <c r="A2872" t="s">
        <v>3498</v>
      </c>
      <c r="B2872" s="9">
        <v>0</v>
      </c>
    </row>
    <row r="2873" spans="1:2" x14ac:dyDescent="0.25">
      <c r="A2873" t="s">
        <v>3499</v>
      </c>
      <c r="B2873" s="9">
        <v>0</v>
      </c>
    </row>
    <row r="2874" spans="1:2" x14ac:dyDescent="0.25">
      <c r="A2874" t="s">
        <v>3500</v>
      </c>
      <c r="B2874" s="9">
        <v>0</v>
      </c>
    </row>
    <row r="2875" spans="1:2" x14ac:dyDescent="0.25">
      <c r="A2875" t="s">
        <v>3501</v>
      </c>
      <c r="B2875" s="9">
        <v>0</v>
      </c>
    </row>
    <row r="2876" spans="1:2" x14ac:dyDescent="0.25">
      <c r="A2876" t="s">
        <v>3502</v>
      </c>
      <c r="B2876" s="9">
        <v>0</v>
      </c>
    </row>
    <row r="2877" spans="1:2" x14ac:dyDescent="0.25">
      <c r="A2877" t="s">
        <v>3503</v>
      </c>
      <c r="B2877" s="9">
        <v>0</v>
      </c>
    </row>
    <row r="2878" spans="1:2" x14ac:dyDescent="0.25">
      <c r="A2878" t="s">
        <v>3504</v>
      </c>
      <c r="B2878" s="9">
        <v>0</v>
      </c>
    </row>
    <row r="2879" spans="1:2" x14ac:dyDescent="0.25">
      <c r="A2879" t="s">
        <v>3505</v>
      </c>
      <c r="B2879" s="9">
        <v>0</v>
      </c>
    </row>
    <row r="2880" spans="1:2" x14ac:dyDescent="0.25">
      <c r="A2880" t="s">
        <v>3506</v>
      </c>
      <c r="B2880" s="9">
        <v>0</v>
      </c>
    </row>
    <row r="2881" spans="1:2" x14ac:dyDescent="0.25">
      <c r="A2881" t="s">
        <v>3507</v>
      </c>
      <c r="B2881" s="9">
        <v>0</v>
      </c>
    </row>
    <row r="2882" spans="1:2" x14ac:dyDescent="0.25">
      <c r="A2882" t="s">
        <v>3508</v>
      </c>
      <c r="B2882" s="9">
        <v>0</v>
      </c>
    </row>
    <row r="2883" spans="1:2" x14ac:dyDescent="0.25">
      <c r="A2883" t="s">
        <v>3509</v>
      </c>
      <c r="B2883" s="9">
        <v>0</v>
      </c>
    </row>
    <row r="2884" spans="1:2" x14ac:dyDescent="0.25">
      <c r="A2884" t="s">
        <v>3510</v>
      </c>
      <c r="B2884" s="9">
        <v>0</v>
      </c>
    </row>
    <row r="2885" spans="1:2" x14ac:dyDescent="0.25">
      <c r="A2885" t="s">
        <v>3511</v>
      </c>
      <c r="B2885" s="9">
        <v>0</v>
      </c>
    </row>
    <row r="2886" spans="1:2" x14ac:dyDescent="0.25">
      <c r="A2886" t="s">
        <v>3512</v>
      </c>
      <c r="B2886" s="9">
        <v>0</v>
      </c>
    </row>
    <row r="2887" spans="1:2" x14ac:dyDescent="0.25">
      <c r="A2887" t="s">
        <v>3513</v>
      </c>
      <c r="B2887" s="9">
        <v>0</v>
      </c>
    </row>
    <row r="2888" spans="1:2" x14ac:dyDescent="0.25">
      <c r="A2888" t="s">
        <v>3514</v>
      </c>
      <c r="B2888" s="9">
        <v>0</v>
      </c>
    </row>
    <row r="2889" spans="1:2" x14ac:dyDescent="0.25">
      <c r="A2889" t="s">
        <v>3515</v>
      </c>
      <c r="B2889" s="9">
        <v>0</v>
      </c>
    </row>
    <row r="2890" spans="1:2" x14ac:dyDescent="0.25">
      <c r="A2890" t="s">
        <v>3516</v>
      </c>
      <c r="B2890" s="9">
        <v>0</v>
      </c>
    </row>
    <row r="2891" spans="1:2" x14ac:dyDescent="0.25">
      <c r="A2891" t="s">
        <v>3517</v>
      </c>
      <c r="B2891" s="9">
        <v>0</v>
      </c>
    </row>
    <row r="2892" spans="1:2" x14ac:dyDescent="0.25">
      <c r="A2892" t="s">
        <v>3518</v>
      </c>
      <c r="B2892" s="9">
        <v>0</v>
      </c>
    </row>
    <row r="2893" spans="1:2" x14ac:dyDescent="0.25">
      <c r="A2893" t="s">
        <v>3519</v>
      </c>
      <c r="B2893" s="9">
        <v>0</v>
      </c>
    </row>
    <row r="2894" spans="1:2" x14ac:dyDescent="0.25">
      <c r="A2894" t="s">
        <v>3520</v>
      </c>
      <c r="B2894" s="9">
        <v>0</v>
      </c>
    </row>
    <row r="2895" spans="1:2" x14ac:dyDescent="0.25">
      <c r="A2895" t="s">
        <v>3521</v>
      </c>
      <c r="B2895" s="9">
        <v>0</v>
      </c>
    </row>
    <row r="2896" spans="1:2" x14ac:dyDescent="0.25">
      <c r="A2896" t="s">
        <v>3522</v>
      </c>
      <c r="B2896" s="9">
        <v>0</v>
      </c>
    </row>
    <row r="2897" spans="1:2" x14ac:dyDescent="0.25">
      <c r="A2897" t="s">
        <v>3523</v>
      </c>
      <c r="B2897" s="9">
        <v>0</v>
      </c>
    </row>
    <row r="2898" spans="1:2" x14ac:dyDescent="0.25">
      <c r="A2898" t="s">
        <v>3524</v>
      </c>
      <c r="B2898" s="9">
        <v>0</v>
      </c>
    </row>
    <row r="2899" spans="1:2" x14ac:dyDescent="0.25">
      <c r="A2899" t="s">
        <v>3525</v>
      </c>
      <c r="B2899" s="9">
        <v>0</v>
      </c>
    </row>
    <row r="2900" spans="1:2" x14ac:dyDescent="0.25">
      <c r="A2900" t="s">
        <v>3526</v>
      </c>
      <c r="B2900" s="9">
        <v>0</v>
      </c>
    </row>
    <row r="2901" spans="1:2" x14ac:dyDescent="0.25">
      <c r="A2901" t="s">
        <v>3527</v>
      </c>
      <c r="B2901" s="9">
        <v>0</v>
      </c>
    </row>
    <row r="2902" spans="1:2" x14ac:dyDescent="0.25">
      <c r="A2902" t="s">
        <v>3528</v>
      </c>
      <c r="B2902" s="9">
        <v>0</v>
      </c>
    </row>
    <row r="2903" spans="1:2" x14ac:dyDescent="0.25">
      <c r="A2903" t="s">
        <v>3529</v>
      </c>
      <c r="B2903" s="9">
        <v>0</v>
      </c>
    </row>
    <row r="2904" spans="1:2" x14ac:dyDescent="0.25">
      <c r="A2904" t="s">
        <v>3530</v>
      </c>
      <c r="B2904" s="9">
        <v>0</v>
      </c>
    </row>
    <row r="2905" spans="1:2" x14ac:dyDescent="0.25">
      <c r="A2905" t="s">
        <v>3531</v>
      </c>
      <c r="B2905" s="9">
        <v>0</v>
      </c>
    </row>
    <row r="2906" spans="1:2" x14ac:dyDescent="0.25">
      <c r="A2906" t="s">
        <v>3532</v>
      </c>
      <c r="B2906" s="9">
        <v>0</v>
      </c>
    </row>
    <row r="2907" spans="1:2" x14ac:dyDescent="0.25">
      <c r="A2907" t="s">
        <v>3533</v>
      </c>
      <c r="B2907" s="9">
        <v>0</v>
      </c>
    </row>
    <row r="2908" spans="1:2" x14ac:dyDescent="0.25">
      <c r="A2908" t="s">
        <v>3534</v>
      </c>
      <c r="B2908" s="9">
        <v>0</v>
      </c>
    </row>
    <row r="2909" spans="1:2" x14ac:dyDescent="0.25">
      <c r="A2909" t="s">
        <v>3535</v>
      </c>
      <c r="B2909" s="9">
        <v>0</v>
      </c>
    </row>
    <row r="2910" spans="1:2" x14ac:dyDescent="0.25">
      <c r="A2910" t="s">
        <v>3536</v>
      </c>
      <c r="B2910" s="9">
        <v>0</v>
      </c>
    </row>
    <row r="2911" spans="1:2" x14ac:dyDescent="0.25">
      <c r="A2911" t="s">
        <v>3537</v>
      </c>
      <c r="B2911" s="9">
        <v>0</v>
      </c>
    </row>
    <row r="2912" spans="1:2" x14ac:dyDescent="0.25">
      <c r="A2912" t="s">
        <v>3538</v>
      </c>
      <c r="B2912" s="9">
        <v>0</v>
      </c>
    </row>
    <row r="2913" spans="1:2" x14ac:dyDescent="0.25">
      <c r="A2913" t="s">
        <v>3539</v>
      </c>
      <c r="B2913" s="9">
        <v>0</v>
      </c>
    </row>
    <row r="2914" spans="1:2" x14ac:dyDescent="0.25">
      <c r="A2914" t="s">
        <v>3540</v>
      </c>
      <c r="B2914" s="9">
        <v>0</v>
      </c>
    </row>
    <row r="2915" spans="1:2" x14ac:dyDescent="0.25">
      <c r="A2915" t="s">
        <v>3541</v>
      </c>
      <c r="B2915" s="9">
        <v>0</v>
      </c>
    </row>
    <row r="2916" spans="1:2" x14ac:dyDescent="0.25">
      <c r="A2916" t="s">
        <v>3542</v>
      </c>
      <c r="B2916" s="9">
        <v>0</v>
      </c>
    </row>
    <row r="2917" spans="1:2" x14ac:dyDescent="0.25">
      <c r="A2917" t="s">
        <v>3543</v>
      </c>
      <c r="B2917" s="9">
        <v>0</v>
      </c>
    </row>
    <row r="2918" spans="1:2" x14ac:dyDescent="0.25">
      <c r="A2918" t="s">
        <v>3544</v>
      </c>
      <c r="B2918" s="9">
        <v>0</v>
      </c>
    </row>
    <row r="2919" spans="1:2" x14ac:dyDescent="0.25">
      <c r="A2919" t="s">
        <v>3545</v>
      </c>
      <c r="B2919" s="9">
        <v>0</v>
      </c>
    </row>
    <row r="2920" spans="1:2" x14ac:dyDescent="0.25">
      <c r="A2920" t="s">
        <v>3546</v>
      </c>
      <c r="B2920" s="9">
        <v>0</v>
      </c>
    </row>
    <row r="2921" spans="1:2" x14ac:dyDescent="0.25">
      <c r="A2921" t="s">
        <v>3547</v>
      </c>
      <c r="B2921" s="9">
        <v>0</v>
      </c>
    </row>
    <row r="2922" spans="1:2" x14ac:dyDescent="0.25">
      <c r="A2922" t="s">
        <v>3548</v>
      </c>
      <c r="B2922" s="9">
        <v>0</v>
      </c>
    </row>
    <row r="2923" spans="1:2" x14ac:dyDescent="0.25">
      <c r="A2923" t="s">
        <v>3549</v>
      </c>
      <c r="B2923" s="9">
        <v>0</v>
      </c>
    </row>
    <row r="2924" spans="1:2" x14ac:dyDescent="0.25">
      <c r="A2924" t="s">
        <v>3550</v>
      </c>
      <c r="B2924" s="9">
        <v>0</v>
      </c>
    </row>
    <row r="2925" spans="1:2" x14ac:dyDescent="0.25">
      <c r="A2925" t="s">
        <v>3551</v>
      </c>
      <c r="B2925" s="9">
        <v>0</v>
      </c>
    </row>
    <row r="2926" spans="1:2" x14ac:dyDescent="0.25">
      <c r="A2926" t="s">
        <v>3552</v>
      </c>
      <c r="B2926" s="9">
        <v>0</v>
      </c>
    </row>
    <row r="2927" spans="1:2" x14ac:dyDescent="0.25">
      <c r="A2927" t="s">
        <v>3553</v>
      </c>
      <c r="B2927" s="9">
        <v>0</v>
      </c>
    </row>
    <row r="2928" spans="1:2" x14ac:dyDescent="0.25">
      <c r="A2928" t="s">
        <v>3554</v>
      </c>
      <c r="B2928" s="9">
        <v>0</v>
      </c>
    </row>
    <row r="2929" spans="1:2" x14ac:dyDescent="0.25">
      <c r="A2929" t="s">
        <v>3555</v>
      </c>
      <c r="B2929" s="9">
        <v>0</v>
      </c>
    </row>
    <row r="2930" spans="1:2" x14ac:dyDescent="0.25">
      <c r="A2930" t="s">
        <v>3556</v>
      </c>
      <c r="B2930" s="9">
        <v>0</v>
      </c>
    </row>
    <row r="2931" spans="1:2" x14ac:dyDescent="0.25">
      <c r="A2931" t="s">
        <v>3557</v>
      </c>
      <c r="B2931" s="9">
        <v>0</v>
      </c>
    </row>
    <row r="2932" spans="1:2" x14ac:dyDescent="0.25">
      <c r="A2932" t="s">
        <v>3558</v>
      </c>
      <c r="B2932" s="9">
        <v>0</v>
      </c>
    </row>
    <row r="2933" spans="1:2" x14ac:dyDescent="0.25">
      <c r="A2933" t="s">
        <v>3559</v>
      </c>
      <c r="B2933" s="9">
        <v>0</v>
      </c>
    </row>
    <row r="2934" spans="1:2" x14ac:dyDescent="0.25">
      <c r="A2934" t="s">
        <v>3560</v>
      </c>
      <c r="B2934" s="9">
        <v>0</v>
      </c>
    </row>
    <row r="2935" spans="1:2" x14ac:dyDescent="0.25">
      <c r="A2935" t="s">
        <v>3561</v>
      </c>
      <c r="B2935" s="9">
        <v>0</v>
      </c>
    </row>
    <row r="2936" spans="1:2" x14ac:dyDescent="0.25">
      <c r="A2936" t="s">
        <v>3562</v>
      </c>
      <c r="B2936" s="9">
        <v>0</v>
      </c>
    </row>
    <row r="2937" spans="1:2" x14ac:dyDescent="0.25">
      <c r="A2937" t="s">
        <v>3563</v>
      </c>
      <c r="B2937" s="9">
        <v>0</v>
      </c>
    </row>
    <row r="2938" spans="1:2" x14ac:dyDescent="0.25">
      <c r="A2938" t="s">
        <v>3564</v>
      </c>
      <c r="B2938" s="9">
        <v>0</v>
      </c>
    </row>
    <row r="2939" spans="1:2" x14ac:dyDescent="0.25">
      <c r="A2939" t="s">
        <v>3565</v>
      </c>
      <c r="B2939" s="9">
        <v>0</v>
      </c>
    </row>
    <row r="2940" spans="1:2" x14ac:dyDescent="0.25">
      <c r="A2940" t="s">
        <v>3566</v>
      </c>
      <c r="B2940" s="9">
        <v>0</v>
      </c>
    </row>
    <row r="2941" spans="1:2" x14ac:dyDescent="0.25">
      <c r="A2941" t="s">
        <v>3567</v>
      </c>
      <c r="B2941" s="9">
        <v>0</v>
      </c>
    </row>
    <row r="2942" spans="1:2" x14ac:dyDescent="0.25">
      <c r="A2942" t="s">
        <v>3568</v>
      </c>
      <c r="B2942" s="9">
        <v>0</v>
      </c>
    </row>
    <row r="2943" spans="1:2" x14ac:dyDescent="0.25">
      <c r="A2943" t="s">
        <v>3569</v>
      </c>
      <c r="B2943" s="9">
        <v>0</v>
      </c>
    </row>
    <row r="2944" spans="1:2" x14ac:dyDescent="0.25">
      <c r="A2944" t="s">
        <v>3570</v>
      </c>
      <c r="B2944" s="9">
        <v>0</v>
      </c>
    </row>
    <row r="2945" spans="1:2" x14ac:dyDescent="0.25">
      <c r="A2945" t="s">
        <v>3571</v>
      </c>
      <c r="B2945" s="9">
        <v>0</v>
      </c>
    </row>
    <row r="2946" spans="1:2" x14ac:dyDescent="0.25">
      <c r="A2946" t="s">
        <v>3572</v>
      </c>
      <c r="B2946" s="9">
        <v>0</v>
      </c>
    </row>
    <row r="2947" spans="1:2" x14ac:dyDescent="0.25">
      <c r="A2947" t="s">
        <v>3573</v>
      </c>
      <c r="B2947" s="9">
        <v>0</v>
      </c>
    </row>
    <row r="2948" spans="1:2" x14ac:dyDescent="0.25">
      <c r="A2948" t="s">
        <v>3574</v>
      </c>
      <c r="B2948" s="9">
        <v>0</v>
      </c>
    </row>
    <row r="2949" spans="1:2" x14ac:dyDescent="0.25">
      <c r="A2949" t="s">
        <v>3575</v>
      </c>
      <c r="B2949" s="9">
        <v>0</v>
      </c>
    </row>
    <row r="2950" spans="1:2" x14ac:dyDescent="0.25">
      <c r="A2950" t="s">
        <v>3576</v>
      </c>
      <c r="B2950" s="9">
        <v>0</v>
      </c>
    </row>
    <row r="2951" spans="1:2" x14ac:dyDescent="0.25">
      <c r="A2951" t="s">
        <v>3577</v>
      </c>
      <c r="B2951" s="9">
        <v>0</v>
      </c>
    </row>
    <row r="2952" spans="1:2" x14ac:dyDescent="0.25">
      <c r="A2952" t="s">
        <v>3578</v>
      </c>
      <c r="B2952" s="9">
        <v>0</v>
      </c>
    </row>
    <row r="2953" spans="1:2" x14ac:dyDescent="0.25">
      <c r="A2953" t="s">
        <v>3579</v>
      </c>
      <c r="B2953" s="9">
        <v>0</v>
      </c>
    </row>
    <row r="2954" spans="1:2" x14ac:dyDescent="0.25">
      <c r="A2954" t="s">
        <v>3580</v>
      </c>
      <c r="B2954" s="9">
        <v>0</v>
      </c>
    </row>
    <row r="2955" spans="1:2" x14ac:dyDescent="0.25">
      <c r="A2955" t="s">
        <v>3581</v>
      </c>
      <c r="B2955" s="9">
        <v>0</v>
      </c>
    </row>
    <row r="2956" spans="1:2" x14ac:dyDescent="0.25">
      <c r="A2956" t="s">
        <v>3582</v>
      </c>
      <c r="B2956" s="9">
        <v>0</v>
      </c>
    </row>
    <row r="2957" spans="1:2" x14ac:dyDescent="0.25">
      <c r="A2957" t="s">
        <v>3583</v>
      </c>
      <c r="B2957" s="9">
        <v>0</v>
      </c>
    </row>
    <row r="2958" spans="1:2" x14ac:dyDescent="0.25">
      <c r="A2958" t="s">
        <v>3584</v>
      </c>
      <c r="B2958" s="9">
        <v>0</v>
      </c>
    </row>
    <row r="2959" spans="1:2" x14ac:dyDescent="0.25">
      <c r="A2959" t="s">
        <v>3585</v>
      </c>
      <c r="B2959" s="9">
        <v>0</v>
      </c>
    </row>
    <row r="2960" spans="1:2" x14ac:dyDescent="0.25">
      <c r="A2960" t="s">
        <v>3586</v>
      </c>
      <c r="B2960" s="9">
        <v>0</v>
      </c>
    </row>
    <row r="2961" spans="1:2" x14ac:dyDescent="0.25">
      <c r="A2961" t="s">
        <v>3587</v>
      </c>
      <c r="B2961" s="9">
        <v>0</v>
      </c>
    </row>
    <row r="2962" spans="1:2" x14ac:dyDescent="0.25">
      <c r="A2962" t="s">
        <v>3588</v>
      </c>
      <c r="B2962" s="9">
        <v>0</v>
      </c>
    </row>
    <row r="2963" spans="1:2" x14ac:dyDescent="0.25">
      <c r="A2963" t="s">
        <v>3589</v>
      </c>
      <c r="B2963" s="9">
        <v>0</v>
      </c>
    </row>
    <row r="2964" spans="1:2" x14ac:dyDescent="0.25">
      <c r="A2964" t="s">
        <v>3590</v>
      </c>
      <c r="B2964" s="9">
        <v>0</v>
      </c>
    </row>
    <row r="2965" spans="1:2" x14ac:dyDescent="0.25">
      <c r="A2965" t="s">
        <v>3591</v>
      </c>
      <c r="B2965" s="9">
        <v>0</v>
      </c>
    </row>
    <row r="2966" spans="1:2" x14ac:dyDescent="0.25">
      <c r="A2966" t="s">
        <v>3592</v>
      </c>
      <c r="B2966" s="9">
        <v>0</v>
      </c>
    </row>
    <row r="2967" spans="1:2" x14ac:dyDescent="0.25">
      <c r="A2967" t="s">
        <v>3593</v>
      </c>
      <c r="B2967" s="9">
        <v>0</v>
      </c>
    </row>
    <row r="2968" spans="1:2" x14ac:dyDescent="0.25">
      <c r="A2968" t="s">
        <v>3594</v>
      </c>
      <c r="B2968" s="9">
        <v>0</v>
      </c>
    </row>
    <row r="2969" spans="1:2" x14ac:dyDescent="0.25">
      <c r="A2969" t="s">
        <v>3595</v>
      </c>
      <c r="B2969" s="9">
        <v>0</v>
      </c>
    </row>
    <row r="2970" spans="1:2" x14ac:dyDescent="0.25">
      <c r="A2970" t="s">
        <v>3596</v>
      </c>
      <c r="B2970" s="9">
        <v>0</v>
      </c>
    </row>
    <row r="2971" spans="1:2" x14ac:dyDescent="0.25">
      <c r="A2971" t="s">
        <v>3597</v>
      </c>
      <c r="B2971" s="9">
        <v>0</v>
      </c>
    </row>
    <row r="2972" spans="1:2" x14ac:dyDescent="0.25">
      <c r="A2972" t="s">
        <v>3598</v>
      </c>
      <c r="B2972" s="9">
        <v>0</v>
      </c>
    </row>
    <row r="2973" spans="1:2" x14ac:dyDescent="0.25">
      <c r="A2973" t="s">
        <v>3599</v>
      </c>
      <c r="B2973" s="9">
        <v>0</v>
      </c>
    </row>
    <row r="2974" spans="1:2" x14ac:dyDescent="0.25">
      <c r="A2974" t="s">
        <v>3600</v>
      </c>
      <c r="B2974" s="9">
        <v>0</v>
      </c>
    </row>
    <row r="2975" spans="1:2" x14ac:dyDescent="0.25">
      <c r="A2975" t="s">
        <v>3601</v>
      </c>
      <c r="B2975" s="9">
        <v>0</v>
      </c>
    </row>
    <row r="2976" spans="1:2" x14ac:dyDescent="0.25">
      <c r="A2976" t="s">
        <v>3602</v>
      </c>
      <c r="B2976" s="9">
        <v>0</v>
      </c>
    </row>
    <row r="2977" spans="1:2" x14ac:dyDescent="0.25">
      <c r="A2977" t="s">
        <v>3603</v>
      </c>
      <c r="B2977" s="9">
        <v>0</v>
      </c>
    </row>
    <row r="2978" spans="1:2" x14ac:dyDescent="0.25">
      <c r="A2978" t="s">
        <v>3604</v>
      </c>
      <c r="B2978" s="9">
        <v>0</v>
      </c>
    </row>
    <row r="2979" spans="1:2" x14ac:dyDescent="0.25">
      <c r="A2979" t="s">
        <v>3605</v>
      </c>
      <c r="B2979" s="9">
        <v>0</v>
      </c>
    </row>
    <row r="2980" spans="1:2" x14ac:dyDescent="0.25">
      <c r="A2980" t="s">
        <v>3606</v>
      </c>
      <c r="B2980" s="9">
        <v>0</v>
      </c>
    </row>
    <row r="2981" spans="1:2" x14ac:dyDescent="0.25">
      <c r="A2981" t="s">
        <v>3607</v>
      </c>
      <c r="B2981" s="9">
        <v>0</v>
      </c>
    </row>
    <row r="2982" spans="1:2" x14ac:dyDescent="0.25">
      <c r="A2982" t="s">
        <v>3608</v>
      </c>
      <c r="B2982" s="9">
        <v>0</v>
      </c>
    </row>
    <row r="2983" spans="1:2" x14ac:dyDescent="0.25">
      <c r="A2983" t="s">
        <v>3609</v>
      </c>
      <c r="B2983" s="9">
        <v>0</v>
      </c>
    </row>
    <row r="2984" spans="1:2" x14ac:dyDescent="0.25">
      <c r="A2984" t="s">
        <v>3610</v>
      </c>
      <c r="B2984" s="9">
        <v>0</v>
      </c>
    </row>
    <row r="2985" spans="1:2" x14ac:dyDescent="0.25">
      <c r="A2985" t="s">
        <v>3611</v>
      </c>
      <c r="B2985" s="9">
        <v>0</v>
      </c>
    </row>
    <row r="2986" spans="1:2" x14ac:dyDescent="0.25">
      <c r="A2986" t="s">
        <v>3612</v>
      </c>
      <c r="B2986" s="9">
        <v>0</v>
      </c>
    </row>
    <row r="2987" spans="1:2" x14ac:dyDescent="0.25">
      <c r="A2987" t="s">
        <v>3613</v>
      </c>
      <c r="B2987" s="9">
        <v>0</v>
      </c>
    </row>
    <row r="2988" spans="1:2" x14ac:dyDescent="0.25">
      <c r="A2988" t="s">
        <v>3614</v>
      </c>
      <c r="B2988" s="9">
        <v>0</v>
      </c>
    </row>
    <row r="2989" spans="1:2" x14ac:dyDescent="0.25">
      <c r="A2989" t="s">
        <v>3615</v>
      </c>
      <c r="B2989" s="9">
        <v>0</v>
      </c>
    </row>
    <row r="2990" spans="1:2" x14ac:dyDescent="0.25">
      <c r="A2990" t="s">
        <v>3616</v>
      </c>
      <c r="B2990" s="9">
        <v>0</v>
      </c>
    </row>
    <row r="2991" spans="1:2" x14ac:dyDescent="0.25">
      <c r="A2991" t="s">
        <v>3617</v>
      </c>
      <c r="B2991" s="9">
        <v>0</v>
      </c>
    </row>
    <row r="2992" spans="1:2" x14ac:dyDescent="0.25">
      <c r="A2992" t="s">
        <v>3618</v>
      </c>
      <c r="B2992" s="9">
        <v>0</v>
      </c>
    </row>
    <row r="2993" spans="1:2" x14ac:dyDescent="0.25">
      <c r="A2993" t="s">
        <v>3619</v>
      </c>
      <c r="B2993" s="9">
        <v>0</v>
      </c>
    </row>
    <row r="2994" spans="1:2" x14ac:dyDescent="0.25">
      <c r="A2994" t="s">
        <v>3620</v>
      </c>
      <c r="B2994" s="9">
        <v>0</v>
      </c>
    </row>
    <row r="2995" spans="1:2" x14ac:dyDescent="0.25">
      <c r="A2995" t="s">
        <v>3621</v>
      </c>
      <c r="B2995" s="9">
        <v>0</v>
      </c>
    </row>
    <row r="2996" spans="1:2" x14ac:dyDescent="0.25">
      <c r="A2996" t="s">
        <v>3622</v>
      </c>
      <c r="B2996" s="9">
        <v>0</v>
      </c>
    </row>
    <row r="2997" spans="1:2" x14ac:dyDescent="0.25">
      <c r="A2997" t="s">
        <v>3623</v>
      </c>
      <c r="B2997" s="9">
        <v>0</v>
      </c>
    </row>
    <row r="2998" spans="1:2" x14ac:dyDescent="0.25">
      <c r="A2998" t="s">
        <v>3624</v>
      </c>
      <c r="B2998" s="9">
        <v>0</v>
      </c>
    </row>
    <row r="2999" spans="1:2" x14ac:dyDescent="0.25">
      <c r="A2999" t="s">
        <v>3625</v>
      </c>
      <c r="B2999" s="9">
        <v>0</v>
      </c>
    </row>
    <row r="3000" spans="1:2" x14ac:dyDescent="0.25">
      <c r="A3000" t="s">
        <v>3626</v>
      </c>
      <c r="B3000" s="9">
        <v>0</v>
      </c>
    </row>
    <row r="3001" spans="1:2" x14ac:dyDescent="0.25">
      <c r="A3001" t="s">
        <v>3627</v>
      </c>
      <c r="B3001" s="9">
        <v>0</v>
      </c>
    </row>
    <row r="3002" spans="1:2" x14ac:dyDescent="0.25">
      <c r="A3002" t="s">
        <v>3628</v>
      </c>
      <c r="B3002" s="9">
        <v>0</v>
      </c>
    </row>
    <row r="3003" spans="1:2" x14ac:dyDescent="0.25">
      <c r="A3003" t="s">
        <v>3629</v>
      </c>
      <c r="B3003" s="9">
        <v>0</v>
      </c>
    </row>
    <row r="3004" spans="1:2" x14ac:dyDescent="0.25">
      <c r="A3004" t="s">
        <v>3630</v>
      </c>
      <c r="B3004" s="9">
        <v>0</v>
      </c>
    </row>
    <row r="3005" spans="1:2" x14ac:dyDescent="0.25">
      <c r="A3005" t="s">
        <v>3631</v>
      </c>
      <c r="B3005" s="9">
        <v>0</v>
      </c>
    </row>
    <row r="3006" spans="1:2" x14ac:dyDescent="0.25">
      <c r="A3006" t="s">
        <v>3632</v>
      </c>
      <c r="B3006" s="9">
        <v>0</v>
      </c>
    </row>
    <row r="3007" spans="1:2" x14ac:dyDescent="0.25">
      <c r="A3007" t="s">
        <v>3633</v>
      </c>
      <c r="B3007" s="9">
        <v>0</v>
      </c>
    </row>
    <row r="3008" spans="1:2" x14ac:dyDescent="0.25">
      <c r="A3008" t="s">
        <v>3634</v>
      </c>
      <c r="B3008" s="9">
        <v>0</v>
      </c>
    </row>
    <row r="3009" spans="1:2" x14ac:dyDescent="0.25">
      <c r="A3009" t="s">
        <v>3635</v>
      </c>
      <c r="B3009" s="9">
        <v>0</v>
      </c>
    </row>
    <row r="3010" spans="1:2" x14ac:dyDescent="0.25">
      <c r="A3010" t="s">
        <v>3636</v>
      </c>
      <c r="B3010" s="9">
        <v>0</v>
      </c>
    </row>
    <row r="3011" spans="1:2" x14ac:dyDescent="0.25">
      <c r="A3011" t="s">
        <v>3637</v>
      </c>
      <c r="B3011" s="9">
        <v>0</v>
      </c>
    </row>
    <row r="3012" spans="1:2" x14ac:dyDescent="0.25">
      <c r="A3012" t="s">
        <v>3638</v>
      </c>
      <c r="B3012" s="9">
        <v>0</v>
      </c>
    </row>
    <row r="3013" spans="1:2" x14ac:dyDescent="0.25">
      <c r="A3013" t="s">
        <v>3639</v>
      </c>
      <c r="B3013" s="9">
        <v>0</v>
      </c>
    </row>
    <row r="3014" spans="1:2" x14ac:dyDescent="0.25">
      <c r="A3014" t="s">
        <v>3640</v>
      </c>
      <c r="B3014" s="9">
        <v>0</v>
      </c>
    </row>
    <row r="3015" spans="1:2" x14ac:dyDescent="0.25">
      <c r="A3015" t="s">
        <v>3641</v>
      </c>
      <c r="B3015" s="9">
        <v>0</v>
      </c>
    </row>
    <row r="3016" spans="1:2" x14ac:dyDescent="0.25">
      <c r="A3016" t="s">
        <v>3642</v>
      </c>
      <c r="B3016" s="9">
        <v>0</v>
      </c>
    </row>
    <row r="3017" spans="1:2" x14ac:dyDescent="0.25">
      <c r="A3017" t="s">
        <v>3643</v>
      </c>
      <c r="B3017" s="9">
        <v>0</v>
      </c>
    </row>
    <row r="3018" spans="1:2" x14ac:dyDescent="0.25">
      <c r="A3018" t="s">
        <v>3644</v>
      </c>
      <c r="B3018" s="9">
        <v>0</v>
      </c>
    </row>
    <row r="3019" spans="1:2" x14ac:dyDescent="0.25">
      <c r="A3019" t="s">
        <v>3645</v>
      </c>
      <c r="B3019" s="9">
        <v>0</v>
      </c>
    </row>
    <row r="3020" spans="1:2" x14ac:dyDescent="0.25">
      <c r="A3020" t="s">
        <v>3646</v>
      </c>
      <c r="B3020" s="9">
        <v>0</v>
      </c>
    </row>
    <row r="3021" spans="1:2" x14ac:dyDescent="0.25">
      <c r="A3021" t="s">
        <v>3647</v>
      </c>
      <c r="B3021" s="9">
        <v>0</v>
      </c>
    </row>
    <row r="3022" spans="1:2" x14ac:dyDescent="0.25">
      <c r="A3022" t="s">
        <v>3648</v>
      </c>
      <c r="B3022" s="9">
        <v>0</v>
      </c>
    </row>
    <row r="3023" spans="1:2" x14ac:dyDescent="0.25">
      <c r="A3023" t="s">
        <v>3649</v>
      </c>
      <c r="B3023" s="9">
        <v>0</v>
      </c>
    </row>
    <row r="3024" spans="1:2" x14ac:dyDescent="0.25">
      <c r="A3024" t="s">
        <v>3650</v>
      </c>
      <c r="B3024" s="9">
        <v>0</v>
      </c>
    </row>
    <row r="3025" spans="1:2" x14ac:dyDescent="0.25">
      <c r="A3025" t="s">
        <v>3651</v>
      </c>
      <c r="B3025" s="9">
        <v>0</v>
      </c>
    </row>
    <row r="3026" spans="1:2" x14ac:dyDescent="0.25">
      <c r="A3026" t="s">
        <v>3652</v>
      </c>
      <c r="B3026" s="9">
        <v>0</v>
      </c>
    </row>
    <row r="3027" spans="1:2" x14ac:dyDescent="0.25">
      <c r="A3027" t="s">
        <v>3653</v>
      </c>
      <c r="B3027" s="9">
        <v>0</v>
      </c>
    </row>
    <row r="3028" spans="1:2" x14ac:dyDescent="0.25">
      <c r="A3028" t="s">
        <v>3654</v>
      </c>
      <c r="B3028" s="9">
        <v>0</v>
      </c>
    </row>
    <row r="3029" spans="1:2" x14ac:dyDescent="0.25">
      <c r="A3029" t="s">
        <v>3655</v>
      </c>
      <c r="B3029" s="9">
        <v>0</v>
      </c>
    </row>
    <row r="3030" spans="1:2" x14ac:dyDescent="0.25">
      <c r="A3030" t="s">
        <v>3656</v>
      </c>
      <c r="B3030" s="9">
        <v>0</v>
      </c>
    </row>
    <row r="3031" spans="1:2" x14ac:dyDescent="0.25">
      <c r="A3031" t="s">
        <v>3657</v>
      </c>
      <c r="B3031" s="9">
        <v>0</v>
      </c>
    </row>
    <row r="3032" spans="1:2" x14ac:dyDescent="0.25">
      <c r="A3032" t="s">
        <v>3658</v>
      </c>
      <c r="B3032" s="9">
        <v>0</v>
      </c>
    </row>
    <row r="3033" spans="1:2" x14ac:dyDescent="0.25">
      <c r="A3033" t="s">
        <v>3659</v>
      </c>
      <c r="B3033" s="9">
        <v>0</v>
      </c>
    </row>
    <row r="3034" spans="1:2" x14ac:dyDescent="0.25">
      <c r="A3034" t="s">
        <v>3660</v>
      </c>
      <c r="B3034" s="9">
        <v>0</v>
      </c>
    </row>
    <row r="3035" spans="1:2" x14ac:dyDescent="0.25">
      <c r="A3035" t="s">
        <v>3661</v>
      </c>
      <c r="B3035" s="9">
        <v>0</v>
      </c>
    </row>
    <row r="3036" spans="1:2" x14ac:dyDescent="0.25">
      <c r="A3036" t="s">
        <v>3662</v>
      </c>
      <c r="B3036" s="9">
        <v>0</v>
      </c>
    </row>
    <row r="3037" spans="1:2" x14ac:dyDescent="0.25">
      <c r="A3037" t="s">
        <v>3663</v>
      </c>
      <c r="B3037" s="9">
        <v>0</v>
      </c>
    </row>
    <row r="3038" spans="1:2" x14ac:dyDescent="0.25">
      <c r="A3038" t="s">
        <v>3664</v>
      </c>
      <c r="B3038" s="9">
        <v>0</v>
      </c>
    </row>
    <row r="3039" spans="1:2" x14ac:dyDescent="0.25">
      <c r="A3039" t="s">
        <v>3665</v>
      </c>
      <c r="B3039" s="9">
        <v>0</v>
      </c>
    </row>
    <row r="3040" spans="1:2" x14ac:dyDescent="0.25">
      <c r="A3040" t="s">
        <v>3666</v>
      </c>
      <c r="B3040" s="9">
        <v>0</v>
      </c>
    </row>
    <row r="3041" spans="1:2" x14ac:dyDescent="0.25">
      <c r="A3041" t="s">
        <v>3667</v>
      </c>
      <c r="B3041" s="9">
        <v>0</v>
      </c>
    </row>
    <row r="3042" spans="1:2" x14ac:dyDescent="0.25">
      <c r="A3042" t="s">
        <v>3668</v>
      </c>
      <c r="B3042" s="9">
        <v>0</v>
      </c>
    </row>
    <row r="3043" spans="1:2" x14ac:dyDescent="0.25">
      <c r="A3043" t="s">
        <v>3669</v>
      </c>
      <c r="B3043" s="9">
        <v>0</v>
      </c>
    </row>
    <row r="3044" spans="1:2" x14ac:dyDescent="0.25">
      <c r="A3044" t="s">
        <v>3670</v>
      </c>
      <c r="B3044" s="9">
        <v>0</v>
      </c>
    </row>
    <row r="3045" spans="1:2" x14ac:dyDescent="0.25">
      <c r="A3045" t="s">
        <v>3671</v>
      </c>
      <c r="B3045" s="9">
        <v>0</v>
      </c>
    </row>
    <row r="3046" spans="1:2" x14ac:dyDescent="0.25">
      <c r="A3046" t="s">
        <v>3672</v>
      </c>
      <c r="B3046" s="9">
        <v>0</v>
      </c>
    </row>
    <row r="3047" spans="1:2" x14ac:dyDescent="0.25">
      <c r="A3047" t="s">
        <v>3673</v>
      </c>
      <c r="B3047" s="9">
        <v>0</v>
      </c>
    </row>
    <row r="3048" spans="1:2" x14ac:dyDescent="0.25">
      <c r="A3048" t="s">
        <v>3674</v>
      </c>
      <c r="B3048" s="9">
        <v>0</v>
      </c>
    </row>
    <row r="3049" spans="1:2" x14ac:dyDescent="0.25">
      <c r="A3049" t="s">
        <v>3675</v>
      </c>
      <c r="B3049" s="9">
        <v>0</v>
      </c>
    </row>
    <row r="3050" spans="1:2" x14ac:dyDescent="0.25">
      <c r="A3050" t="s">
        <v>3676</v>
      </c>
      <c r="B3050" s="9">
        <v>0</v>
      </c>
    </row>
    <row r="3051" spans="1:2" x14ac:dyDescent="0.25">
      <c r="A3051" t="s">
        <v>3677</v>
      </c>
      <c r="B3051" s="9">
        <v>0</v>
      </c>
    </row>
    <row r="3052" spans="1:2" x14ac:dyDescent="0.25">
      <c r="A3052" t="s">
        <v>3678</v>
      </c>
      <c r="B3052" s="9">
        <v>0</v>
      </c>
    </row>
    <row r="3053" spans="1:2" x14ac:dyDescent="0.25">
      <c r="A3053" t="s">
        <v>3679</v>
      </c>
      <c r="B3053" s="9">
        <v>0</v>
      </c>
    </row>
    <row r="3054" spans="1:2" x14ac:dyDescent="0.25">
      <c r="A3054" t="s">
        <v>3680</v>
      </c>
      <c r="B3054" s="9">
        <v>0</v>
      </c>
    </row>
    <row r="3055" spans="1:2" x14ac:dyDescent="0.25">
      <c r="A3055" t="s">
        <v>3681</v>
      </c>
      <c r="B3055" s="9">
        <v>0</v>
      </c>
    </row>
    <row r="3056" spans="1:2" x14ac:dyDescent="0.25">
      <c r="A3056" t="s">
        <v>3682</v>
      </c>
      <c r="B3056" s="9">
        <v>0</v>
      </c>
    </row>
    <row r="3057" spans="1:2" x14ac:dyDescent="0.25">
      <c r="A3057" t="s">
        <v>3683</v>
      </c>
      <c r="B3057" s="9">
        <v>0</v>
      </c>
    </row>
    <row r="3058" spans="1:2" x14ac:dyDescent="0.25">
      <c r="A3058" t="s">
        <v>3684</v>
      </c>
      <c r="B3058" s="9">
        <v>0</v>
      </c>
    </row>
    <row r="3059" spans="1:2" x14ac:dyDescent="0.25">
      <c r="A3059" t="s">
        <v>3685</v>
      </c>
      <c r="B3059" s="9">
        <v>0</v>
      </c>
    </row>
    <row r="3060" spans="1:2" x14ac:dyDescent="0.25">
      <c r="A3060" t="s">
        <v>3686</v>
      </c>
      <c r="B3060" s="9">
        <v>0</v>
      </c>
    </row>
    <row r="3061" spans="1:2" x14ac:dyDescent="0.25">
      <c r="A3061" t="s">
        <v>3687</v>
      </c>
      <c r="B3061" s="9">
        <v>0</v>
      </c>
    </row>
    <row r="3062" spans="1:2" x14ac:dyDescent="0.25">
      <c r="A3062" t="s">
        <v>3688</v>
      </c>
      <c r="B3062" s="9">
        <v>0</v>
      </c>
    </row>
    <row r="3063" spans="1:2" x14ac:dyDescent="0.25">
      <c r="A3063" t="s">
        <v>3689</v>
      </c>
      <c r="B3063" s="9">
        <v>0</v>
      </c>
    </row>
    <row r="3064" spans="1:2" x14ac:dyDescent="0.25">
      <c r="A3064" t="s">
        <v>3690</v>
      </c>
      <c r="B3064" s="9">
        <v>0</v>
      </c>
    </row>
    <row r="3065" spans="1:2" x14ac:dyDescent="0.25">
      <c r="A3065" t="s">
        <v>3691</v>
      </c>
      <c r="B3065" s="9">
        <v>0</v>
      </c>
    </row>
    <row r="3066" spans="1:2" x14ac:dyDescent="0.25">
      <c r="A3066" t="s">
        <v>3692</v>
      </c>
      <c r="B3066" s="9">
        <v>0</v>
      </c>
    </row>
    <row r="3067" spans="1:2" x14ac:dyDescent="0.25">
      <c r="A3067" t="s">
        <v>3693</v>
      </c>
      <c r="B3067" s="9">
        <v>0</v>
      </c>
    </row>
    <row r="3068" spans="1:2" x14ac:dyDescent="0.25">
      <c r="A3068" t="s">
        <v>3694</v>
      </c>
      <c r="B3068" s="9">
        <v>0</v>
      </c>
    </row>
    <row r="3069" spans="1:2" x14ac:dyDescent="0.25">
      <c r="A3069" t="s">
        <v>3695</v>
      </c>
      <c r="B3069" s="9">
        <v>0</v>
      </c>
    </row>
    <row r="3070" spans="1:2" x14ac:dyDescent="0.25">
      <c r="A3070" t="s">
        <v>3696</v>
      </c>
      <c r="B3070" s="9">
        <v>0</v>
      </c>
    </row>
    <row r="3071" spans="1:2" x14ac:dyDescent="0.25">
      <c r="A3071" t="s">
        <v>3697</v>
      </c>
      <c r="B3071" s="9">
        <v>0</v>
      </c>
    </row>
    <row r="3072" spans="1:2" x14ac:dyDescent="0.25">
      <c r="A3072" t="s">
        <v>3698</v>
      </c>
      <c r="B3072" s="9">
        <v>0</v>
      </c>
    </row>
    <row r="3073" spans="1:2" x14ac:dyDescent="0.25">
      <c r="A3073" t="s">
        <v>3699</v>
      </c>
      <c r="B3073" s="9">
        <v>0</v>
      </c>
    </row>
    <row r="3074" spans="1:2" x14ac:dyDescent="0.25">
      <c r="A3074" t="s">
        <v>3700</v>
      </c>
      <c r="B3074" s="9">
        <v>0</v>
      </c>
    </row>
    <row r="3075" spans="1:2" x14ac:dyDescent="0.25">
      <c r="A3075" t="s">
        <v>3701</v>
      </c>
      <c r="B3075" s="9">
        <v>0</v>
      </c>
    </row>
    <row r="3076" spans="1:2" x14ac:dyDescent="0.25">
      <c r="A3076" t="s">
        <v>3702</v>
      </c>
      <c r="B3076" s="9">
        <v>0</v>
      </c>
    </row>
    <row r="3077" spans="1:2" x14ac:dyDescent="0.25">
      <c r="A3077" t="s">
        <v>3703</v>
      </c>
      <c r="B3077" s="9">
        <v>0</v>
      </c>
    </row>
    <row r="3078" spans="1:2" x14ac:dyDescent="0.25">
      <c r="A3078" t="s">
        <v>3704</v>
      </c>
      <c r="B3078" s="9">
        <v>0</v>
      </c>
    </row>
    <row r="3079" spans="1:2" x14ac:dyDescent="0.25">
      <c r="A3079" t="s">
        <v>3705</v>
      </c>
      <c r="B3079" s="9">
        <v>0</v>
      </c>
    </row>
    <row r="3080" spans="1:2" x14ac:dyDescent="0.25">
      <c r="A3080" t="s">
        <v>3706</v>
      </c>
      <c r="B3080" s="9">
        <v>0</v>
      </c>
    </row>
    <row r="3081" spans="1:2" x14ac:dyDescent="0.25">
      <c r="A3081" t="s">
        <v>3707</v>
      </c>
      <c r="B3081" s="9">
        <v>0</v>
      </c>
    </row>
    <row r="3082" spans="1:2" x14ac:dyDescent="0.25">
      <c r="A3082" t="s">
        <v>3708</v>
      </c>
      <c r="B3082" s="9">
        <v>0</v>
      </c>
    </row>
    <row r="3083" spans="1:2" x14ac:dyDescent="0.25">
      <c r="A3083" t="s">
        <v>3709</v>
      </c>
      <c r="B3083" s="9">
        <v>0</v>
      </c>
    </row>
    <row r="3084" spans="1:2" x14ac:dyDescent="0.25">
      <c r="A3084" t="s">
        <v>3710</v>
      </c>
      <c r="B3084" s="9">
        <v>0</v>
      </c>
    </row>
    <row r="3085" spans="1:2" x14ac:dyDescent="0.25">
      <c r="A3085" t="s">
        <v>3711</v>
      </c>
      <c r="B3085" s="9">
        <v>0</v>
      </c>
    </row>
    <row r="3086" spans="1:2" x14ac:dyDescent="0.25">
      <c r="A3086" t="s">
        <v>3712</v>
      </c>
      <c r="B3086" s="9">
        <v>0</v>
      </c>
    </row>
    <row r="3087" spans="1:2" x14ac:dyDescent="0.25">
      <c r="A3087" t="s">
        <v>3713</v>
      </c>
      <c r="B3087" s="9">
        <v>0</v>
      </c>
    </row>
    <row r="3088" spans="1:2" x14ac:dyDescent="0.25">
      <c r="A3088" t="s">
        <v>3714</v>
      </c>
      <c r="B3088" s="9">
        <v>0</v>
      </c>
    </row>
    <row r="3089" spans="1:2" x14ac:dyDescent="0.25">
      <c r="A3089" t="s">
        <v>3715</v>
      </c>
      <c r="B3089" s="9">
        <v>0</v>
      </c>
    </row>
    <row r="3090" spans="1:2" x14ac:dyDescent="0.25">
      <c r="A3090" t="s">
        <v>3716</v>
      </c>
      <c r="B3090" s="9">
        <v>0</v>
      </c>
    </row>
    <row r="3091" spans="1:2" x14ac:dyDescent="0.25">
      <c r="A3091" t="s">
        <v>3717</v>
      </c>
      <c r="B3091" s="9">
        <v>0</v>
      </c>
    </row>
    <row r="3092" spans="1:2" x14ac:dyDescent="0.25">
      <c r="A3092" t="s">
        <v>3718</v>
      </c>
      <c r="B3092" s="9">
        <v>0</v>
      </c>
    </row>
    <row r="3093" spans="1:2" x14ac:dyDescent="0.25">
      <c r="A3093" t="s">
        <v>3719</v>
      </c>
      <c r="B3093" s="9">
        <v>0</v>
      </c>
    </row>
    <row r="3094" spans="1:2" x14ac:dyDescent="0.25">
      <c r="A3094" t="s">
        <v>3720</v>
      </c>
      <c r="B3094" s="9">
        <v>0</v>
      </c>
    </row>
    <row r="3095" spans="1:2" x14ac:dyDescent="0.25">
      <c r="A3095" t="s">
        <v>3721</v>
      </c>
      <c r="B3095" s="9">
        <v>0</v>
      </c>
    </row>
    <row r="3096" spans="1:2" x14ac:dyDescent="0.25">
      <c r="A3096" t="s">
        <v>3722</v>
      </c>
      <c r="B3096" s="9">
        <v>0</v>
      </c>
    </row>
    <row r="3097" spans="1:2" x14ac:dyDescent="0.25">
      <c r="A3097" t="s">
        <v>3723</v>
      </c>
      <c r="B3097" s="9">
        <v>0</v>
      </c>
    </row>
    <row r="3098" spans="1:2" x14ac:dyDescent="0.25">
      <c r="A3098" t="s">
        <v>3724</v>
      </c>
      <c r="B3098" s="9">
        <v>0</v>
      </c>
    </row>
    <row r="3099" spans="1:2" x14ac:dyDescent="0.25">
      <c r="A3099" t="s">
        <v>3725</v>
      </c>
      <c r="B3099" s="9">
        <v>0</v>
      </c>
    </row>
    <row r="3100" spans="1:2" x14ac:dyDescent="0.25">
      <c r="A3100" t="s">
        <v>3726</v>
      </c>
      <c r="B3100" s="9">
        <v>0</v>
      </c>
    </row>
    <row r="3101" spans="1:2" x14ac:dyDescent="0.25">
      <c r="A3101" t="s">
        <v>3727</v>
      </c>
      <c r="B3101" s="9">
        <v>0</v>
      </c>
    </row>
    <row r="3102" spans="1:2" x14ac:dyDescent="0.25">
      <c r="A3102" t="s">
        <v>3728</v>
      </c>
      <c r="B3102" s="9">
        <v>0</v>
      </c>
    </row>
    <row r="3103" spans="1:2" x14ac:dyDescent="0.25">
      <c r="A3103" t="s">
        <v>3729</v>
      </c>
      <c r="B3103" s="9">
        <v>0</v>
      </c>
    </row>
    <row r="3104" spans="1:2" x14ac:dyDescent="0.25">
      <c r="A3104" t="s">
        <v>3730</v>
      </c>
      <c r="B3104" s="9">
        <v>0</v>
      </c>
    </row>
    <row r="3105" spans="1:2" x14ac:dyDescent="0.25">
      <c r="A3105" t="s">
        <v>3731</v>
      </c>
      <c r="B3105" s="9">
        <v>0</v>
      </c>
    </row>
    <row r="3106" spans="1:2" x14ac:dyDescent="0.25">
      <c r="A3106" t="s">
        <v>3732</v>
      </c>
      <c r="B3106" s="9">
        <v>0</v>
      </c>
    </row>
    <row r="3107" spans="1:2" x14ac:dyDescent="0.25">
      <c r="A3107" t="s">
        <v>3733</v>
      </c>
      <c r="B3107" s="9">
        <v>0</v>
      </c>
    </row>
    <row r="3108" spans="1:2" x14ac:dyDescent="0.25">
      <c r="A3108" t="s">
        <v>3734</v>
      </c>
      <c r="B3108" s="9">
        <v>0</v>
      </c>
    </row>
    <row r="3109" spans="1:2" x14ac:dyDescent="0.25">
      <c r="A3109" t="s">
        <v>3735</v>
      </c>
      <c r="B3109" s="9">
        <v>0</v>
      </c>
    </row>
    <row r="3110" spans="1:2" x14ac:dyDescent="0.25">
      <c r="A3110" t="s">
        <v>3736</v>
      </c>
      <c r="B3110" s="9">
        <v>0</v>
      </c>
    </row>
    <row r="3111" spans="1:2" x14ac:dyDescent="0.25">
      <c r="A3111" t="s">
        <v>3737</v>
      </c>
      <c r="B3111" s="9">
        <v>0</v>
      </c>
    </row>
    <row r="3112" spans="1:2" x14ac:dyDescent="0.25">
      <c r="A3112" t="s">
        <v>3738</v>
      </c>
      <c r="B3112" s="9">
        <v>0</v>
      </c>
    </row>
    <row r="3113" spans="1:2" x14ac:dyDescent="0.25">
      <c r="A3113" t="s">
        <v>3739</v>
      </c>
      <c r="B3113" s="9">
        <v>0</v>
      </c>
    </row>
    <row r="3114" spans="1:2" x14ac:dyDescent="0.25">
      <c r="A3114" t="s">
        <v>3740</v>
      </c>
      <c r="B3114" s="9">
        <v>0</v>
      </c>
    </row>
    <row r="3115" spans="1:2" x14ac:dyDescent="0.25">
      <c r="A3115" t="s">
        <v>3741</v>
      </c>
      <c r="B3115" s="9">
        <v>0</v>
      </c>
    </row>
    <row r="3116" spans="1:2" x14ac:dyDescent="0.25">
      <c r="A3116" t="s">
        <v>3742</v>
      </c>
      <c r="B3116" s="9">
        <v>0</v>
      </c>
    </row>
    <row r="3117" spans="1:2" x14ac:dyDescent="0.25">
      <c r="A3117" t="s">
        <v>3743</v>
      </c>
      <c r="B3117" s="9">
        <v>0</v>
      </c>
    </row>
    <row r="3118" spans="1:2" x14ac:dyDescent="0.25">
      <c r="A3118" t="s">
        <v>3744</v>
      </c>
      <c r="B3118" s="9">
        <v>0</v>
      </c>
    </row>
    <row r="3119" spans="1:2" x14ac:dyDescent="0.25">
      <c r="A3119" t="s">
        <v>3745</v>
      </c>
      <c r="B3119" s="9">
        <v>0</v>
      </c>
    </row>
    <row r="3120" spans="1:2" x14ac:dyDescent="0.25">
      <c r="A3120" t="s">
        <v>3746</v>
      </c>
      <c r="B3120" s="9">
        <v>0</v>
      </c>
    </row>
    <row r="3121" spans="1:2" x14ac:dyDescent="0.25">
      <c r="A3121" t="s">
        <v>3747</v>
      </c>
      <c r="B3121" s="9">
        <v>0</v>
      </c>
    </row>
    <row r="3122" spans="1:2" x14ac:dyDescent="0.25">
      <c r="A3122" t="s">
        <v>3748</v>
      </c>
      <c r="B3122" s="9">
        <v>0</v>
      </c>
    </row>
    <row r="3123" spans="1:2" x14ac:dyDescent="0.25">
      <c r="A3123" t="s">
        <v>3749</v>
      </c>
      <c r="B3123" s="9">
        <v>0</v>
      </c>
    </row>
    <row r="3124" spans="1:2" x14ac:dyDescent="0.25">
      <c r="A3124" t="s">
        <v>3750</v>
      </c>
      <c r="B3124" s="9">
        <v>0</v>
      </c>
    </row>
    <row r="3125" spans="1:2" x14ac:dyDescent="0.25">
      <c r="A3125" t="s">
        <v>3751</v>
      </c>
      <c r="B3125" s="9">
        <v>0</v>
      </c>
    </row>
    <row r="3126" spans="1:2" x14ac:dyDescent="0.25">
      <c r="A3126" t="s">
        <v>3752</v>
      </c>
      <c r="B3126" s="9">
        <v>0</v>
      </c>
    </row>
    <row r="3127" spans="1:2" x14ac:dyDescent="0.25">
      <c r="A3127" t="s">
        <v>3753</v>
      </c>
      <c r="B3127" s="9">
        <v>0</v>
      </c>
    </row>
    <row r="3128" spans="1:2" x14ac:dyDescent="0.25">
      <c r="A3128" t="s">
        <v>3754</v>
      </c>
      <c r="B3128" s="9">
        <v>0</v>
      </c>
    </row>
    <row r="3129" spans="1:2" x14ac:dyDescent="0.25">
      <c r="A3129" t="s">
        <v>3755</v>
      </c>
      <c r="B3129" s="9">
        <v>0</v>
      </c>
    </row>
    <row r="3130" spans="1:2" x14ac:dyDescent="0.25">
      <c r="A3130" t="s">
        <v>3756</v>
      </c>
      <c r="B3130" s="9">
        <v>0</v>
      </c>
    </row>
    <row r="3131" spans="1:2" x14ac:dyDescent="0.25">
      <c r="A3131" t="s">
        <v>3757</v>
      </c>
      <c r="B3131" s="9">
        <v>0</v>
      </c>
    </row>
    <row r="3132" spans="1:2" x14ac:dyDescent="0.25">
      <c r="A3132" t="s">
        <v>3758</v>
      </c>
      <c r="B3132" s="9">
        <v>0</v>
      </c>
    </row>
    <row r="3133" spans="1:2" x14ac:dyDescent="0.25">
      <c r="A3133" t="s">
        <v>3759</v>
      </c>
      <c r="B3133" s="9">
        <v>0</v>
      </c>
    </row>
    <row r="3134" spans="1:2" x14ac:dyDescent="0.25">
      <c r="A3134" t="s">
        <v>3760</v>
      </c>
      <c r="B3134" s="9">
        <v>0</v>
      </c>
    </row>
    <row r="3135" spans="1:2" x14ac:dyDescent="0.25">
      <c r="A3135" t="s">
        <v>3761</v>
      </c>
      <c r="B3135" s="9">
        <v>0</v>
      </c>
    </row>
    <row r="3136" spans="1:2" x14ac:dyDescent="0.25">
      <c r="A3136" t="s">
        <v>3762</v>
      </c>
      <c r="B3136" s="9">
        <v>0</v>
      </c>
    </row>
    <row r="3137" spans="1:2" x14ac:dyDescent="0.25">
      <c r="A3137" t="s">
        <v>3763</v>
      </c>
      <c r="B3137" s="9">
        <v>0</v>
      </c>
    </row>
    <row r="3138" spans="1:2" x14ac:dyDescent="0.25">
      <c r="A3138" t="s">
        <v>3764</v>
      </c>
      <c r="B3138" s="9">
        <v>0</v>
      </c>
    </row>
    <row r="3139" spans="1:2" x14ac:dyDescent="0.25">
      <c r="A3139" t="s">
        <v>3765</v>
      </c>
      <c r="B3139" s="9">
        <v>0</v>
      </c>
    </row>
    <row r="3140" spans="1:2" x14ac:dyDescent="0.25">
      <c r="A3140" t="s">
        <v>3766</v>
      </c>
      <c r="B3140" s="9">
        <v>0</v>
      </c>
    </row>
    <row r="3141" spans="1:2" x14ac:dyDescent="0.25">
      <c r="A3141" t="s">
        <v>3767</v>
      </c>
      <c r="B3141" s="9">
        <v>0</v>
      </c>
    </row>
    <row r="3142" spans="1:2" x14ac:dyDescent="0.25">
      <c r="A3142" t="s">
        <v>3768</v>
      </c>
      <c r="B3142" s="9">
        <v>0</v>
      </c>
    </row>
    <row r="3143" spans="1:2" x14ac:dyDescent="0.25">
      <c r="A3143" t="s">
        <v>3769</v>
      </c>
      <c r="B3143" s="9">
        <v>0</v>
      </c>
    </row>
    <row r="3144" spans="1:2" x14ac:dyDescent="0.25">
      <c r="A3144" t="s">
        <v>3770</v>
      </c>
      <c r="B3144" s="9">
        <v>0</v>
      </c>
    </row>
    <row r="3145" spans="1:2" x14ac:dyDescent="0.25">
      <c r="A3145" t="s">
        <v>3771</v>
      </c>
      <c r="B3145" s="9">
        <v>0</v>
      </c>
    </row>
    <row r="3146" spans="1:2" x14ac:dyDescent="0.25">
      <c r="A3146" t="s">
        <v>3772</v>
      </c>
      <c r="B3146" s="9">
        <v>0</v>
      </c>
    </row>
    <row r="3147" spans="1:2" x14ac:dyDescent="0.25">
      <c r="A3147" t="s">
        <v>3773</v>
      </c>
      <c r="B3147" s="9">
        <v>0</v>
      </c>
    </row>
    <row r="3148" spans="1:2" x14ac:dyDescent="0.25">
      <c r="A3148" t="s">
        <v>3774</v>
      </c>
      <c r="B3148" s="9">
        <v>0</v>
      </c>
    </row>
    <row r="3149" spans="1:2" x14ac:dyDescent="0.25">
      <c r="A3149" t="s">
        <v>3775</v>
      </c>
      <c r="B3149" s="9">
        <v>0</v>
      </c>
    </row>
    <row r="3150" spans="1:2" x14ac:dyDescent="0.25">
      <c r="A3150" t="s">
        <v>3776</v>
      </c>
      <c r="B3150" s="9">
        <v>0</v>
      </c>
    </row>
    <row r="3151" spans="1:2" x14ac:dyDescent="0.25">
      <c r="A3151" t="s">
        <v>3777</v>
      </c>
      <c r="B3151" s="9">
        <v>0</v>
      </c>
    </row>
    <row r="3152" spans="1:2" x14ac:dyDescent="0.25">
      <c r="A3152" t="s">
        <v>3778</v>
      </c>
      <c r="B3152" s="9">
        <v>0</v>
      </c>
    </row>
    <row r="3153" spans="1:2" x14ac:dyDescent="0.25">
      <c r="A3153" t="s">
        <v>3779</v>
      </c>
      <c r="B3153" s="9">
        <v>0</v>
      </c>
    </row>
    <row r="3154" spans="1:2" x14ac:dyDescent="0.25">
      <c r="A3154" t="s">
        <v>3780</v>
      </c>
      <c r="B3154" s="9">
        <v>0</v>
      </c>
    </row>
    <row r="3155" spans="1:2" x14ac:dyDescent="0.25">
      <c r="A3155" t="s">
        <v>3781</v>
      </c>
      <c r="B3155" s="9">
        <v>0</v>
      </c>
    </row>
    <row r="3156" spans="1:2" x14ac:dyDescent="0.25">
      <c r="A3156" t="s">
        <v>3782</v>
      </c>
      <c r="B3156" s="9">
        <v>0</v>
      </c>
    </row>
    <row r="3157" spans="1:2" x14ac:dyDescent="0.25">
      <c r="A3157" t="s">
        <v>3783</v>
      </c>
      <c r="B3157" s="9">
        <v>0</v>
      </c>
    </row>
    <row r="3158" spans="1:2" x14ac:dyDescent="0.25">
      <c r="A3158" t="s">
        <v>3784</v>
      </c>
      <c r="B3158" s="9">
        <v>0</v>
      </c>
    </row>
    <row r="3159" spans="1:2" x14ac:dyDescent="0.25">
      <c r="A3159" t="s">
        <v>3785</v>
      </c>
      <c r="B3159" s="9">
        <v>0</v>
      </c>
    </row>
    <row r="3160" spans="1:2" x14ac:dyDescent="0.25">
      <c r="A3160" t="s">
        <v>3786</v>
      </c>
      <c r="B3160" s="9">
        <v>0</v>
      </c>
    </row>
    <row r="3161" spans="1:2" x14ac:dyDescent="0.25">
      <c r="A3161" t="s">
        <v>3787</v>
      </c>
      <c r="B3161" s="9">
        <v>0</v>
      </c>
    </row>
    <row r="3162" spans="1:2" x14ac:dyDescent="0.25">
      <c r="A3162" t="s">
        <v>3788</v>
      </c>
      <c r="B3162" s="9">
        <v>0</v>
      </c>
    </row>
    <row r="3163" spans="1:2" x14ac:dyDescent="0.25">
      <c r="A3163" t="s">
        <v>3789</v>
      </c>
      <c r="B3163" s="9">
        <v>0</v>
      </c>
    </row>
    <row r="3164" spans="1:2" x14ac:dyDescent="0.25">
      <c r="A3164" t="s">
        <v>3790</v>
      </c>
      <c r="B3164" s="9">
        <v>0</v>
      </c>
    </row>
    <row r="3165" spans="1:2" x14ac:dyDescent="0.25">
      <c r="A3165" t="s">
        <v>3791</v>
      </c>
      <c r="B3165" s="9">
        <v>0</v>
      </c>
    </row>
    <row r="3166" spans="1:2" x14ac:dyDescent="0.25">
      <c r="A3166" t="s">
        <v>3792</v>
      </c>
      <c r="B3166" s="9">
        <v>0</v>
      </c>
    </row>
    <row r="3167" spans="1:2" x14ac:dyDescent="0.25">
      <c r="A3167" t="s">
        <v>3793</v>
      </c>
      <c r="B3167" s="9">
        <v>0</v>
      </c>
    </row>
    <row r="3168" spans="1:2" x14ac:dyDescent="0.25">
      <c r="A3168" t="s">
        <v>3794</v>
      </c>
      <c r="B3168" s="9">
        <v>0</v>
      </c>
    </row>
    <row r="3169" spans="1:2" x14ac:dyDescent="0.25">
      <c r="A3169" t="s">
        <v>3795</v>
      </c>
      <c r="B3169" s="9">
        <v>0</v>
      </c>
    </row>
    <row r="3170" spans="1:2" x14ac:dyDescent="0.25">
      <c r="A3170" t="s">
        <v>3796</v>
      </c>
      <c r="B3170" s="9">
        <v>0</v>
      </c>
    </row>
    <row r="3171" spans="1:2" x14ac:dyDescent="0.25">
      <c r="A3171" t="s">
        <v>3797</v>
      </c>
      <c r="B3171" s="9">
        <v>0</v>
      </c>
    </row>
    <row r="3172" spans="1:2" x14ac:dyDescent="0.25">
      <c r="A3172" t="s">
        <v>3798</v>
      </c>
      <c r="B3172" s="9">
        <v>0</v>
      </c>
    </row>
    <row r="3173" spans="1:2" x14ac:dyDescent="0.25">
      <c r="A3173" t="s">
        <v>3799</v>
      </c>
      <c r="B3173" s="9">
        <v>0</v>
      </c>
    </row>
    <row r="3174" spans="1:2" x14ac:dyDescent="0.25">
      <c r="A3174" t="s">
        <v>3800</v>
      </c>
      <c r="B3174" s="9">
        <v>0</v>
      </c>
    </row>
    <row r="3175" spans="1:2" x14ac:dyDescent="0.25">
      <c r="A3175" t="s">
        <v>3801</v>
      </c>
      <c r="B3175" s="9">
        <v>0</v>
      </c>
    </row>
    <row r="3176" spans="1:2" x14ac:dyDescent="0.25">
      <c r="A3176" t="s">
        <v>3802</v>
      </c>
      <c r="B3176" s="9">
        <v>0</v>
      </c>
    </row>
    <row r="3177" spans="1:2" x14ac:dyDescent="0.25">
      <c r="A3177" t="s">
        <v>3803</v>
      </c>
      <c r="B3177" s="9">
        <v>0</v>
      </c>
    </row>
    <row r="3178" spans="1:2" x14ac:dyDescent="0.25">
      <c r="A3178" t="s">
        <v>3804</v>
      </c>
      <c r="B3178" s="9">
        <v>0</v>
      </c>
    </row>
    <row r="3179" spans="1:2" x14ac:dyDescent="0.25">
      <c r="A3179" t="s">
        <v>3805</v>
      </c>
      <c r="B3179" s="9">
        <v>0</v>
      </c>
    </row>
    <row r="3180" spans="1:2" x14ac:dyDescent="0.25">
      <c r="A3180" t="s">
        <v>3806</v>
      </c>
      <c r="B3180" s="9">
        <v>0</v>
      </c>
    </row>
    <row r="3181" spans="1:2" x14ac:dyDescent="0.25">
      <c r="A3181" t="s">
        <v>3807</v>
      </c>
      <c r="B3181" s="9">
        <v>0</v>
      </c>
    </row>
    <row r="3182" spans="1:2" x14ac:dyDescent="0.25">
      <c r="A3182" t="s">
        <v>3808</v>
      </c>
      <c r="B3182" s="9">
        <v>0</v>
      </c>
    </row>
    <row r="3183" spans="1:2" x14ac:dyDescent="0.25">
      <c r="A3183" t="s">
        <v>3809</v>
      </c>
      <c r="B3183" s="9">
        <v>0</v>
      </c>
    </row>
    <row r="3184" spans="1:2" x14ac:dyDescent="0.25">
      <c r="A3184" t="s">
        <v>3810</v>
      </c>
      <c r="B3184" s="9">
        <v>0</v>
      </c>
    </row>
    <row r="3185" spans="1:2" x14ac:dyDescent="0.25">
      <c r="A3185" t="s">
        <v>3811</v>
      </c>
      <c r="B3185" s="9">
        <v>0</v>
      </c>
    </row>
    <row r="3186" spans="1:2" x14ac:dyDescent="0.25">
      <c r="A3186" t="s">
        <v>3812</v>
      </c>
      <c r="B3186" s="9">
        <v>0</v>
      </c>
    </row>
    <row r="3187" spans="1:2" x14ac:dyDescent="0.25">
      <c r="A3187" t="s">
        <v>3813</v>
      </c>
      <c r="B3187" s="9">
        <v>0</v>
      </c>
    </row>
    <row r="3188" spans="1:2" x14ac:dyDescent="0.25">
      <c r="A3188" t="s">
        <v>3814</v>
      </c>
      <c r="B3188" s="9">
        <v>0</v>
      </c>
    </row>
    <row r="3189" spans="1:2" x14ac:dyDescent="0.25">
      <c r="A3189" t="s">
        <v>3815</v>
      </c>
      <c r="B3189" s="9">
        <v>0</v>
      </c>
    </row>
    <row r="3190" spans="1:2" x14ac:dyDescent="0.25">
      <c r="A3190" t="s">
        <v>3816</v>
      </c>
      <c r="B3190" s="9">
        <v>0</v>
      </c>
    </row>
    <row r="3191" spans="1:2" x14ac:dyDescent="0.25">
      <c r="A3191" t="s">
        <v>3817</v>
      </c>
      <c r="B3191" s="9">
        <v>0</v>
      </c>
    </row>
    <row r="3192" spans="1:2" x14ac:dyDescent="0.25">
      <c r="A3192" t="s">
        <v>3818</v>
      </c>
      <c r="B3192" s="9">
        <v>0</v>
      </c>
    </row>
    <row r="3193" spans="1:2" x14ac:dyDescent="0.25">
      <c r="A3193" t="s">
        <v>3819</v>
      </c>
      <c r="B3193" s="9">
        <v>0</v>
      </c>
    </row>
    <row r="3194" spans="1:2" x14ac:dyDescent="0.25">
      <c r="A3194" t="s">
        <v>3820</v>
      </c>
      <c r="B3194" s="9">
        <v>0</v>
      </c>
    </row>
    <row r="3195" spans="1:2" x14ac:dyDescent="0.25">
      <c r="A3195" t="s">
        <v>3821</v>
      </c>
      <c r="B3195" s="9">
        <v>0</v>
      </c>
    </row>
    <row r="3196" spans="1:2" x14ac:dyDescent="0.25">
      <c r="A3196" t="s">
        <v>3822</v>
      </c>
      <c r="B3196" s="9">
        <v>0</v>
      </c>
    </row>
    <row r="3197" spans="1:2" x14ac:dyDescent="0.25">
      <c r="A3197" t="s">
        <v>3823</v>
      </c>
      <c r="B3197" s="9">
        <v>0</v>
      </c>
    </row>
    <row r="3198" spans="1:2" x14ac:dyDescent="0.25">
      <c r="A3198" t="s">
        <v>3824</v>
      </c>
      <c r="B3198" s="9">
        <v>0</v>
      </c>
    </row>
    <row r="3199" spans="1:2" x14ac:dyDescent="0.25">
      <c r="A3199" t="s">
        <v>3825</v>
      </c>
      <c r="B3199" s="9">
        <v>0</v>
      </c>
    </row>
    <row r="3200" spans="1:2" x14ac:dyDescent="0.25">
      <c r="A3200" t="s">
        <v>3826</v>
      </c>
      <c r="B3200" s="9">
        <v>0</v>
      </c>
    </row>
    <row r="3201" spans="1:2" x14ac:dyDescent="0.25">
      <c r="A3201" t="s">
        <v>3827</v>
      </c>
      <c r="B3201" s="9">
        <v>0</v>
      </c>
    </row>
    <row r="3202" spans="1:2" x14ac:dyDescent="0.25">
      <c r="A3202" t="s">
        <v>3828</v>
      </c>
      <c r="B3202" s="9">
        <v>0</v>
      </c>
    </row>
    <row r="3203" spans="1:2" x14ac:dyDescent="0.25">
      <c r="A3203" t="s">
        <v>3829</v>
      </c>
      <c r="B3203" s="9">
        <v>0</v>
      </c>
    </row>
    <row r="3204" spans="1:2" x14ac:dyDescent="0.25">
      <c r="A3204" t="s">
        <v>3830</v>
      </c>
      <c r="B3204" s="9">
        <v>0</v>
      </c>
    </row>
    <row r="3205" spans="1:2" x14ac:dyDescent="0.25">
      <c r="A3205" t="s">
        <v>3831</v>
      </c>
      <c r="B3205" s="9">
        <v>0</v>
      </c>
    </row>
    <row r="3206" spans="1:2" x14ac:dyDescent="0.25">
      <c r="A3206" t="s">
        <v>3832</v>
      </c>
      <c r="B3206" s="9">
        <v>0</v>
      </c>
    </row>
    <row r="3207" spans="1:2" x14ac:dyDescent="0.25">
      <c r="A3207" t="s">
        <v>3833</v>
      </c>
      <c r="B3207" s="9">
        <v>0</v>
      </c>
    </row>
    <row r="3208" spans="1:2" x14ac:dyDescent="0.25">
      <c r="A3208" t="s">
        <v>3834</v>
      </c>
      <c r="B3208" s="9">
        <v>0</v>
      </c>
    </row>
    <row r="3209" spans="1:2" x14ac:dyDescent="0.25">
      <c r="A3209" t="s">
        <v>3835</v>
      </c>
      <c r="B3209" s="9">
        <v>0</v>
      </c>
    </row>
    <row r="3210" spans="1:2" x14ac:dyDescent="0.25">
      <c r="A3210" t="s">
        <v>3836</v>
      </c>
      <c r="B3210" s="9">
        <v>0</v>
      </c>
    </row>
    <row r="3211" spans="1:2" x14ac:dyDescent="0.25">
      <c r="A3211" t="s">
        <v>3837</v>
      </c>
      <c r="B3211" s="9">
        <v>0</v>
      </c>
    </row>
    <row r="3212" spans="1:2" x14ac:dyDescent="0.25">
      <c r="A3212" t="s">
        <v>3838</v>
      </c>
      <c r="B3212" s="9">
        <v>0</v>
      </c>
    </row>
    <row r="3213" spans="1:2" x14ac:dyDescent="0.25">
      <c r="A3213" t="s">
        <v>3839</v>
      </c>
      <c r="B3213" s="9">
        <v>0</v>
      </c>
    </row>
    <row r="3214" spans="1:2" x14ac:dyDescent="0.25">
      <c r="A3214" t="s">
        <v>3840</v>
      </c>
      <c r="B3214" s="9">
        <v>0</v>
      </c>
    </row>
    <row r="3215" spans="1:2" x14ac:dyDescent="0.25">
      <c r="A3215" t="s">
        <v>3841</v>
      </c>
      <c r="B3215" s="9">
        <v>0</v>
      </c>
    </row>
    <row r="3216" spans="1:2" x14ac:dyDescent="0.25">
      <c r="A3216" t="s">
        <v>3842</v>
      </c>
      <c r="B3216" s="9">
        <v>0</v>
      </c>
    </row>
    <row r="3217" spans="1:2" x14ac:dyDescent="0.25">
      <c r="A3217" t="s">
        <v>3843</v>
      </c>
      <c r="B3217" s="9">
        <v>0</v>
      </c>
    </row>
    <row r="3218" spans="1:2" x14ac:dyDescent="0.25">
      <c r="A3218" t="s">
        <v>3844</v>
      </c>
      <c r="B3218" s="9">
        <v>0</v>
      </c>
    </row>
    <row r="3219" spans="1:2" x14ac:dyDescent="0.25">
      <c r="A3219" t="s">
        <v>3845</v>
      </c>
      <c r="B3219" s="9">
        <v>0</v>
      </c>
    </row>
    <row r="3220" spans="1:2" x14ac:dyDescent="0.25">
      <c r="A3220" t="s">
        <v>3846</v>
      </c>
      <c r="B3220" s="9">
        <v>0</v>
      </c>
    </row>
    <row r="3221" spans="1:2" x14ac:dyDescent="0.25">
      <c r="A3221" t="s">
        <v>3847</v>
      </c>
      <c r="B3221" s="9">
        <v>0</v>
      </c>
    </row>
    <row r="3222" spans="1:2" x14ac:dyDescent="0.25">
      <c r="A3222" t="s">
        <v>3848</v>
      </c>
      <c r="B3222" s="9">
        <v>0</v>
      </c>
    </row>
    <row r="3223" spans="1:2" x14ac:dyDescent="0.25">
      <c r="A3223" t="s">
        <v>3849</v>
      </c>
      <c r="B3223" s="9">
        <v>0</v>
      </c>
    </row>
    <row r="3224" spans="1:2" x14ac:dyDescent="0.25">
      <c r="A3224" t="s">
        <v>3850</v>
      </c>
      <c r="B3224" s="9">
        <v>0</v>
      </c>
    </row>
    <row r="3225" spans="1:2" x14ac:dyDescent="0.25">
      <c r="A3225" t="s">
        <v>3851</v>
      </c>
      <c r="B3225" s="9">
        <v>0</v>
      </c>
    </row>
    <row r="3226" spans="1:2" x14ac:dyDescent="0.25">
      <c r="A3226" t="s">
        <v>3852</v>
      </c>
      <c r="B3226" s="9">
        <v>0</v>
      </c>
    </row>
    <row r="3227" spans="1:2" x14ac:dyDescent="0.25">
      <c r="A3227" t="s">
        <v>3853</v>
      </c>
      <c r="B3227" s="9">
        <v>0</v>
      </c>
    </row>
    <row r="3228" spans="1:2" x14ac:dyDescent="0.25">
      <c r="A3228" t="s">
        <v>3854</v>
      </c>
      <c r="B3228" s="9">
        <v>0</v>
      </c>
    </row>
    <row r="3229" spans="1:2" x14ac:dyDescent="0.25">
      <c r="A3229" t="s">
        <v>3855</v>
      </c>
      <c r="B3229" s="9">
        <v>0</v>
      </c>
    </row>
    <row r="3230" spans="1:2" x14ac:dyDescent="0.25">
      <c r="A3230" t="s">
        <v>3856</v>
      </c>
      <c r="B3230" s="9">
        <v>0</v>
      </c>
    </row>
    <row r="3231" spans="1:2" x14ac:dyDescent="0.25">
      <c r="A3231" t="s">
        <v>3857</v>
      </c>
      <c r="B3231" s="9">
        <v>0</v>
      </c>
    </row>
    <row r="3232" spans="1:2" x14ac:dyDescent="0.25">
      <c r="A3232" t="s">
        <v>3858</v>
      </c>
      <c r="B3232" s="9">
        <v>0</v>
      </c>
    </row>
    <row r="3233" spans="1:2" x14ac:dyDescent="0.25">
      <c r="A3233" t="s">
        <v>3859</v>
      </c>
      <c r="B3233" s="9">
        <v>0</v>
      </c>
    </row>
    <row r="3234" spans="1:2" x14ac:dyDescent="0.25">
      <c r="A3234" t="s">
        <v>3860</v>
      </c>
      <c r="B3234" s="9">
        <v>0</v>
      </c>
    </row>
    <row r="3235" spans="1:2" x14ac:dyDescent="0.25">
      <c r="A3235" t="s">
        <v>3861</v>
      </c>
      <c r="B3235" s="9">
        <v>0</v>
      </c>
    </row>
    <row r="3236" spans="1:2" x14ac:dyDescent="0.25">
      <c r="A3236" t="s">
        <v>3862</v>
      </c>
      <c r="B3236" s="9">
        <v>0</v>
      </c>
    </row>
    <row r="3237" spans="1:2" x14ac:dyDescent="0.25">
      <c r="A3237" t="s">
        <v>3863</v>
      </c>
      <c r="B3237" s="9">
        <v>0</v>
      </c>
    </row>
    <row r="3238" spans="1:2" x14ac:dyDescent="0.25">
      <c r="A3238" t="s">
        <v>3864</v>
      </c>
      <c r="B3238" s="9">
        <v>0</v>
      </c>
    </row>
    <row r="3239" spans="1:2" x14ac:dyDescent="0.25">
      <c r="A3239" t="s">
        <v>3865</v>
      </c>
      <c r="B3239" s="9">
        <v>0</v>
      </c>
    </row>
    <row r="3240" spans="1:2" x14ac:dyDescent="0.25">
      <c r="A3240" t="s">
        <v>3866</v>
      </c>
      <c r="B3240" s="9">
        <v>0</v>
      </c>
    </row>
    <row r="3241" spans="1:2" x14ac:dyDescent="0.25">
      <c r="A3241" t="s">
        <v>3867</v>
      </c>
      <c r="B3241" s="9">
        <v>0</v>
      </c>
    </row>
    <row r="3242" spans="1:2" x14ac:dyDescent="0.25">
      <c r="A3242" t="s">
        <v>3868</v>
      </c>
      <c r="B3242" s="9">
        <v>0</v>
      </c>
    </row>
    <row r="3243" spans="1:2" x14ac:dyDescent="0.25">
      <c r="A3243" t="s">
        <v>3869</v>
      </c>
      <c r="B3243" s="9">
        <v>0</v>
      </c>
    </row>
    <row r="3244" spans="1:2" x14ac:dyDescent="0.25">
      <c r="A3244" t="s">
        <v>3870</v>
      </c>
      <c r="B3244" s="9">
        <v>0</v>
      </c>
    </row>
    <row r="3245" spans="1:2" x14ac:dyDescent="0.25">
      <c r="A3245" t="s">
        <v>3871</v>
      </c>
      <c r="B3245" s="9">
        <v>0</v>
      </c>
    </row>
    <row r="3246" spans="1:2" x14ac:dyDescent="0.25">
      <c r="A3246" t="s">
        <v>3872</v>
      </c>
      <c r="B3246" s="9">
        <v>0</v>
      </c>
    </row>
    <row r="3247" spans="1:2" x14ac:dyDescent="0.25">
      <c r="A3247" t="s">
        <v>3873</v>
      </c>
      <c r="B3247" s="9">
        <v>0</v>
      </c>
    </row>
    <row r="3248" spans="1:2" x14ac:dyDescent="0.25">
      <c r="A3248" t="s">
        <v>3874</v>
      </c>
      <c r="B3248" s="9">
        <v>0</v>
      </c>
    </row>
    <row r="3249" spans="1:2" x14ac:dyDescent="0.25">
      <c r="A3249" t="s">
        <v>3875</v>
      </c>
      <c r="B3249" s="9">
        <v>0</v>
      </c>
    </row>
    <row r="3250" spans="1:2" x14ac:dyDescent="0.25">
      <c r="A3250" t="s">
        <v>3876</v>
      </c>
      <c r="B3250" s="9">
        <v>0</v>
      </c>
    </row>
    <row r="3251" spans="1:2" x14ac:dyDescent="0.25">
      <c r="A3251" t="s">
        <v>3877</v>
      </c>
      <c r="B3251" s="9">
        <v>0</v>
      </c>
    </row>
    <row r="3252" spans="1:2" x14ac:dyDescent="0.25">
      <c r="A3252" t="s">
        <v>3878</v>
      </c>
      <c r="B3252" s="9">
        <v>0</v>
      </c>
    </row>
    <row r="3253" spans="1:2" x14ac:dyDescent="0.25">
      <c r="A3253" t="s">
        <v>3879</v>
      </c>
      <c r="B3253" s="9">
        <v>0</v>
      </c>
    </row>
    <row r="3254" spans="1:2" x14ac:dyDescent="0.25">
      <c r="A3254" t="s">
        <v>3880</v>
      </c>
      <c r="B3254" s="9">
        <v>0</v>
      </c>
    </row>
    <row r="3255" spans="1:2" x14ac:dyDescent="0.25">
      <c r="A3255" t="s">
        <v>3881</v>
      </c>
      <c r="B3255" s="9">
        <v>0</v>
      </c>
    </row>
    <row r="3256" spans="1:2" x14ac:dyDescent="0.25">
      <c r="A3256" t="s">
        <v>3882</v>
      </c>
      <c r="B3256" s="9">
        <v>0</v>
      </c>
    </row>
    <row r="3257" spans="1:2" x14ac:dyDescent="0.25">
      <c r="A3257" t="s">
        <v>3883</v>
      </c>
      <c r="B3257" s="9">
        <v>0</v>
      </c>
    </row>
    <row r="3258" spans="1:2" x14ac:dyDescent="0.25">
      <c r="A3258" t="s">
        <v>3884</v>
      </c>
      <c r="B3258" s="9">
        <v>0</v>
      </c>
    </row>
    <row r="3259" spans="1:2" x14ac:dyDescent="0.25">
      <c r="A3259" t="s">
        <v>3885</v>
      </c>
      <c r="B3259" s="9">
        <v>0</v>
      </c>
    </row>
    <row r="3260" spans="1:2" x14ac:dyDescent="0.25">
      <c r="A3260" t="s">
        <v>3886</v>
      </c>
      <c r="B3260" s="9">
        <v>0</v>
      </c>
    </row>
    <row r="3261" spans="1:2" x14ac:dyDescent="0.25">
      <c r="A3261" t="s">
        <v>3887</v>
      </c>
      <c r="B3261" s="9">
        <v>0</v>
      </c>
    </row>
    <row r="3262" spans="1:2" x14ac:dyDescent="0.25">
      <c r="A3262" t="s">
        <v>3888</v>
      </c>
      <c r="B3262" s="9">
        <v>0</v>
      </c>
    </row>
    <row r="3263" spans="1:2" x14ac:dyDescent="0.25">
      <c r="A3263" t="s">
        <v>3889</v>
      </c>
      <c r="B3263" s="9">
        <v>0</v>
      </c>
    </row>
    <row r="3264" spans="1:2" x14ac:dyDescent="0.25">
      <c r="A3264" t="s">
        <v>3890</v>
      </c>
      <c r="B3264" s="9">
        <v>0</v>
      </c>
    </row>
    <row r="3265" spans="1:2" x14ac:dyDescent="0.25">
      <c r="A3265" t="s">
        <v>3891</v>
      </c>
      <c r="B3265" s="9">
        <v>0</v>
      </c>
    </row>
    <row r="3266" spans="1:2" x14ac:dyDescent="0.25">
      <c r="A3266" t="s">
        <v>3892</v>
      </c>
      <c r="B3266" s="9">
        <v>0</v>
      </c>
    </row>
    <row r="3267" spans="1:2" x14ac:dyDescent="0.25">
      <c r="A3267" t="s">
        <v>3893</v>
      </c>
      <c r="B3267" s="9">
        <v>0</v>
      </c>
    </row>
    <row r="3268" spans="1:2" x14ac:dyDescent="0.25">
      <c r="A3268" t="s">
        <v>3894</v>
      </c>
      <c r="B3268" s="9">
        <v>0</v>
      </c>
    </row>
    <row r="3269" spans="1:2" x14ac:dyDescent="0.25">
      <c r="A3269" t="s">
        <v>3895</v>
      </c>
      <c r="B3269" s="9">
        <v>0</v>
      </c>
    </row>
    <row r="3270" spans="1:2" x14ac:dyDescent="0.25">
      <c r="A3270" t="s">
        <v>3896</v>
      </c>
      <c r="B3270" s="9">
        <v>0</v>
      </c>
    </row>
    <row r="3271" spans="1:2" x14ac:dyDescent="0.25">
      <c r="A3271" t="s">
        <v>3897</v>
      </c>
      <c r="B3271" s="9">
        <v>0</v>
      </c>
    </row>
    <row r="3272" spans="1:2" x14ac:dyDescent="0.25">
      <c r="A3272" t="s">
        <v>3898</v>
      </c>
      <c r="B3272" s="9">
        <v>0</v>
      </c>
    </row>
    <row r="3273" spans="1:2" x14ac:dyDescent="0.25">
      <c r="A3273" t="s">
        <v>3899</v>
      </c>
      <c r="B3273" s="9">
        <v>0</v>
      </c>
    </row>
    <row r="3274" spans="1:2" x14ac:dyDescent="0.25">
      <c r="A3274" t="s">
        <v>3900</v>
      </c>
      <c r="B3274" s="9">
        <v>0</v>
      </c>
    </row>
    <row r="3275" spans="1:2" x14ac:dyDescent="0.25">
      <c r="A3275" t="s">
        <v>3901</v>
      </c>
      <c r="B3275" s="9">
        <v>0</v>
      </c>
    </row>
    <row r="3276" spans="1:2" x14ac:dyDescent="0.25">
      <c r="A3276" t="s">
        <v>3902</v>
      </c>
      <c r="B3276" s="9">
        <v>0</v>
      </c>
    </row>
    <row r="3277" spans="1:2" x14ac:dyDescent="0.25">
      <c r="A3277" t="s">
        <v>3903</v>
      </c>
      <c r="B3277" s="9">
        <v>0</v>
      </c>
    </row>
    <row r="3278" spans="1:2" x14ac:dyDescent="0.25">
      <c r="A3278" t="s">
        <v>3904</v>
      </c>
      <c r="B3278" s="9">
        <v>0</v>
      </c>
    </row>
    <row r="3279" spans="1:2" x14ac:dyDescent="0.25">
      <c r="A3279" t="s">
        <v>3905</v>
      </c>
      <c r="B3279" s="9">
        <v>0</v>
      </c>
    </row>
    <row r="3280" spans="1:2" x14ac:dyDescent="0.25">
      <c r="A3280" t="s">
        <v>3906</v>
      </c>
      <c r="B3280" s="9">
        <v>0</v>
      </c>
    </row>
    <row r="3281" spans="1:2" x14ac:dyDescent="0.25">
      <c r="A3281" t="s">
        <v>3907</v>
      </c>
      <c r="B3281" s="9">
        <v>0</v>
      </c>
    </row>
    <row r="3282" spans="1:2" x14ac:dyDescent="0.25">
      <c r="A3282" t="s">
        <v>3908</v>
      </c>
      <c r="B3282" s="9">
        <v>0</v>
      </c>
    </row>
    <row r="3283" spans="1:2" x14ac:dyDescent="0.25">
      <c r="A3283" t="s">
        <v>3909</v>
      </c>
      <c r="B3283" s="9">
        <v>0</v>
      </c>
    </row>
    <row r="3284" spans="1:2" x14ac:dyDescent="0.25">
      <c r="A3284" t="s">
        <v>3910</v>
      </c>
      <c r="B3284" s="9">
        <v>0</v>
      </c>
    </row>
    <row r="3285" spans="1:2" x14ac:dyDescent="0.25">
      <c r="A3285" t="s">
        <v>3911</v>
      </c>
      <c r="B3285" s="9">
        <v>0</v>
      </c>
    </row>
    <row r="3286" spans="1:2" x14ac:dyDescent="0.25">
      <c r="A3286" t="s">
        <v>3912</v>
      </c>
      <c r="B3286" s="9">
        <v>0</v>
      </c>
    </row>
    <row r="3287" spans="1:2" x14ac:dyDescent="0.25">
      <c r="A3287" t="s">
        <v>3913</v>
      </c>
      <c r="B3287" s="9">
        <v>0</v>
      </c>
    </row>
    <row r="3288" spans="1:2" x14ac:dyDescent="0.25">
      <c r="A3288" t="s">
        <v>3914</v>
      </c>
      <c r="B3288" s="9">
        <v>0</v>
      </c>
    </row>
    <row r="3289" spans="1:2" x14ac:dyDescent="0.25">
      <c r="A3289" t="s">
        <v>3915</v>
      </c>
      <c r="B3289" s="9">
        <v>0</v>
      </c>
    </row>
    <row r="3290" spans="1:2" x14ac:dyDescent="0.25">
      <c r="A3290" t="s">
        <v>3916</v>
      </c>
      <c r="B3290" s="9">
        <v>0</v>
      </c>
    </row>
    <row r="3291" spans="1:2" x14ac:dyDescent="0.25">
      <c r="A3291" t="s">
        <v>3917</v>
      </c>
      <c r="B3291" s="9">
        <v>0</v>
      </c>
    </row>
    <row r="3292" spans="1:2" x14ac:dyDescent="0.25">
      <c r="A3292" t="s">
        <v>3918</v>
      </c>
      <c r="B3292" s="9">
        <v>0</v>
      </c>
    </row>
    <row r="3293" spans="1:2" x14ac:dyDescent="0.25">
      <c r="A3293" t="s">
        <v>3919</v>
      </c>
      <c r="B3293" s="9">
        <v>0</v>
      </c>
    </row>
    <row r="3294" spans="1:2" x14ac:dyDescent="0.25">
      <c r="A3294" t="s">
        <v>3920</v>
      </c>
      <c r="B3294" s="9">
        <v>0</v>
      </c>
    </row>
    <row r="3295" spans="1:2" x14ac:dyDescent="0.25">
      <c r="A3295" t="s">
        <v>3921</v>
      </c>
      <c r="B3295" s="9">
        <v>0</v>
      </c>
    </row>
    <row r="3296" spans="1:2" x14ac:dyDescent="0.25">
      <c r="A3296" t="s">
        <v>3922</v>
      </c>
      <c r="B3296" s="9">
        <v>0</v>
      </c>
    </row>
    <row r="3297" spans="1:2" x14ac:dyDescent="0.25">
      <c r="A3297" t="s">
        <v>3923</v>
      </c>
      <c r="B3297" s="9">
        <v>0</v>
      </c>
    </row>
    <row r="3298" spans="1:2" x14ac:dyDescent="0.25">
      <c r="A3298" t="s">
        <v>3924</v>
      </c>
      <c r="B3298" s="9">
        <v>0</v>
      </c>
    </row>
    <row r="3299" spans="1:2" x14ac:dyDescent="0.25">
      <c r="A3299" t="s">
        <v>3925</v>
      </c>
      <c r="B3299" s="9">
        <v>0</v>
      </c>
    </row>
    <row r="3300" spans="1:2" x14ac:dyDescent="0.25">
      <c r="A3300" t="s">
        <v>3926</v>
      </c>
      <c r="B3300" s="9">
        <v>0</v>
      </c>
    </row>
    <row r="3301" spans="1:2" x14ac:dyDescent="0.25">
      <c r="A3301" t="s">
        <v>3927</v>
      </c>
      <c r="B3301" s="9">
        <v>0</v>
      </c>
    </row>
    <row r="3302" spans="1:2" x14ac:dyDescent="0.25">
      <c r="A3302" t="s">
        <v>3928</v>
      </c>
      <c r="B3302" s="9">
        <v>0</v>
      </c>
    </row>
    <row r="3303" spans="1:2" x14ac:dyDescent="0.25">
      <c r="A3303" t="s">
        <v>3929</v>
      </c>
      <c r="B3303" s="9">
        <v>0</v>
      </c>
    </row>
    <row r="3304" spans="1:2" x14ac:dyDescent="0.25">
      <c r="A3304" t="s">
        <v>3930</v>
      </c>
      <c r="B3304" s="9">
        <v>0</v>
      </c>
    </row>
    <row r="3305" spans="1:2" x14ac:dyDescent="0.25">
      <c r="A3305" t="s">
        <v>3931</v>
      </c>
      <c r="B3305" s="9">
        <v>0</v>
      </c>
    </row>
    <row r="3306" spans="1:2" x14ac:dyDescent="0.25">
      <c r="A3306" t="s">
        <v>3932</v>
      </c>
      <c r="B3306" s="9">
        <v>0</v>
      </c>
    </row>
    <row r="3307" spans="1:2" x14ac:dyDescent="0.25">
      <c r="A3307" t="s">
        <v>3933</v>
      </c>
      <c r="B3307" s="9">
        <v>0</v>
      </c>
    </row>
    <row r="3308" spans="1:2" x14ac:dyDescent="0.25">
      <c r="A3308" t="s">
        <v>3934</v>
      </c>
      <c r="B3308" s="9">
        <v>0</v>
      </c>
    </row>
    <row r="3309" spans="1:2" x14ac:dyDescent="0.25">
      <c r="A3309" t="s">
        <v>3935</v>
      </c>
      <c r="B3309" s="9">
        <v>0</v>
      </c>
    </row>
    <row r="3310" spans="1:2" x14ac:dyDescent="0.25">
      <c r="A3310" t="s">
        <v>3936</v>
      </c>
      <c r="B3310" s="9">
        <v>0</v>
      </c>
    </row>
    <row r="3311" spans="1:2" x14ac:dyDescent="0.25">
      <c r="A3311" t="s">
        <v>3937</v>
      </c>
      <c r="B3311" s="9">
        <v>0</v>
      </c>
    </row>
    <row r="3312" spans="1:2" x14ac:dyDescent="0.25">
      <c r="A3312" t="s">
        <v>3938</v>
      </c>
      <c r="B3312" s="9">
        <v>0</v>
      </c>
    </row>
    <row r="3313" spans="1:2" x14ac:dyDescent="0.25">
      <c r="A3313" t="s">
        <v>3939</v>
      </c>
      <c r="B3313" s="9">
        <v>0</v>
      </c>
    </row>
    <row r="3314" spans="1:2" x14ac:dyDescent="0.25">
      <c r="A3314" t="s">
        <v>3940</v>
      </c>
      <c r="B3314" s="9">
        <v>0</v>
      </c>
    </row>
    <row r="3315" spans="1:2" x14ac:dyDescent="0.25">
      <c r="A3315" t="s">
        <v>3941</v>
      </c>
      <c r="B3315" s="9">
        <v>0</v>
      </c>
    </row>
    <row r="3316" spans="1:2" x14ac:dyDescent="0.25">
      <c r="A3316" t="s">
        <v>3942</v>
      </c>
      <c r="B3316" s="9">
        <v>0</v>
      </c>
    </row>
    <row r="3317" spans="1:2" x14ac:dyDescent="0.25">
      <c r="A3317" t="s">
        <v>3943</v>
      </c>
      <c r="B3317" s="9">
        <v>0</v>
      </c>
    </row>
    <row r="3318" spans="1:2" x14ac:dyDescent="0.25">
      <c r="A3318" t="s">
        <v>3944</v>
      </c>
      <c r="B3318" s="9">
        <v>0</v>
      </c>
    </row>
    <row r="3319" spans="1:2" x14ac:dyDescent="0.25">
      <c r="A3319" t="s">
        <v>3945</v>
      </c>
      <c r="B3319" s="9">
        <v>0</v>
      </c>
    </row>
    <row r="3320" spans="1:2" x14ac:dyDescent="0.25">
      <c r="A3320" t="s">
        <v>3946</v>
      </c>
      <c r="B3320" s="9">
        <v>0</v>
      </c>
    </row>
    <row r="3321" spans="1:2" x14ac:dyDescent="0.25">
      <c r="A3321" t="s">
        <v>3947</v>
      </c>
      <c r="B3321" s="9">
        <v>0</v>
      </c>
    </row>
    <row r="3322" spans="1:2" x14ac:dyDescent="0.25">
      <c r="A3322" t="s">
        <v>3948</v>
      </c>
      <c r="B3322" s="9">
        <v>0</v>
      </c>
    </row>
    <row r="3323" spans="1:2" x14ac:dyDescent="0.25">
      <c r="A3323" t="s">
        <v>3949</v>
      </c>
      <c r="B3323" s="9">
        <v>0</v>
      </c>
    </row>
    <row r="3324" spans="1:2" x14ac:dyDescent="0.25">
      <c r="A3324" t="s">
        <v>3950</v>
      </c>
      <c r="B3324" s="9">
        <v>0</v>
      </c>
    </row>
    <row r="3325" spans="1:2" x14ac:dyDescent="0.25">
      <c r="A3325" t="s">
        <v>3951</v>
      </c>
      <c r="B3325" s="9">
        <v>0</v>
      </c>
    </row>
    <row r="3326" spans="1:2" x14ac:dyDescent="0.25">
      <c r="A3326" t="s">
        <v>3952</v>
      </c>
      <c r="B3326" s="9">
        <v>0</v>
      </c>
    </row>
    <row r="3327" spans="1:2" x14ac:dyDescent="0.25">
      <c r="A3327" t="s">
        <v>3953</v>
      </c>
      <c r="B3327" s="9">
        <v>0</v>
      </c>
    </row>
    <row r="3328" spans="1:2" x14ac:dyDescent="0.25">
      <c r="A3328" t="s">
        <v>3954</v>
      </c>
      <c r="B3328" s="9">
        <v>0</v>
      </c>
    </row>
    <row r="3329" spans="1:2" x14ac:dyDescent="0.25">
      <c r="A3329" t="s">
        <v>3955</v>
      </c>
      <c r="B3329" s="9">
        <v>0</v>
      </c>
    </row>
    <row r="3330" spans="1:2" x14ac:dyDescent="0.25">
      <c r="A3330" t="s">
        <v>3956</v>
      </c>
      <c r="B3330" s="9">
        <v>0</v>
      </c>
    </row>
    <row r="3331" spans="1:2" x14ac:dyDescent="0.25">
      <c r="A3331" t="s">
        <v>3957</v>
      </c>
      <c r="B3331" s="9">
        <v>0</v>
      </c>
    </row>
    <row r="3332" spans="1:2" x14ac:dyDescent="0.25">
      <c r="A3332" t="s">
        <v>3958</v>
      </c>
      <c r="B3332" s="9">
        <v>0</v>
      </c>
    </row>
    <row r="3333" spans="1:2" x14ac:dyDescent="0.25">
      <c r="A3333" t="s">
        <v>3959</v>
      </c>
      <c r="B3333" s="9">
        <v>0</v>
      </c>
    </row>
    <row r="3334" spans="1:2" x14ac:dyDescent="0.25">
      <c r="A3334" t="s">
        <v>3960</v>
      </c>
      <c r="B3334" s="9">
        <v>0</v>
      </c>
    </row>
    <row r="3335" spans="1:2" x14ac:dyDescent="0.25">
      <c r="A3335" t="s">
        <v>3961</v>
      </c>
      <c r="B3335" s="9">
        <v>0</v>
      </c>
    </row>
    <row r="3336" spans="1:2" x14ac:dyDescent="0.25">
      <c r="A3336" t="s">
        <v>3962</v>
      </c>
      <c r="B3336" s="9">
        <v>0</v>
      </c>
    </row>
    <row r="3337" spans="1:2" x14ac:dyDescent="0.25">
      <c r="A3337" t="s">
        <v>3963</v>
      </c>
      <c r="B3337" s="9">
        <v>0</v>
      </c>
    </row>
    <row r="3338" spans="1:2" x14ac:dyDescent="0.25">
      <c r="A3338" t="s">
        <v>3964</v>
      </c>
      <c r="B3338" s="9">
        <v>0</v>
      </c>
    </row>
    <row r="3339" spans="1:2" x14ac:dyDescent="0.25">
      <c r="A3339" t="s">
        <v>3965</v>
      </c>
      <c r="B3339" s="9">
        <v>0</v>
      </c>
    </row>
    <row r="3340" spans="1:2" x14ac:dyDescent="0.25">
      <c r="A3340" t="s">
        <v>3966</v>
      </c>
      <c r="B3340" s="9">
        <v>0</v>
      </c>
    </row>
    <row r="3341" spans="1:2" x14ac:dyDescent="0.25">
      <c r="A3341" t="s">
        <v>3967</v>
      </c>
      <c r="B3341" s="9">
        <v>0</v>
      </c>
    </row>
    <row r="3342" spans="1:2" x14ac:dyDescent="0.25">
      <c r="A3342" t="s">
        <v>3968</v>
      </c>
      <c r="B3342" s="9">
        <v>0</v>
      </c>
    </row>
    <row r="3343" spans="1:2" x14ac:dyDescent="0.25">
      <c r="A3343" t="s">
        <v>3969</v>
      </c>
      <c r="B3343" s="9">
        <v>0</v>
      </c>
    </row>
    <row r="3344" spans="1:2" x14ac:dyDescent="0.25">
      <c r="A3344" t="s">
        <v>3970</v>
      </c>
      <c r="B3344" s="9">
        <v>0</v>
      </c>
    </row>
    <row r="3345" spans="1:2" x14ac:dyDescent="0.25">
      <c r="A3345" t="s">
        <v>3971</v>
      </c>
      <c r="B3345" s="9">
        <v>0</v>
      </c>
    </row>
    <row r="3346" spans="1:2" x14ac:dyDescent="0.25">
      <c r="A3346" t="s">
        <v>3972</v>
      </c>
      <c r="B3346" s="9">
        <v>0</v>
      </c>
    </row>
    <row r="3347" spans="1:2" x14ac:dyDescent="0.25">
      <c r="A3347" t="s">
        <v>3973</v>
      </c>
      <c r="B3347" s="9">
        <v>0</v>
      </c>
    </row>
    <row r="3348" spans="1:2" x14ac:dyDescent="0.25">
      <c r="A3348" t="s">
        <v>3974</v>
      </c>
      <c r="B3348" s="9">
        <v>0</v>
      </c>
    </row>
    <row r="3349" spans="1:2" x14ac:dyDescent="0.25">
      <c r="A3349" t="s">
        <v>3975</v>
      </c>
      <c r="B3349" s="9">
        <v>0</v>
      </c>
    </row>
    <row r="3350" spans="1:2" x14ac:dyDescent="0.25">
      <c r="A3350" t="s">
        <v>3976</v>
      </c>
      <c r="B3350" s="9">
        <v>0</v>
      </c>
    </row>
    <row r="3351" spans="1:2" x14ac:dyDescent="0.25">
      <c r="A3351" t="s">
        <v>3977</v>
      </c>
      <c r="B3351" s="9">
        <v>0</v>
      </c>
    </row>
    <row r="3352" spans="1:2" x14ac:dyDescent="0.25">
      <c r="A3352" t="s">
        <v>3978</v>
      </c>
      <c r="B3352" s="9">
        <v>0</v>
      </c>
    </row>
    <row r="3353" spans="1:2" x14ac:dyDescent="0.25">
      <c r="A3353" t="s">
        <v>3979</v>
      </c>
      <c r="B3353" s="9">
        <v>0</v>
      </c>
    </row>
    <row r="3354" spans="1:2" x14ac:dyDescent="0.25">
      <c r="A3354" t="s">
        <v>3980</v>
      </c>
      <c r="B3354" s="9">
        <v>0</v>
      </c>
    </row>
    <row r="3355" spans="1:2" x14ac:dyDescent="0.25">
      <c r="A3355" t="s">
        <v>3981</v>
      </c>
      <c r="B3355" s="9">
        <v>0</v>
      </c>
    </row>
    <row r="3356" spans="1:2" x14ac:dyDescent="0.25">
      <c r="A3356" t="s">
        <v>3982</v>
      </c>
      <c r="B3356" s="9">
        <v>0</v>
      </c>
    </row>
    <row r="3357" spans="1:2" x14ac:dyDescent="0.25">
      <c r="A3357" t="s">
        <v>3983</v>
      </c>
      <c r="B3357" s="9">
        <v>0</v>
      </c>
    </row>
    <row r="3358" spans="1:2" x14ac:dyDescent="0.25">
      <c r="A3358" t="s">
        <v>3984</v>
      </c>
      <c r="B3358" s="9">
        <v>0</v>
      </c>
    </row>
    <row r="3359" spans="1:2" x14ac:dyDescent="0.25">
      <c r="A3359" t="s">
        <v>3985</v>
      </c>
      <c r="B3359" s="9">
        <v>0</v>
      </c>
    </row>
    <row r="3360" spans="1:2" x14ac:dyDescent="0.25">
      <c r="A3360" t="s">
        <v>3986</v>
      </c>
      <c r="B3360" s="9">
        <v>0</v>
      </c>
    </row>
    <row r="3361" spans="1:2" x14ac:dyDescent="0.25">
      <c r="A3361" t="s">
        <v>3987</v>
      </c>
      <c r="B3361" s="9">
        <v>0</v>
      </c>
    </row>
    <row r="3362" spans="1:2" x14ac:dyDescent="0.25">
      <c r="A3362" t="s">
        <v>3988</v>
      </c>
      <c r="B3362" s="9">
        <v>0</v>
      </c>
    </row>
    <row r="3363" spans="1:2" x14ac:dyDescent="0.25">
      <c r="A3363" t="s">
        <v>3989</v>
      </c>
      <c r="B3363" s="9">
        <v>0</v>
      </c>
    </row>
    <row r="3364" spans="1:2" x14ac:dyDescent="0.25">
      <c r="A3364" t="s">
        <v>3990</v>
      </c>
      <c r="B3364" s="9">
        <v>0</v>
      </c>
    </row>
    <row r="3365" spans="1:2" x14ac:dyDescent="0.25">
      <c r="A3365" t="s">
        <v>3991</v>
      </c>
      <c r="B3365" s="9">
        <v>0</v>
      </c>
    </row>
    <row r="3366" spans="1:2" x14ac:dyDescent="0.25">
      <c r="A3366" t="s">
        <v>3992</v>
      </c>
      <c r="B3366" s="9">
        <v>0</v>
      </c>
    </row>
    <row r="3367" spans="1:2" x14ac:dyDescent="0.25">
      <c r="A3367" t="s">
        <v>3993</v>
      </c>
      <c r="B3367" s="9">
        <v>0</v>
      </c>
    </row>
    <row r="3368" spans="1:2" x14ac:dyDescent="0.25">
      <c r="A3368" t="s">
        <v>3994</v>
      </c>
      <c r="B3368" s="9">
        <v>0</v>
      </c>
    </row>
    <row r="3369" spans="1:2" x14ac:dyDescent="0.25">
      <c r="A3369" t="s">
        <v>3995</v>
      </c>
      <c r="B3369" s="9">
        <v>0</v>
      </c>
    </row>
    <row r="3370" spans="1:2" x14ac:dyDescent="0.25">
      <c r="A3370" t="s">
        <v>3996</v>
      </c>
      <c r="B3370" s="9">
        <v>0</v>
      </c>
    </row>
    <row r="3371" spans="1:2" x14ac:dyDescent="0.25">
      <c r="A3371" t="s">
        <v>3997</v>
      </c>
      <c r="B3371" s="9">
        <v>0</v>
      </c>
    </row>
    <row r="3372" spans="1:2" x14ac:dyDescent="0.25">
      <c r="A3372" t="s">
        <v>3998</v>
      </c>
      <c r="B3372" s="9">
        <v>0</v>
      </c>
    </row>
    <row r="3373" spans="1:2" x14ac:dyDescent="0.25">
      <c r="A3373" t="s">
        <v>3999</v>
      </c>
      <c r="B3373" s="9">
        <v>0</v>
      </c>
    </row>
    <row r="3374" spans="1:2" x14ac:dyDescent="0.25">
      <c r="A3374" t="s">
        <v>4000</v>
      </c>
      <c r="B3374" s="9">
        <v>0</v>
      </c>
    </row>
    <row r="3375" spans="1:2" x14ac:dyDescent="0.25">
      <c r="A3375" t="s">
        <v>4001</v>
      </c>
      <c r="B3375" s="9">
        <v>0</v>
      </c>
    </row>
    <row r="3376" spans="1:2" x14ac:dyDescent="0.25">
      <c r="A3376" t="s">
        <v>4002</v>
      </c>
      <c r="B3376" s="9">
        <v>0</v>
      </c>
    </row>
    <row r="3377" spans="1:2" x14ac:dyDescent="0.25">
      <c r="A3377" t="s">
        <v>4003</v>
      </c>
      <c r="B3377" s="9">
        <v>0</v>
      </c>
    </row>
    <row r="3378" spans="1:2" x14ac:dyDescent="0.25">
      <c r="A3378" t="s">
        <v>4004</v>
      </c>
      <c r="B3378" s="9">
        <v>0</v>
      </c>
    </row>
    <row r="3379" spans="1:2" x14ac:dyDescent="0.25">
      <c r="A3379" t="s">
        <v>4005</v>
      </c>
      <c r="B3379" s="9">
        <v>0</v>
      </c>
    </row>
    <row r="3380" spans="1:2" x14ac:dyDescent="0.25">
      <c r="A3380" t="s">
        <v>4006</v>
      </c>
      <c r="B3380" s="9">
        <v>0</v>
      </c>
    </row>
    <row r="3381" spans="1:2" x14ac:dyDescent="0.25">
      <c r="A3381" t="s">
        <v>4007</v>
      </c>
      <c r="B3381" s="9">
        <v>0</v>
      </c>
    </row>
    <row r="3382" spans="1:2" x14ac:dyDescent="0.25">
      <c r="A3382" t="s">
        <v>4008</v>
      </c>
      <c r="B3382" s="9">
        <v>0</v>
      </c>
    </row>
    <row r="3383" spans="1:2" x14ac:dyDescent="0.25">
      <c r="A3383" t="s">
        <v>4009</v>
      </c>
      <c r="B3383" s="9">
        <v>0</v>
      </c>
    </row>
    <row r="3384" spans="1:2" x14ac:dyDescent="0.25">
      <c r="A3384" t="s">
        <v>4010</v>
      </c>
      <c r="B3384" s="9">
        <v>0</v>
      </c>
    </row>
    <row r="3385" spans="1:2" x14ac:dyDescent="0.25">
      <c r="A3385" t="s">
        <v>4011</v>
      </c>
      <c r="B3385" s="9">
        <v>0</v>
      </c>
    </row>
    <row r="3386" spans="1:2" x14ac:dyDescent="0.25">
      <c r="A3386" t="s">
        <v>4012</v>
      </c>
      <c r="B3386" s="9">
        <v>0</v>
      </c>
    </row>
    <row r="3387" spans="1:2" x14ac:dyDescent="0.25">
      <c r="A3387" t="s">
        <v>4013</v>
      </c>
      <c r="B3387" s="9">
        <v>0</v>
      </c>
    </row>
    <row r="3388" spans="1:2" x14ac:dyDescent="0.25">
      <c r="A3388" t="s">
        <v>4014</v>
      </c>
      <c r="B3388" s="9">
        <v>0</v>
      </c>
    </row>
    <row r="3389" spans="1:2" x14ac:dyDescent="0.25">
      <c r="A3389" t="s">
        <v>4015</v>
      </c>
      <c r="B3389" s="9">
        <v>0</v>
      </c>
    </row>
    <row r="3390" spans="1:2" x14ac:dyDescent="0.25">
      <c r="A3390" t="s">
        <v>4016</v>
      </c>
      <c r="B3390" s="9">
        <v>0</v>
      </c>
    </row>
    <row r="3391" spans="1:2" x14ac:dyDescent="0.25">
      <c r="A3391" t="s">
        <v>4017</v>
      </c>
      <c r="B3391" s="9">
        <v>0</v>
      </c>
    </row>
    <row r="3392" spans="1:2" x14ac:dyDescent="0.25">
      <c r="A3392" t="s">
        <v>4018</v>
      </c>
      <c r="B3392" s="9">
        <v>0</v>
      </c>
    </row>
    <row r="3393" spans="1:2" x14ac:dyDescent="0.25">
      <c r="A3393" t="s">
        <v>4019</v>
      </c>
      <c r="B3393" s="9">
        <v>0</v>
      </c>
    </row>
    <row r="3394" spans="1:2" x14ac:dyDescent="0.25">
      <c r="A3394" t="s">
        <v>4020</v>
      </c>
      <c r="B3394" s="9">
        <v>0</v>
      </c>
    </row>
    <row r="3395" spans="1:2" x14ac:dyDescent="0.25">
      <c r="A3395" t="s">
        <v>4021</v>
      </c>
      <c r="B3395" s="9">
        <v>0</v>
      </c>
    </row>
    <row r="3396" spans="1:2" x14ac:dyDescent="0.25">
      <c r="A3396" t="s">
        <v>4022</v>
      </c>
      <c r="B3396" s="9">
        <v>0</v>
      </c>
    </row>
    <row r="3397" spans="1:2" x14ac:dyDescent="0.25">
      <c r="A3397" t="s">
        <v>4023</v>
      </c>
      <c r="B3397" s="9">
        <v>0</v>
      </c>
    </row>
    <row r="3398" spans="1:2" x14ac:dyDescent="0.25">
      <c r="A3398" t="s">
        <v>4024</v>
      </c>
      <c r="B3398" s="9">
        <v>0</v>
      </c>
    </row>
    <row r="3399" spans="1:2" x14ac:dyDescent="0.25">
      <c r="A3399" t="s">
        <v>4025</v>
      </c>
      <c r="B3399" s="9">
        <v>0</v>
      </c>
    </row>
    <row r="3400" spans="1:2" x14ac:dyDescent="0.25">
      <c r="A3400" t="s">
        <v>4026</v>
      </c>
      <c r="B3400" s="9">
        <v>0</v>
      </c>
    </row>
    <row r="3401" spans="1:2" x14ac:dyDescent="0.25">
      <c r="A3401" t="s">
        <v>4027</v>
      </c>
      <c r="B3401" s="9">
        <v>0</v>
      </c>
    </row>
    <row r="3402" spans="1:2" x14ac:dyDescent="0.25">
      <c r="A3402" t="s">
        <v>4028</v>
      </c>
      <c r="B3402" s="9">
        <v>0</v>
      </c>
    </row>
    <row r="3403" spans="1:2" x14ac:dyDescent="0.25">
      <c r="A3403" t="s">
        <v>4029</v>
      </c>
      <c r="B3403" s="9">
        <v>0</v>
      </c>
    </row>
    <row r="3404" spans="1:2" x14ac:dyDescent="0.25">
      <c r="A3404" t="s">
        <v>4030</v>
      </c>
      <c r="B3404" s="9">
        <v>0</v>
      </c>
    </row>
    <row r="3405" spans="1:2" x14ac:dyDescent="0.25">
      <c r="A3405" t="s">
        <v>4031</v>
      </c>
      <c r="B3405" s="9">
        <v>0</v>
      </c>
    </row>
    <row r="3406" spans="1:2" x14ac:dyDescent="0.25">
      <c r="A3406" t="s">
        <v>4032</v>
      </c>
      <c r="B3406" s="9">
        <v>0</v>
      </c>
    </row>
    <row r="3407" spans="1:2" x14ac:dyDescent="0.25">
      <c r="A3407" t="s">
        <v>4033</v>
      </c>
      <c r="B3407" s="9">
        <v>0</v>
      </c>
    </row>
    <row r="3408" spans="1:2" x14ac:dyDescent="0.25">
      <c r="A3408" t="s">
        <v>4034</v>
      </c>
      <c r="B3408" s="9">
        <v>0</v>
      </c>
    </row>
    <row r="3409" spans="1:2" x14ac:dyDescent="0.25">
      <c r="A3409" t="s">
        <v>4035</v>
      </c>
      <c r="B3409" s="9">
        <v>0</v>
      </c>
    </row>
    <row r="3410" spans="1:2" x14ac:dyDescent="0.25">
      <c r="A3410" t="s">
        <v>4036</v>
      </c>
      <c r="B3410" s="9">
        <v>0</v>
      </c>
    </row>
    <row r="3411" spans="1:2" x14ac:dyDescent="0.25">
      <c r="A3411" t="s">
        <v>4037</v>
      </c>
      <c r="B3411" s="9">
        <v>0</v>
      </c>
    </row>
    <row r="3412" spans="1:2" x14ac:dyDescent="0.25">
      <c r="A3412" t="s">
        <v>4038</v>
      </c>
      <c r="B3412" s="9">
        <v>0</v>
      </c>
    </row>
    <row r="3413" spans="1:2" x14ac:dyDescent="0.25">
      <c r="A3413" t="s">
        <v>4039</v>
      </c>
      <c r="B3413" s="9">
        <v>0</v>
      </c>
    </row>
    <row r="3414" spans="1:2" x14ac:dyDescent="0.25">
      <c r="A3414" t="s">
        <v>4040</v>
      </c>
      <c r="B3414" s="9">
        <v>0</v>
      </c>
    </row>
    <row r="3415" spans="1:2" x14ac:dyDescent="0.25">
      <c r="A3415" t="s">
        <v>4041</v>
      </c>
      <c r="B3415" s="9">
        <v>0</v>
      </c>
    </row>
    <row r="3416" spans="1:2" x14ac:dyDescent="0.25">
      <c r="A3416" t="s">
        <v>4042</v>
      </c>
      <c r="B3416" s="9">
        <v>0</v>
      </c>
    </row>
    <row r="3417" spans="1:2" x14ac:dyDescent="0.25">
      <c r="A3417" t="s">
        <v>4043</v>
      </c>
      <c r="B3417" s="9">
        <v>0</v>
      </c>
    </row>
    <row r="3418" spans="1:2" x14ac:dyDescent="0.25">
      <c r="A3418" t="s">
        <v>4044</v>
      </c>
      <c r="B3418" s="9">
        <v>0</v>
      </c>
    </row>
    <row r="3419" spans="1:2" x14ac:dyDescent="0.25">
      <c r="A3419" t="s">
        <v>4045</v>
      </c>
      <c r="B3419" s="9">
        <v>0</v>
      </c>
    </row>
    <row r="3420" spans="1:2" x14ac:dyDescent="0.25">
      <c r="A3420" t="s">
        <v>4046</v>
      </c>
      <c r="B3420" s="9">
        <v>0</v>
      </c>
    </row>
    <row r="3421" spans="1:2" x14ac:dyDescent="0.25">
      <c r="A3421" t="s">
        <v>4047</v>
      </c>
      <c r="B3421" s="9">
        <v>0</v>
      </c>
    </row>
    <row r="3422" spans="1:2" x14ac:dyDescent="0.25">
      <c r="A3422" t="s">
        <v>4048</v>
      </c>
      <c r="B3422" s="9">
        <v>0</v>
      </c>
    </row>
    <row r="3423" spans="1:2" x14ac:dyDescent="0.25">
      <c r="A3423" t="s">
        <v>4049</v>
      </c>
      <c r="B3423" s="9">
        <v>0</v>
      </c>
    </row>
    <row r="3424" spans="1:2" x14ac:dyDescent="0.25">
      <c r="A3424" t="s">
        <v>4050</v>
      </c>
      <c r="B3424" s="9">
        <v>0</v>
      </c>
    </row>
    <row r="3425" spans="1:2" x14ac:dyDescent="0.25">
      <c r="A3425" t="s">
        <v>4051</v>
      </c>
      <c r="B3425" s="9">
        <v>0</v>
      </c>
    </row>
    <row r="3426" spans="1:2" x14ac:dyDescent="0.25">
      <c r="A3426" t="s">
        <v>4052</v>
      </c>
      <c r="B3426" s="9">
        <v>0</v>
      </c>
    </row>
    <row r="3427" spans="1:2" x14ac:dyDescent="0.25">
      <c r="A3427" t="s">
        <v>4053</v>
      </c>
      <c r="B3427" s="9">
        <v>0</v>
      </c>
    </row>
    <row r="3428" spans="1:2" x14ac:dyDescent="0.25">
      <c r="A3428" t="s">
        <v>4054</v>
      </c>
      <c r="B3428" s="9">
        <v>0</v>
      </c>
    </row>
    <row r="3429" spans="1:2" x14ac:dyDescent="0.25">
      <c r="A3429" t="s">
        <v>4055</v>
      </c>
      <c r="B3429" s="9">
        <v>0</v>
      </c>
    </row>
    <row r="3430" spans="1:2" x14ac:dyDescent="0.25">
      <c r="A3430" t="s">
        <v>4056</v>
      </c>
      <c r="B3430" s="9">
        <v>0</v>
      </c>
    </row>
    <row r="3431" spans="1:2" x14ac:dyDescent="0.25">
      <c r="A3431" t="s">
        <v>4057</v>
      </c>
      <c r="B3431" s="9">
        <v>0</v>
      </c>
    </row>
    <row r="3432" spans="1:2" x14ac:dyDescent="0.25">
      <c r="A3432" t="s">
        <v>4058</v>
      </c>
      <c r="B3432" s="9">
        <v>0</v>
      </c>
    </row>
    <row r="3433" spans="1:2" x14ac:dyDescent="0.25">
      <c r="A3433" t="s">
        <v>4059</v>
      </c>
      <c r="B3433" s="9">
        <v>0</v>
      </c>
    </row>
    <row r="3434" spans="1:2" x14ac:dyDescent="0.25">
      <c r="A3434" t="s">
        <v>4060</v>
      </c>
      <c r="B3434" s="9">
        <v>0</v>
      </c>
    </row>
    <row r="3435" spans="1:2" x14ac:dyDescent="0.25">
      <c r="A3435" t="s">
        <v>4061</v>
      </c>
      <c r="B3435" s="9">
        <v>0</v>
      </c>
    </row>
    <row r="3436" spans="1:2" x14ac:dyDescent="0.25">
      <c r="A3436" t="s">
        <v>4062</v>
      </c>
      <c r="B3436" s="9">
        <v>0</v>
      </c>
    </row>
    <row r="3437" spans="1:2" x14ac:dyDescent="0.25">
      <c r="A3437" t="s">
        <v>4063</v>
      </c>
      <c r="B3437" s="9">
        <v>0</v>
      </c>
    </row>
    <row r="3438" spans="1:2" x14ac:dyDescent="0.25">
      <c r="A3438" t="s">
        <v>4064</v>
      </c>
      <c r="B3438" s="9">
        <v>0</v>
      </c>
    </row>
    <row r="3439" spans="1:2" x14ac:dyDescent="0.25">
      <c r="A3439" t="s">
        <v>4065</v>
      </c>
      <c r="B3439" s="9">
        <v>0</v>
      </c>
    </row>
    <row r="3440" spans="1:2" x14ac:dyDescent="0.25">
      <c r="A3440" t="s">
        <v>4066</v>
      </c>
      <c r="B3440" s="9">
        <v>0</v>
      </c>
    </row>
    <row r="3441" spans="1:2" x14ac:dyDescent="0.25">
      <c r="A3441" t="s">
        <v>4067</v>
      </c>
      <c r="B3441" s="9">
        <v>0</v>
      </c>
    </row>
    <row r="3442" spans="1:2" x14ac:dyDescent="0.25">
      <c r="A3442" t="s">
        <v>4068</v>
      </c>
      <c r="B3442" s="9">
        <v>0</v>
      </c>
    </row>
    <row r="3443" spans="1:2" x14ac:dyDescent="0.25">
      <c r="A3443" t="s">
        <v>4069</v>
      </c>
      <c r="B3443" s="9">
        <v>0</v>
      </c>
    </row>
    <row r="3444" spans="1:2" x14ac:dyDescent="0.25">
      <c r="A3444" t="s">
        <v>4070</v>
      </c>
      <c r="B3444" s="9">
        <v>0</v>
      </c>
    </row>
    <row r="3445" spans="1:2" x14ac:dyDescent="0.25">
      <c r="A3445" t="s">
        <v>4071</v>
      </c>
      <c r="B3445" s="9">
        <v>0</v>
      </c>
    </row>
    <row r="3446" spans="1:2" x14ac:dyDescent="0.25">
      <c r="A3446" t="s">
        <v>4072</v>
      </c>
      <c r="B3446" s="9">
        <v>0</v>
      </c>
    </row>
    <row r="3447" spans="1:2" x14ac:dyDescent="0.25">
      <c r="A3447" t="s">
        <v>4073</v>
      </c>
      <c r="B3447" s="9">
        <v>0</v>
      </c>
    </row>
    <row r="3448" spans="1:2" x14ac:dyDescent="0.25">
      <c r="A3448" t="s">
        <v>4074</v>
      </c>
      <c r="B3448" s="9">
        <v>0</v>
      </c>
    </row>
    <row r="3449" spans="1:2" x14ac:dyDescent="0.25">
      <c r="A3449" t="s">
        <v>4075</v>
      </c>
      <c r="B3449" s="9">
        <v>0</v>
      </c>
    </row>
    <row r="3450" spans="1:2" x14ac:dyDescent="0.25">
      <c r="A3450" t="s">
        <v>4076</v>
      </c>
      <c r="B3450" s="9">
        <v>0</v>
      </c>
    </row>
    <row r="3451" spans="1:2" x14ac:dyDescent="0.25">
      <c r="A3451" t="s">
        <v>4077</v>
      </c>
      <c r="B3451" s="9">
        <v>0</v>
      </c>
    </row>
    <row r="3452" spans="1:2" x14ac:dyDescent="0.25">
      <c r="A3452" t="s">
        <v>4078</v>
      </c>
      <c r="B3452" s="9">
        <v>0</v>
      </c>
    </row>
    <row r="3453" spans="1:2" x14ac:dyDescent="0.25">
      <c r="A3453" t="s">
        <v>4079</v>
      </c>
      <c r="B3453" s="9">
        <v>0</v>
      </c>
    </row>
    <row r="3454" spans="1:2" x14ac:dyDescent="0.25">
      <c r="A3454" t="s">
        <v>4080</v>
      </c>
      <c r="B3454" s="9">
        <v>0</v>
      </c>
    </row>
    <row r="3455" spans="1:2" x14ac:dyDescent="0.25">
      <c r="A3455" t="s">
        <v>4081</v>
      </c>
      <c r="B3455" s="9">
        <v>0</v>
      </c>
    </row>
    <row r="3456" spans="1:2" x14ac:dyDescent="0.25">
      <c r="A3456" t="s">
        <v>4082</v>
      </c>
      <c r="B3456" s="9">
        <v>0</v>
      </c>
    </row>
    <row r="3457" spans="1:2" x14ac:dyDescent="0.25">
      <c r="A3457" t="s">
        <v>4083</v>
      </c>
      <c r="B3457" s="9">
        <v>0</v>
      </c>
    </row>
    <row r="3458" spans="1:2" x14ac:dyDescent="0.25">
      <c r="A3458" t="s">
        <v>4084</v>
      </c>
      <c r="B3458" s="9">
        <v>0</v>
      </c>
    </row>
    <row r="3459" spans="1:2" x14ac:dyDescent="0.25">
      <c r="A3459" t="s">
        <v>4085</v>
      </c>
      <c r="B3459" s="9">
        <v>0</v>
      </c>
    </row>
    <row r="3460" spans="1:2" x14ac:dyDescent="0.25">
      <c r="A3460" t="s">
        <v>4086</v>
      </c>
      <c r="B3460" s="9">
        <v>0</v>
      </c>
    </row>
    <row r="3461" spans="1:2" x14ac:dyDescent="0.25">
      <c r="A3461" t="s">
        <v>4087</v>
      </c>
      <c r="B3461" s="9">
        <v>0</v>
      </c>
    </row>
    <row r="3462" spans="1:2" x14ac:dyDescent="0.25">
      <c r="A3462" t="s">
        <v>4088</v>
      </c>
      <c r="B3462" s="9">
        <v>0</v>
      </c>
    </row>
    <row r="3463" spans="1:2" x14ac:dyDescent="0.25">
      <c r="A3463" t="s">
        <v>4089</v>
      </c>
      <c r="B3463" s="9">
        <v>0</v>
      </c>
    </row>
    <row r="3464" spans="1:2" x14ac:dyDescent="0.25">
      <c r="A3464" t="s">
        <v>4090</v>
      </c>
      <c r="B3464" s="9">
        <v>0</v>
      </c>
    </row>
    <row r="3465" spans="1:2" x14ac:dyDescent="0.25">
      <c r="A3465" t="s">
        <v>4091</v>
      </c>
      <c r="B3465" s="9">
        <v>0</v>
      </c>
    </row>
    <row r="3466" spans="1:2" x14ac:dyDescent="0.25">
      <c r="A3466" t="s">
        <v>4092</v>
      </c>
      <c r="B3466" s="9">
        <v>0</v>
      </c>
    </row>
    <row r="3467" spans="1:2" x14ac:dyDescent="0.25">
      <c r="A3467" t="s">
        <v>4093</v>
      </c>
      <c r="B3467" s="9">
        <v>0</v>
      </c>
    </row>
    <row r="3468" spans="1:2" x14ac:dyDescent="0.25">
      <c r="A3468" t="s">
        <v>4094</v>
      </c>
      <c r="B3468" s="9">
        <v>0</v>
      </c>
    </row>
    <row r="3469" spans="1:2" x14ac:dyDescent="0.25">
      <c r="A3469" t="s">
        <v>4095</v>
      </c>
      <c r="B3469" s="9">
        <v>0</v>
      </c>
    </row>
    <row r="3470" spans="1:2" x14ac:dyDescent="0.25">
      <c r="A3470" t="s">
        <v>4096</v>
      </c>
      <c r="B3470" s="9">
        <v>0</v>
      </c>
    </row>
    <row r="3471" spans="1:2" x14ac:dyDescent="0.25">
      <c r="A3471" t="s">
        <v>4097</v>
      </c>
      <c r="B3471" s="9">
        <v>0</v>
      </c>
    </row>
    <row r="3472" spans="1:2" x14ac:dyDescent="0.25">
      <c r="A3472" t="s">
        <v>4098</v>
      </c>
      <c r="B3472" s="9">
        <v>0</v>
      </c>
    </row>
    <row r="3473" spans="1:2" x14ac:dyDescent="0.25">
      <c r="A3473" t="s">
        <v>4099</v>
      </c>
      <c r="B3473" s="9">
        <v>0</v>
      </c>
    </row>
    <row r="3474" spans="1:2" x14ac:dyDescent="0.25">
      <c r="A3474" t="s">
        <v>4100</v>
      </c>
      <c r="B3474" s="9">
        <v>0</v>
      </c>
    </row>
    <row r="3475" spans="1:2" x14ac:dyDescent="0.25">
      <c r="A3475" t="s">
        <v>4101</v>
      </c>
      <c r="B3475" s="9">
        <v>0</v>
      </c>
    </row>
    <row r="3476" spans="1:2" x14ac:dyDescent="0.25">
      <c r="A3476" t="s">
        <v>4102</v>
      </c>
      <c r="B3476" s="9">
        <v>0</v>
      </c>
    </row>
    <row r="3477" spans="1:2" x14ac:dyDescent="0.25">
      <c r="A3477" t="s">
        <v>4103</v>
      </c>
      <c r="B3477" s="9">
        <v>0</v>
      </c>
    </row>
    <row r="3478" spans="1:2" x14ac:dyDescent="0.25">
      <c r="A3478" t="s">
        <v>4104</v>
      </c>
      <c r="B3478" s="9">
        <v>0</v>
      </c>
    </row>
    <row r="3479" spans="1:2" x14ac:dyDescent="0.25">
      <c r="A3479" t="s">
        <v>4105</v>
      </c>
      <c r="B3479" s="9">
        <v>0</v>
      </c>
    </row>
    <row r="3480" spans="1:2" x14ac:dyDescent="0.25">
      <c r="A3480" t="s">
        <v>4106</v>
      </c>
      <c r="B3480" s="9">
        <v>0</v>
      </c>
    </row>
    <row r="3481" spans="1:2" x14ac:dyDescent="0.25">
      <c r="A3481" t="s">
        <v>4107</v>
      </c>
      <c r="B3481" s="9">
        <v>0</v>
      </c>
    </row>
    <row r="3482" spans="1:2" x14ac:dyDescent="0.25">
      <c r="A3482" t="s">
        <v>4108</v>
      </c>
      <c r="B3482" s="9">
        <v>0</v>
      </c>
    </row>
    <row r="3483" spans="1:2" x14ac:dyDescent="0.25">
      <c r="A3483" t="s">
        <v>4109</v>
      </c>
      <c r="B3483" s="9">
        <v>0</v>
      </c>
    </row>
    <row r="3484" spans="1:2" x14ac:dyDescent="0.25">
      <c r="A3484" t="s">
        <v>4110</v>
      </c>
      <c r="B3484" s="9">
        <v>0</v>
      </c>
    </row>
    <row r="3485" spans="1:2" x14ac:dyDescent="0.25">
      <c r="A3485" t="s">
        <v>4111</v>
      </c>
      <c r="B3485" s="9">
        <v>0</v>
      </c>
    </row>
    <row r="3486" spans="1:2" x14ac:dyDescent="0.25">
      <c r="A3486" t="s">
        <v>4112</v>
      </c>
      <c r="B3486" s="9">
        <v>0</v>
      </c>
    </row>
    <row r="3487" spans="1:2" x14ac:dyDescent="0.25">
      <c r="A3487" t="s">
        <v>4113</v>
      </c>
      <c r="B3487" s="9">
        <v>0</v>
      </c>
    </row>
    <row r="3488" spans="1:2" x14ac:dyDescent="0.25">
      <c r="A3488" t="s">
        <v>4114</v>
      </c>
      <c r="B3488" s="9">
        <v>0</v>
      </c>
    </row>
    <row r="3489" spans="1:2" x14ac:dyDescent="0.25">
      <c r="A3489" t="s">
        <v>4115</v>
      </c>
      <c r="B3489" s="9">
        <v>0</v>
      </c>
    </row>
    <row r="3490" spans="1:2" x14ac:dyDescent="0.25">
      <c r="A3490" t="s">
        <v>4116</v>
      </c>
      <c r="B3490" s="9">
        <v>0</v>
      </c>
    </row>
    <row r="3491" spans="1:2" x14ac:dyDescent="0.25">
      <c r="A3491" t="s">
        <v>4117</v>
      </c>
      <c r="B3491" s="9">
        <v>0</v>
      </c>
    </row>
    <row r="3492" spans="1:2" x14ac:dyDescent="0.25">
      <c r="A3492" t="s">
        <v>4118</v>
      </c>
      <c r="B3492" s="9">
        <v>0</v>
      </c>
    </row>
    <row r="3493" spans="1:2" x14ac:dyDescent="0.25">
      <c r="A3493" t="s">
        <v>4119</v>
      </c>
      <c r="B3493" s="9">
        <v>0</v>
      </c>
    </row>
    <row r="3494" spans="1:2" x14ac:dyDescent="0.25">
      <c r="A3494" t="s">
        <v>4120</v>
      </c>
      <c r="B3494" s="9">
        <v>0</v>
      </c>
    </row>
    <row r="3495" spans="1:2" x14ac:dyDescent="0.25">
      <c r="A3495" t="s">
        <v>4121</v>
      </c>
      <c r="B3495" s="9">
        <v>0</v>
      </c>
    </row>
    <row r="3496" spans="1:2" x14ac:dyDescent="0.25">
      <c r="A3496" t="s">
        <v>4122</v>
      </c>
      <c r="B3496" s="9">
        <v>0</v>
      </c>
    </row>
    <row r="3497" spans="1:2" x14ac:dyDescent="0.25">
      <c r="A3497" t="s">
        <v>4123</v>
      </c>
      <c r="B3497" s="9">
        <v>0</v>
      </c>
    </row>
    <row r="3498" spans="1:2" x14ac:dyDescent="0.25">
      <c r="A3498" t="s">
        <v>4124</v>
      </c>
      <c r="B3498" s="9">
        <v>0</v>
      </c>
    </row>
    <row r="3499" spans="1:2" x14ac:dyDescent="0.25">
      <c r="A3499" t="s">
        <v>4125</v>
      </c>
      <c r="B3499" s="9">
        <v>0</v>
      </c>
    </row>
    <row r="3500" spans="1:2" x14ac:dyDescent="0.25">
      <c r="A3500" t="s">
        <v>4126</v>
      </c>
      <c r="B3500" s="9">
        <v>0</v>
      </c>
    </row>
    <row r="3501" spans="1:2" x14ac:dyDescent="0.25">
      <c r="A3501" t="s">
        <v>4127</v>
      </c>
      <c r="B3501" s="9">
        <v>0</v>
      </c>
    </row>
    <row r="3502" spans="1:2" x14ac:dyDescent="0.25">
      <c r="A3502" t="s">
        <v>4128</v>
      </c>
      <c r="B3502" s="9">
        <v>0</v>
      </c>
    </row>
    <row r="3503" spans="1:2" x14ac:dyDescent="0.25">
      <c r="A3503" t="s">
        <v>4129</v>
      </c>
      <c r="B3503" s="9">
        <v>0</v>
      </c>
    </row>
    <row r="3504" spans="1:2" x14ac:dyDescent="0.25">
      <c r="A3504" t="s">
        <v>4130</v>
      </c>
      <c r="B3504" s="9">
        <v>0</v>
      </c>
    </row>
    <row r="3505" spans="1:2" x14ac:dyDescent="0.25">
      <c r="A3505" t="s">
        <v>4131</v>
      </c>
      <c r="B3505" s="9">
        <v>0</v>
      </c>
    </row>
    <row r="3506" spans="1:2" x14ac:dyDescent="0.25">
      <c r="A3506" t="s">
        <v>4132</v>
      </c>
      <c r="B3506" s="9">
        <v>0</v>
      </c>
    </row>
    <row r="3507" spans="1:2" x14ac:dyDescent="0.25">
      <c r="A3507" t="s">
        <v>4133</v>
      </c>
      <c r="B3507" s="9">
        <v>0</v>
      </c>
    </row>
    <row r="3508" spans="1:2" x14ac:dyDescent="0.25">
      <c r="A3508" t="s">
        <v>4134</v>
      </c>
      <c r="B3508" s="9">
        <v>0</v>
      </c>
    </row>
    <row r="3509" spans="1:2" x14ac:dyDescent="0.25">
      <c r="A3509" t="s">
        <v>4135</v>
      </c>
      <c r="B3509" s="9">
        <v>0</v>
      </c>
    </row>
    <row r="3510" spans="1:2" x14ac:dyDescent="0.25">
      <c r="A3510" t="s">
        <v>4136</v>
      </c>
      <c r="B3510" s="9">
        <v>0</v>
      </c>
    </row>
    <row r="3511" spans="1:2" x14ac:dyDescent="0.25">
      <c r="A3511" t="s">
        <v>4137</v>
      </c>
      <c r="B3511" s="9">
        <v>0</v>
      </c>
    </row>
    <row r="3512" spans="1:2" x14ac:dyDescent="0.25">
      <c r="A3512" t="s">
        <v>4138</v>
      </c>
      <c r="B3512" s="9">
        <v>0</v>
      </c>
    </row>
    <row r="3513" spans="1:2" x14ac:dyDescent="0.25">
      <c r="A3513" t="s">
        <v>4139</v>
      </c>
      <c r="B3513" s="9">
        <v>0</v>
      </c>
    </row>
    <row r="3514" spans="1:2" x14ac:dyDescent="0.25">
      <c r="A3514" t="s">
        <v>4140</v>
      </c>
      <c r="B3514" s="9">
        <v>0</v>
      </c>
    </row>
    <row r="3515" spans="1:2" x14ac:dyDescent="0.25">
      <c r="A3515" t="s">
        <v>4141</v>
      </c>
      <c r="B3515" s="9">
        <v>0</v>
      </c>
    </row>
    <row r="3516" spans="1:2" x14ac:dyDescent="0.25">
      <c r="A3516" t="s">
        <v>4142</v>
      </c>
      <c r="B3516" s="9">
        <v>0</v>
      </c>
    </row>
    <row r="3517" spans="1:2" x14ac:dyDescent="0.25">
      <c r="A3517" t="s">
        <v>4143</v>
      </c>
      <c r="B3517" s="9">
        <v>0</v>
      </c>
    </row>
    <row r="3518" spans="1:2" x14ac:dyDescent="0.25">
      <c r="A3518" t="s">
        <v>4144</v>
      </c>
      <c r="B3518" s="9">
        <v>0</v>
      </c>
    </row>
    <row r="3519" spans="1:2" x14ac:dyDescent="0.25">
      <c r="A3519" t="s">
        <v>4145</v>
      </c>
      <c r="B3519" s="9">
        <v>0</v>
      </c>
    </row>
    <row r="3520" spans="1:2" x14ac:dyDescent="0.25">
      <c r="A3520" t="s">
        <v>4146</v>
      </c>
      <c r="B3520" s="9">
        <v>0</v>
      </c>
    </row>
    <row r="3521" spans="1:2" x14ac:dyDescent="0.25">
      <c r="A3521" t="s">
        <v>4147</v>
      </c>
      <c r="B3521" s="9">
        <v>0</v>
      </c>
    </row>
    <row r="3522" spans="1:2" x14ac:dyDescent="0.25">
      <c r="A3522" t="s">
        <v>4148</v>
      </c>
      <c r="B3522" s="9">
        <v>0</v>
      </c>
    </row>
    <row r="3523" spans="1:2" x14ac:dyDescent="0.25">
      <c r="A3523" t="s">
        <v>4149</v>
      </c>
      <c r="B3523" s="9">
        <v>0</v>
      </c>
    </row>
    <row r="3524" spans="1:2" x14ac:dyDescent="0.25">
      <c r="A3524" t="s">
        <v>4150</v>
      </c>
      <c r="B3524" s="9">
        <v>0</v>
      </c>
    </row>
    <row r="3525" spans="1:2" x14ac:dyDescent="0.25">
      <c r="A3525" t="s">
        <v>4151</v>
      </c>
      <c r="B3525" s="9">
        <v>0</v>
      </c>
    </row>
    <row r="3526" spans="1:2" x14ac:dyDescent="0.25">
      <c r="A3526" t="s">
        <v>4152</v>
      </c>
      <c r="B3526" s="9">
        <v>0</v>
      </c>
    </row>
    <row r="3527" spans="1:2" x14ac:dyDescent="0.25">
      <c r="A3527" t="s">
        <v>4153</v>
      </c>
      <c r="B3527" s="9">
        <v>0</v>
      </c>
    </row>
    <row r="3528" spans="1:2" x14ac:dyDescent="0.25">
      <c r="A3528" t="s">
        <v>4154</v>
      </c>
      <c r="B3528" s="9">
        <v>0</v>
      </c>
    </row>
    <row r="3529" spans="1:2" x14ac:dyDescent="0.25">
      <c r="A3529" t="s">
        <v>4155</v>
      </c>
      <c r="B3529" s="9">
        <v>0</v>
      </c>
    </row>
    <row r="3530" spans="1:2" x14ac:dyDescent="0.25">
      <c r="A3530" t="s">
        <v>4156</v>
      </c>
      <c r="B3530" s="9">
        <v>0</v>
      </c>
    </row>
    <row r="3531" spans="1:2" x14ac:dyDescent="0.25">
      <c r="A3531" t="s">
        <v>4157</v>
      </c>
      <c r="B3531" s="9">
        <v>0</v>
      </c>
    </row>
    <row r="3532" spans="1:2" x14ac:dyDescent="0.25">
      <c r="A3532" t="s">
        <v>4158</v>
      </c>
      <c r="B3532" s="9">
        <v>0</v>
      </c>
    </row>
    <row r="3533" spans="1:2" x14ac:dyDescent="0.25">
      <c r="A3533" t="s">
        <v>4159</v>
      </c>
      <c r="B3533" s="9">
        <v>0</v>
      </c>
    </row>
    <row r="3534" spans="1:2" x14ac:dyDescent="0.25">
      <c r="A3534" t="s">
        <v>4160</v>
      </c>
      <c r="B3534" s="9">
        <v>0</v>
      </c>
    </row>
    <row r="3535" spans="1:2" x14ac:dyDescent="0.25">
      <c r="A3535" t="s">
        <v>4161</v>
      </c>
      <c r="B3535" s="9">
        <v>0</v>
      </c>
    </row>
    <row r="3536" spans="1:2" x14ac:dyDescent="0.25">
      <c r="A3536" t="s">
        <v>4162</v>
      </c>
      <c r="B3536" s="9">
        <v>0</v>
      </c>
    </row>
    <row r="3537" spans="1:2" x14ac:dyDescent="0.25">
      <c r="A3537" t="s">
        <v>4163</v>
      </c>
      <c r="B3537" s="9">
        <v>0</v>
      </c>
    </row>
    <row r="3538" spans="1:2" x14ac:dyDescent="0.25">
      <c r="A3538" t="s">
        <v>4164</v>
      </c>
      <c r="B3538" s="9">
        <v>0</v>
      </c>
    </row>
    <row r="3539" spans="1:2" x14ac:dyDescent="0.25">
      <c r="A3539" t="s">
        <v>4165</v>
      </c>
      <c r="B3539" s="9">
        <v>0</v>
      </c>
    </row>
    <row r="3540" spans="1:2" x14ac:dyDescent="0.25">
      <c r="A3540" t="s">
        <v>4166</v>
      </c>
      <c r="B3540" s="9">
        <v>0</v>
      </c>
    </row>
    <row r="3541" spans="1:2" x14ac:dyDescent="0.25">
      <c r="A3541" t="s">
        <v>4167</v>
      </c>
      <c r="B3541" s="9">
        <v>0</v>
      </c>
    </row>
    <row r="3542" spans="1:2" x14ac:dyDescent="0.25">
      <c r="A3542" t="s">
        <v>4168</v>
      </c>
      <c r="B3542" s="9">
        <v>0</v>
      </c>
    </row>
    <row r="3543" spans="1:2" x14ac:dyDescent="0.25">
      <c r="A3543" t="s">
        <v>4169</v>
      </c>
      <c r="B3543" s="9">
        <v>0</v>
      </c>
    </row>
    <row r="3544" spans="1:2" x14ac:dyDescent="0.25">
      <c r="A3544" t="s">
        <v>4170</v>
      </c>
      <c r="B3544" s="9">
        <v>0</v>
      </c>
    </row>
    <row r="3545" spans="1:2" x14ac:dyDescent="0.25">
      <c r="A3545" t="s">
        <v>4171</v>
      </c>
      <c r="B3545" s="9">
        <v>0</v>
      </c>
    </row>
    <row r="3546" spans="1:2" x14ac:dyDescent="0.25">
      <c r="A3546" t="s">
        <v>4172</v>
      </c>
      <c r="B3546" s="9">
        <v>0</v>
      </c>
    </row>
    <row r="3547" spans="1:2" x14ac:dyDescent="0.25">
      <c r="A3547" t="s">
        <v>4173</v>
      </c>
      <c r="B3547" s="9">
        <v>0</v>
      </c>
    </row>
    <row r="3548" spans="1:2" x14ac:dyDescent="0.25">
      <c r="A3548" t="s">
        <v>4174</v>
      </c>
      <c r="B3548" s="9">
        <v>0</v>
      </c>
    </row>
    <row r="3549" spans="1:2" x14ac:dyDescent="0.25">
      <c r="A3549" t="s">
        <v>4175</v>
      </c>
      <c r="B3549" s="9">
        <v>0</v>
      </c>
    </row>
    <row r="3550" spans="1:2" x14ac:dyDescent="0.25">
      <c r="A3550" t="s">
        <v>4176</v>
      </c>
      <c r="B3550" s="9">
        <v>0</v>
      </c>
    </row>
    <row r="3551" spans="1:2" x14ac:dyDescent="0.25">
      <c r="A3551" t="s">
        <v>4177</v>
      </c>
      <c r="B3551" s="9">
        <v>0</v>
      </c>
    </row>
    <row r="3552" spans="1:2" x14ac:dyDescent="0.25">
      <c r="A3552" t="s">
        <v>4178</v>
      </c>
      <c r="B3552" s="9">
        <v>0</v>
      </c>
    </row>
    <row r="3553" spans="1:2" x14ac:dyDescent="0.25">
      <c r="A3553" t="s">
        <v>4179</v>
      </c>
      <c r="B3553" s="9">
        <v>0</v>
      </c>
    </row>
    <row r="3554" spans="1:2" x14ac:dyDescent="0.25">
      <c r="A3554" t="s">
        <v>4180</v>
      </c>
      <c r="B3554" s="9">
        <v>0</v>
      </c>
    </row>
    <row r="3555" spans="1:2" x14ac:dyDescent="0.25">
      <c r="A3555" t="s">
        <v>4181</v>
      </c>
      <c r="B3555" s="9">
        <v>0</v>
      </c>
    </row>
    <row r="3556" spans="1:2" x14ac:dyDescent="0.25">
      <c r="A3556" t="s">
        <v>4182</v>
      </c>
      <c r="B3556" s="9">
        <v>0</v>
      </c>
    </row>
    <row r="3557" spans="1:2" x14ac:dyDescent="0.25">
      <c r="A3557" t="s">
        <v>4183</v>
      </c>
      <c r="B3557" s="9">
        <v>0</v>
      </c>
    </row>
    <row r="3558" spans="1:2" x14ac:dyDescent="0.25">
      <c r="A3558" t="s">
        <v>4184</v>
      </c>
      <c r="B3558" s="9">
        <v>0</v>
      </c>
    </row>
    <row r="3559" spans="1:2" x14ac:dyDescent="0.25">
      <c r="A3559" t="s">
        <v>4185</v>
      </c>
      <c r="B3559" s="9">
        <v>0</v>
      </c>
    </row>
    <row r="3560" spans="1:2" x14ac:dyDescent="0.25">
      <c r="A3560" t="s">
        <v>4186</v>
      </c>
      <c r="B3560" s="9">
        <v>0</v>
      </c>
    </row>
    <row r="3561" spans="1:2" x14ac:dyDescent="0.25">
      <c r="A3561" t="s">
        <v>4187</v>
      </c>
      <c r="B3561" s="9">
        <v>0</v>
      </c>
    </row>
    <row r="3562" spans="1:2" x14ac:dyDescent="0.25">
      <c r="A3562" t="s">
        <v>4188</v>
      </c>
      <c r="B3562" s="9">
        <v>0</v>
      </c>
    </row>
    <row r="3563" spans="1:2" x14ac:dyDescent="0.25">
      <c r="A3563" t="s">
        <v>4189</v>
      </c>
      <c r="B3563" s="9">
        <v>0</v>
      </c>
    </row>
    <row r="3564" spans="1:2" x14ac:dyDescent="0.25">
      <c r="A3564" t="s">
        <v>4190</v>
      </c>
      <c r="B3564" s="9">
        <v>0</v>
      </c>
    </row>
    <row r="3565" spans="1:2" x14ac:dyDescent="0.25">
      <c r="A3565" t="s">
        <v>4191</v>
      </c>
      <c r="B3565" s="9">
        <v>0</v>
      </c>
    </row>
    <row r="3566" spans="1:2" x14ac:dyDescent="0.25">
      <c r="A3566" t="s">
        <v>4192</v>
      </c>
      <c r="B3566" s="9">
        <v>0</v>
      </c>
    </row>
    <row r="3567" spans="1:2" x14ac:dyDescent="0.25">
      <c r="A3567" t="s">
        <v>4193</v>
      </c>
      <c r="B3567" s="9">
        <v>0</v>
      </c>
    </row>
    <row r="3568" spans="1:2" x14ac:dyDescent="0.25">
      <c r="A3568" t="s">
        <v>4194</v>
      </c>
      <c r="B3568" s="9">
        <v>0</v>
      </c>
    </row>
    <row r="3569" spans="1:2" x14ac:dyDescent="0.25">
      <c r="A3569" t="s">
        <v>4195</v>
      </c>
      <c r="B3569" s="9">
        <v>0</v>
      </c>
    </row>
    <row r="3570" spans="1:2" x14ac:dyDescent="0.25">
      <c r="A3570" t="s">
        <v>4196</v>
      </c>
      <c r="B3570" s="9">
        <v>0</v>
      </c>
    </row>
    <row r="3571" spans="1:2" x14ac:dyDescent="0.25">
      <c r="A3571" t="s">
        <v>4197</v>
      </c>
      <c r="B3571" s="9">
        <v>0</v>
      </c>
    </row>
    <row r="3572" spans="1:2" x14ac:dyDescent="0.25">
      <c r="A3572" t="s">
        <v>4198</v>
      </c>
      <c r="B3572" s="9">
        <v>0</v>
      </c>
    </row>
    <row r="3573" spans="1:2" x14ac:dyDescent="0.25">
      <c r="A3573" t="s">
        <v>4199</v>
      </c>
      <c r="B3573" s="9">
        <v>0</v>
      </c>
    </row>
    <row r="3574" spans="1:2" x14ac:dyDescent="0.25">
      <c r="A3574" t="s">
        <v>4200</v>
      </c>
      <c r="B3574" s="9">
        <v>0</v>
      </c>
    </row>
    <row r="3575" spans="1:2" x14ac:dyDescent="0.25">
      <c r="A3575" t="s">
        <v>4201</v>
      </c>
      <c r="B3575" s="9">
        <v>0</v>
      </c>
    </row>
    <row r="3576" spans="1:2" x14ac:dyDescent="0.25">
      <c r="A3576" t="s">
        <v>4202</v>
      </c>
      <c r="B3576" s="9">
        <v>0</v>
      </c>
    </row>
    <row r="3577" spans="1:2" x14ac:dyDescent="0.25">
      <c r="A3577" t="s">
        <v>4203</v>
      </c>
      <c r="B3577" s="9">
        <v>0</v>
      </c>
    </row>
    <row r="3578" spans="1:2" x14ac:dyDescent="0.25">
      <c r="A3578" t="s">
        <v>4204</v>
      </c>
      <c r="B3578" s="9">
        <v>0</v>
      </c>
    </row>
    <row r="3579" spans="1:2" x14ac:dyDescent="0.25">
      <c r="A3579" t="s">
        <v>4205</v>
      </c>
      <c r="B3579" s="9">
        <v>0</v>
      </c>
    </row>
    <row r="3580" spans="1:2" x14ac:dyDescent="0.25">
      <c r="A3580" t="s">
        <v>4206</v>
      </c>
      <c r="B3580" s="9">
        <v>0</v>
      </c>
    </row>
    <row r="3581" spans="1:2" x14ac:dyDescent="0.25">
      <c r="A3581" t="s">
        <v>4207</v>
      </c>
      <c r="B3581" s="9">
        <v>0</v>
      </c>
    </row>
    <row r="3582" spans="1:2" x14ac:dyDescent="0.25">
      <c r="A3582" t="s">
        <v>4208</v>
      </c>
      <c r="B3582" s="9">
        <v>0</v>
      </c>
    </row>
    <row r="3583" spans="1:2" x14ac:dyDescent="0.25">
      <c r="A3583" t="s">
        <v>4209</v>
      </c>
      <c r="B3583" s="9">
        <v>0</v>
      </c>
    </row>
    <row r="3584" spans="1:2" x14ac:dyDescent="0.25">
      <c r="A3584" t="s">
        <v>4210</v>
      </c>
      <c r="B3584" s="9">
        <v>0</v>
      </c>
    </row>
    <row r="3585" spans="1:2" x14ac:dyDescent="0.25">
      <c r="A3585" t="s">
        <v>4211</v>
      </c>
      <c r="B3585" s="9">
        <v>0</v>
      </c>
    </row>
    <row r="3586" spans="1:2" x14ac:dyDescent="0.25">
      <c r="A3586" t="s">
        <v>4212</v>
      </c>
      <c r="B3586" s="9">
        <v>0</v>
      </c>
    </row>
    <row r="3587" spans="1:2" x14ac:dyDescent="0.25">
      <c r="A3587" t="s">
        <v>4213</v>
      </c>
      <c r="B3587" s="9">
        <v>0</v>
      </c>
    </row>
    <row r="3588" spans="1:2" x14ac:dyDescent="0.25">
      <c r="A3588" t="s">
        <v>4214</v>
      </c>
      <c r="B3588" s="9">
        <v>0</v>
      </c>
    </row>
    <row r="3589" spans="1:2" x14ac:dyDescent="0.25">
      <c r="A3589" t="s">
        <v>4215</v>
      </c>
      <c r="B3589" s="9">
        <v>0</v>
      </c>
    </row>
    <row r="3590" spans="1:2" x14ac:dyDescent="0.25">
      <c r="A3590" t="s">
        <v>4216</v>
      </c>
      <c r="B3590" s="9">
        <v>0</v>
      </c>
    </row>
    <row r="3591" spans="1:2" x14ac:dyDescent="0.25">
      <c r="A3591" t="s">
        <v>4217</v>
      </c>
      <c r="B3591" s="9">
        <v>0</v>
      </c>
    </row>
    <row r="3592" spans="1:2" x14ac:dyDescent="0.25">
      <c r="A3592" t="s">
        <v>4218</v>
      </c>
      <c r="B3592" s="9">
        <v>0</v>
      </c>
    </row>
    <row r="3593" spans="1:2" x14ac:dyDescent="0.25">
      <c r="A3593" t="s">
        <v>4219</v>
      </c>
      <c r="B3593" s="9">
        <v>0</v>
      </c>
    </row>
    <row r="3594" spans="1:2" x14ac:dyDescent="0.25">
      <c r="A3594" t="s">
        <v>4220</v>
      </c>
      <c r="B3594" s="9">
        <v>0</v>
      </c>
    </row>
    <row r="3595" spans="1:2" x14ac:dyDescent="0.25">
      <c r="A3595" t="s">
        <v>4221</v>
      </c>
      <c r="B3595" s="9">
        <v>0</v>
      </c>
    </row>
    <row r="3596" spans="1:2" x14ac:dyDescent="0.25">
      <c r="A3596" t="s">
        <v>4222</v>
      </c>
      <c r="B3596" s="9">
        <v>0</v>
      </c>
    </row>
    <row r="3597" spans="1:2" x14ac:dyDescent="0.25">
      <c r="A3597" t="s">
        <v>4223</v>
      </c>
      <c r="B3597" s="9">
        <v>0</v>
      </c>
    </row>
    <row r="3598" spans="1:2" x14ac:dyDescent="0.25">
      <c r="A3598" t="s">
        <v>4224</v>
      </c>
      <c r="B3598" s="9">
        <v>0</v>
      </c>
    </row>
    <row r="3599" spans="1:2" x14ac:dyDescent="0.25">
      <c r="A3599" t="s">
        <v>4225</v>
      </c>
      <c r="B3599" s="9">
        <v>0</v>
      </c>
    </row>
    <row r="3600" spans="1:2" x14ac:dyDescent="0.25">
      <c r="A3600" t="s">
        <v>4226</v>
      </c>
      <c r="B3600" s="9">
        <v>0</v>
      </c>
    </row>
    <row r="3601" spans="1:2" x14ac:dyDescent="0.25">
      <c r="A3601" t="s">
        <v>4227</v>
      </c>
      <c r="B3601" s="9">
        <v>0</v>
      </c>
    </row>
    <row r="3602" spans="1:2" x14ac:dyDescent="0.25">
      <c r="A3602" t="s">
        <v>4228</v>
      </c>
      <c r="B3602" s="9">
        <v>0</v>
      </c>
    </row>
    <row r="3603" spans="1:2" x14ac:dyDescent="0.25">
      <c r="A3603" t="s">
        <v>4229</v>
      </c>
      <c r="B3603" s="9">
        <v>0</v>
      </c>
    </row>
    <row r="3604" spans="1:2" x14ac:dyDescent="0.25">
      <c r="A3604" t="s">
        <v>4230</v>
      </c>
      <c r="B3604" s="9">
        <v>0</v>
      </c>
    </row>
    <row r="3605" spans="1:2" x14ac:dyDescent="0.25">
      <c r="A3605" t="s">
        <v>4231</v>
      </c>
      <c r="B3605" s="9">
        <v>0</v>
      </c>
    </row>
    <row r="3606" spans="1:2" x14ac:dyDescent="0.25">
      <c r="A3606" t="s">
        <v>4232</v>
      </c>
      <c r="B3606" s="9">
        <v>0</v>
      </c>
    </row>
    <row r="3607" spans="1:2" x14ac:dyDescent="0.25">
      <c r="A3607" t="s">
        <v>4233</v>
      </c>
      <c r="B3607" s="9">
        <v>0</v>
      </c>
    </row>
    <row r="3608" spans="1:2" x14ac:dyDescent="0.25">
      <c r="A3608" t="s">
        <v>4234</v>
      </c>
      <c r="B3608" s="9">
        <v>0</v>
      </c>
    </row>
    <row r="3609" spans="1:2" x14ac:dyDescent="0.25">
      <c r="A3609" t="s">
        <v>4235</v>
      </c>
      <c r="B3609" s="9">
        <v>0</v>
      </c>
    </row>
    <row r="3610" spans="1:2" x14ac:dyDescent="0.25">
      <c r="A3610" t="s">
        <v>4236</v>
      </c>
      <c r="B3610" s="9">
        <v>0</v>
      </c>
    </row>
    <row r="3611" spans="1:2" x14ac:dyDescent="0.25">
      <c r="A3611" t="s">
        <v>4237</v>
      </c>
      <c r="B3611" s="9">
        <v>0</v>
      </c>
    </row>
    <row r="3612" spans="1:2" x14ac:dyDescent="0.25">
      <c r="A3612" t="s">
        <v>4238</v>
      </c>
      <c r="B3612" s="9">
        <v>0</v>
      </c>
    </row>
    <row r="3613" spans="1:2" x14ac:dyDescent="0.25">
      <c r="A3613" t="s">
        <v>4239</v>
      </c>
      <c r="B3613" s="9">
        <v>0</v>
      </c>
    </row>
    <row r="3614" spans="1:2" x14ac:dyDescent="0.25">
      <c r="A3614" t="s">
        <v>4240</v>
      </c>
      <c r="B3614" s="9">
        <v>0</v>
      </c>
    </row>
    <row r="3615" spans="1:2" x14ac:dyDescent="0.25">
      <c r="A3615" t="s">
        <v>4241</v>
      </c>
      <c r="B3615" s="9">
        <v>0</v>
      </c>
    </row>
    <row r="3616" spans="1:2" x14ac:dyDescent="0.25">
      <c r="A3616" t="s">
        <v>4242</v>
      </c>
      <c r="B3616" s="9">
        <v>0</v>
      </c>
    </row>
    <row r="3617" spans="1:2" x14ac:dyDescent="0.25">
      <c r="A3617" t="s">
        <v>4243</v>
      </c>
      <c r="B3617" s="9">
        <v>0</v>
      </c>
    </row>
    <row r="3618" spans="1:2" x14ac:dyDescent="0.25">
      <c r="A3618" t="s">
        <v>4244</v>
      </c>
      <c r="B3618" s="9">
        <v>0</v>
      </c>
    </row>
    <row r="3619" spans="1:2" x14ac:dyDescent="0.25">
      <c r="A3619" t="s">
        <v>4245</v>
      </c>
      <c r="B3619" s="9">
        <v>0</v>
      </c>
    </row>
    <row r="3620" spans="1:2" x14ac:dyDescent="0.25">
      <c r="A3620" t="s">
        <v>4246</v>
      </c>
      <c r="B3620" s="9">
        <v>0</v>
      </c>
    </row>
    <row r="3621" spans="1:2" x14ac:dyDescent="0.25">
      <c r="A3621" t="s">
        <v>4247</v>
      </c>
      <c r="B3621" s="9">
        <v>0</v>
      </c>
    </row>
    <row r="3622" spans="1:2" x14ac:dyDescent="0.25">
      <c r="A3622" t="s">
        <v>4248</v>
      </c>
      <c r="B3622" s="9">
        <v>0</v>
      </c>
    </row>
    <row r="3623" spans="1:2" x14ac:dyDescent="0.25">
      <c r="A3623" t="s">
        <v>4249</v>
      </c>
      <c r="B3623" s="9">
        <v>0</v>
      </c>
    </row>
    <row r="3624" spans="1:2" x14ac:dyDescent="0.25">
      <c r="A3624" t="s">
        <v>4250</v>
      </c>
      <c r="B3624" s="9">
        <v>0</v>
      </c>
    </row>
    <row r="3625" spans="1:2" x14ac:dyDescent="0.25">
      <c r="A3625" t="s">
        <v>4251</v>
      </c>
      <c r="B3625" s="9">
        <v>0</v>
      </c>
    </row>
    <row r="3626" spans="1:2" x14ac:dyDescent="0.25">
      <c r="A3626" t="s">
        <v>4252</v>
      </c>
      <c r="B3626" s="9">
        <v>0</v>
      </c>
    </row>
    <row r="3627" spans="1:2" x14ac:dyDescent="0.25">
      <c r="A3627" t="s">
        <v>4253</v>
      </c>
      <c r="B3627" s="9">
        <v>0</v>
      </c>
    </row>
    <row r="3628" spans="1:2" x14ac:dyDescent="0.25">
      <c r="A3628" t="s">
        <v>4254</v>
      </c>
      <c r="B3628" s="9">
        <v>0</v>
      </c>
    </row>
    <row r="3629" spans="1:2" x14ac:dyDescent="0.25">
      <c r="A3629" t="s">
        <v>4255</v>
      </c>
      <c r="B3629" s="9">
        <v>0</v>
      </c>
    </row>
    <row r="3630" spans="1:2" x14ac:dyDescent="0.25">
      <c r="A3630" t="s">
        <v>4256</v>
      </c>
      <c r="B3630" s="9">
        <v>0</v>
      </c>
    </row>
    <row r="3631" spans="1:2" x14ac:dyDescent="0.25">
      <c r="A3631" t="s">
        <v>4257</v>
      </c>
      <c r="B3631" s="9">
        <v>0</v>
      </c>
    </row>
    <row r="3632" spans="1:2" x14ac:dyDescent="0.25">
      <c r="A3632" t="s">
        <v>4258</v>
      </c>
      <c r="B3632" s="9">
        <v>0</v>
      </c>
    </row>
    <row r="3633" spans="1:2" x14ac:dyDescent="0.25">
      <c r="A3633" t="s">
        <v>4259</v>
      </c>
      <c r="B3633" s="9">
        <v>0</v>
      </c>
    </row>
    <row r="3634" spans="1:2" x14ac:dyDescent="0.25">
      <c r="A3634" t="s">
        <v>4260</v>
      </c>
      <c r="B3634" s="9">
        <v>0</v>
      </c>
    </row>
    <row r="3635" spans="1:2" x14ac:dyDescent="0.25">
      <c r="A3635" t="s">
        <v>4261</v>
      </c>
      <c r="B3635" s="9">
        <v>0</v>
      </c>
    </row>
    <row r="3636" spans="1:2" x14ac:dyDescent="0.25">
      <c r="A3636" t="s">
        <v>4262</v>
      </c>
      <c r="B3636" s="9">
        <v>0</v>
      </c>
    </row>
    <row r="3637" spans="1:2" x14ac:dyDescent="0.25">
      <c r="A3637" t="s">
        <v>4263</v>
      </c>
      <c r="B3637" s="9">
        <v>0</v>
      </c>
    </row>
    <row r="3638" spans="1:2" x14ac:dyDescent="0.25">
      <c r="A3638" t="s">
        <v>4264</v>
      </c>
      <c r="B3638" s="9">
        <v>0</v>
      </c>
    </row>
    <row r="3639" spans="1:2" x14ac:dyDescent="0.25">
      <c r="A3639" t="s">
        <v>4265</v>
      </c>
      <c r="B3639" s="9">
        <v>0</v>
      </c>
    </row>
    <row r="3640" spans="1:2" x14ac:dyDescent="0.25">
      <c r="A3640" t="s">
        <v>4266</v>
      </c>
      <c r="B3640" s="9">
        <v>0</v>
      </c>
    </row>
    <row r="3641" spans="1:2" x14ac:dyDescent="0.25">
      <c r="A3641" t="s">
        <v>4267</v>
      </c>
      <c r="B3641" s="9">
        <v>0</v>
      </c>
    </row>
    <row r="3642" spans="1:2" x14ac:dyDescent="0.25">
      <c r="A3642" t="s">
        <v>4268</v>
      </c>
      <c r="B3642" s="9">
        <v>0</v>
      </c>
    </row>
    <row r="3643" spans="1:2" x14ac:dyDescent="0.25">
      <c r="A3643" t="s">
        <v>4269</v>
      </c>
      <c r="B3643" s="9">
        <v>0</v>
      </c>
    </row>
    <row r="3644" spans="1:2" x14ac:dyDescent="0.25">
      <c r="A3644" t="s">
        <v>4270</v>
      </c>
      <c r="B3644" s="9">
        <v>0</v>
      </c>
    </row>
    <row r="3645" spans="1:2" x14ac:dyDescent="0.25">
      <c r="A3645" t="s">
        <v>4271</v>
      </c>
      <c r="B3645" s="9">
        <v>0</v>
      </c>
    </row>
    <row r="3646" spans="1:2" x14ac:dyDescent="0.25">
      <c r="A3646" t="s">
        <v>4272</v>
      </c>
      <c r="B3646" s="9">
        <v>0</v>
      </c>
    </row>
    <row r="3647" spans="1:2" x14ac:dyDescent="0.25">
      <c r="A3647" t="s">
        <v>4273</v>
      </c>
      <c r="B3647" s="9">
        <v>0</v>
      </c>
    </row>
    <row r="3648" spans="1:2" x14ac:dyDescent="0.25">
      <c r="A3648" t="s">
        <v>4274</v>
      </c>
      <c r="B3648" s="9">
        <v>0</v>
      </c>
    </row>
    <row r="3649" spans="1:2" x14ac:dyDescent="0.25">
      <c r="A3649" t="s">
        <v>4275</v>
      </c>
      <c r="B3649" s="9">
        <v>0</v>
      </c>
    </row>
    <row r="3650" spans="1:2" x14ac:dyDescent="0.25">
      <c r="A3650" t="s">
        <v>4276</v>
      </c>
      <c r="B3650" s="9">
        <v>0</v>
      </c>
    </row>
    <row r="3651" spans="1:2" x14ac:dyDescent="0.25">
      <c r="A3651" t="s">
        <v>4277</v>
      </c>
      <c r="B3651" s="9">
        <v>0</v>
      </c>
    </row>
    <row r="3652" spans="1:2" x14ac:dyDescent="0.25">
      <c r="A3652" t="s">
        <v>4278</v>
      </c>
      <c r="B3652" s="9">
        <v>0</v>
      </c>
    </row>
    <row r="3653" spans="1:2" x14ac:dyDescent="0.25">
      <c r="A3653" t="s">
        <v>4279</v>
      </c>
      <c r="B3653" s="9">
        <v>0</v>
      </c>
    </row>
    <row r="3654" spans="1:2" x14ac:dyDescent="0.25">
      <c r="A3654" t="s">
        <v>4280</v>
      </c>
      <c r="B3654" s="9">
        <v>0</v>
      </c>
    </row>
    <row r="3655" spans="1:2" x14ac:dyDescent="0.25">
      <c r="A3655" t="s">
        <v>4281</v>
      </c>
      <c r="B3655" s="9">
        <v>0</v>
      </c>
    </row>
    <row r="3656" spans="1:2" x14ac:dyDescent="0.25">
      <c r="A3656" t="s">
        <v>4282</v>
      </c>
      <c r="B3656" s="9">
        <v>0</v>
      </c>
    </row>
    <row r="3657" spans="1:2" x14ac:dyDescent="0.25">
      <c r="A3657" t="s">
        <v>4283</v>
      </c>
      <c r="B3657" s="9">
        <v>0</v>
      </c>
    </row>
    <row r="3658" spans="1:2" x14ac:dyDescent="0.25">
      <c r="A3658" t="s">
        <v>4284</v>
      </c>
      <c r="B3658" s="9">
        <v>0</v>
      </c>
    </row>
    <row r="3659" spans="1:2" x14ac:dyDescent="0.25">
      <c r="A3659" t="s">
        <v>4285</v>
      </c>
      <c r="B3659" s="9">
        <v>0</v>
      </c>
    </row>
    <row r="3660" spans="1:2" x14ac:dyDescent="0.25">
      <c r="A3660" t="s">
        <v>4286</v>
      </c>
      <c r="B3660" s="9">
        <v>0</v>
      </c>
    </row>
    <row r="3661" spans="1:2" x14ac:dyDescent="0.25">
      <c r="A3661" t="s">
        <v>4287</v>
      </c>
      <c r="B3661" s="9">
        <v>0</v>
      </c>
    </row>
    <row r="3662" spans="1:2" x14ac:dyDescent="0.25">
      <c r="A3662" t="s">
        <v>4288</v>
      </c>
      <c r="B3662" s="9">
        <v>0</v>
      </c>
    </row>
    <row r="3663" spans="1:2" x14ac:dyDescent="0.25">
      <c r="A3663" t="s">
        <v>4289</v>
      </c>
      <c r="B3663" s="9">
        <v>0</v>
      </c>
    </row>
    <row r="3664" spans="1:2" x14ac:dyDescent="0.25">
      <c r="A3664" t="s">
        <v>4290</v>
      </c>
      <c r="B3664" s="9">
        <v>0</v>
      </c>
    </row>
    <row r="3665" spans="1:2" x14ac:dyDescent="0.25">
      <c r="A3665" t="s">
        <v>4291</v>
      </c>
      <c r="B3665" s="9">
        <v>0</v>
      </c>
    </row>
    <row r="3666" spans="1:2" x14ac:dyDescent="0.25">
      <c r="A3666" t="s">
        <v>4292</v>
      </c>
      <c r="B3666" s="9">
        <v>0</v>
      </c>
    </row>
    <row r="3667" spans="1:2" x14ac:dyDescent="0.25">
      <c r="A3667" t="s">
        <v>4293</v>
      </c>
      <c r="B3667" s="9">
        <v>0</v>
      </c>
    </row>
    <row r="3668" spans="1:2" x14ac:dyDescent="0.25">
      <c r="A3668" t="s">
        <v>4294</v>
      </c>
      <c r="B3668" s="9">
        <v>0</v>
      </c>
    </row>
    <row r="3669" spans="1:2" x14ac:dyDescent="0.25">
      <c r="A3669" t="s">
        <v>4295</v>
      </c>
      <c r="B3669" s="9">
        <v>0</v>
      </c>
    </row>
    <row r="3670" spans="1:2" x14ac:dyDescent="0.25">
      <c r="A3670" t="s">
        <v>4296</v>
      </c>
      <c r="B3670" s="9">
        <v>0</v>
      </c>
    </row>
    <row r="3671" spans="1:2" x14ac:dyDescent="0.25">
      <c r="A3671" t="s">
        <v>4297</v>
      </c>
      <c r="B3671" s="9">
        <v>0</v>
      </c>
    </row>
    <row r="3672" spans="1:2" x14ac:dyDescent="0.25">
      <c r="A3672" t="s">
        <v>4298</v>
      </c>
      <c r="B3672" s="9">
        <v>0</v>
      </c>
    </row>
    <row r="3673" spans="1:2" x14ac:dyDescent="0.25">
      <c r="A3673" t="s">
        <v>4299</v>
      </c>
      <c r="B3673" s="9">
        <v>0</v>
      </c>
    </row>
    <row r="3674" spans="1:2" x14ac:dyDescent="0.25">
      <c r="A3674" t="s">
        <v>4300</v>
      </c>
      <c r="B3674" s="9">
        <v>0</v>
      </c>
    </row>
    <row r="3675" spans="1:2" x14ac:dyDescent="0.25">
      <c r="A3675" t="s">
        <v>4301</v>
      </c>
      <c r="B3675" s="9">
        <v>0</v>
      </c>
    </row>
    <row r="3676" spans="1:2" x14ac:dyDescent="0.25">
      <c r="A3676" t="s">
        <v>4302</v>
      </c>
      <c r="B3676" s="9">
        <v>0</v>
      </c>
    </row>
    <row r="3677" spans="1:2" x14ac:dyDescent="0.25">
      <c r="A3677" t="s">
        <v>4303</v>
      </c>
      <c r="B3677" s="9">
        <v>0</v>
      </c>
    </row>
    <row r="3678" spans="1:2" x14ac:dyDescent="0.25">
      <c r="A3678" t="s">
        <v>4304</v>
      </c>
      <c r="B3678" s="9">
        <v>0</v>
      </c>
    </row>
    <row r="3679" spans="1:2" x14ac:dyDescent="0.25">
      <c r="A3679" t="s">
        <v>4305</v>
      </c>
      <c r="B3679" s="9">
        <v>0</v>
      </c>
    </row>
    <row r="3680" spans="1:2" x14ac:dyDescent="0.25">
      <c r="A3680" t="s">
        <v>4306</v>
      </c>
      <c r="B3680" s="9">
        <v>0</v>
      </c>
    </row>
    <row r="3681" spans="1:2" x14ac:dyDescent="0.25">
      <c r="A3681" t="s">
        <v>4307</v>
      </c>
      <c r="B3681" s="9">
        <v>0</v>
      </c>
    </row>
    <row r="3682" spans="1:2" x14ac:dyDescent="0.25">
      <c r="A3682" t="s">
        <v>4308</v>
      </c>
      <c r="B3682" s="9">
        <v>0</v>
      </c>
    </row>
    <row r="3683" spans="1:2" x14ac:dyDescent="0.25">
      <c r="A3683" t="s">
        <v>4309</v>
      </c>
      <c r="B3683" s="9">
        <v>0</v>
      </c>
    </row>
    <row r="3684" spans="1:2" x14ac:dyDescent="0.25">
      <c r="A3684" t="s">
        <v>4310</v>
      </c>
      <c r="B3684" s="9">
        <v>0</v>
      </c>
    </row>
    <row r="3685" spans="1:2" x14ac:dyDescent="0.25">
      <c r="A3685" t="s">
        <v>4311</v>
      </c>
      <c r="B3685" s="9">
        <v>0</v>
      </c>
    </row>
    <row r="3686" spans="1:2" x14ac:dyDescent="0.25">
      <c r="A3686" t="s">
        <v>4312</v>
      </c>
      <c r="B3686" s="9">
        <v>0</v>
      </c>
    </row>
    <row r="3687" spans="1:2" x14ac:dyDescent="0.25">
      <c r="A3687" t="s">
        <v>4313</v>
      </c>
      <c r="B3687" s="9">
        <v>0</v>
      </c>
    </row>
    <row r="3688" spans="1:2" x14ac:dyDescent="0.25">
      <c r="A3688" t="s">
        <v>4314</v>
      </c>
      <c r="B3688" s="9">
        <v>0</v>
      </c>
    </row>
    <row r="3689" spans="1:2" x14ac:dyDescent="0.25">
      <c r="A3689" t="s">
        <v>4315</v>
      </c>
      <c r="B3689" s="9">
        <v>0</v>
      </c>
    </row>
    <row r="3690" spans="1:2" x14ac:dyDescent="0.25">
      <c r="A3690" t="s">
        <v>4316</v>
      </c>
      <c r="B3690" s="9">
        <v>0</v>
      </c>
    </row>
    <row r="3691" spans="1:2" x14ac:dyDescent="0.25">
      <c r="A3691" t="s">
        <v>4317</v>
      </c>
      <c r="B3691" s="9">
        <v>0</v>
      </c>
    </row>
    <row r="3692" spans="1:2" x14ac:dyDescent="0.25">
      <c r="A3692" t="s">
        <v>4318</v>
      </c>
      <c r="B3692" s="9">
        <v>0</v>
      </c>
    </row>
    <row r="3693" spans="1:2" x14ac:dyDescent="0.25">
      <c r="A3693" t="s">
        <v>4319</v>
      </c>
      <c r="B3693" s="9">
        <v>0</v>
      </c>
    </row>
    <row r="3694" spans="1:2" x14ac:dyDescent="0.25">
      <c r="A3694" t="s">
        <v>4320</v>
      </c>
      <c r="B3694" s="9">
        <v>0</v>
      </c>
    </row>
    <row r="3695" spans="1:2" x14ac:dyDescent="0.25">
      <c r="A3695" t="s">
        <v>4321</v>
      </c>
      <c r="B3695" s="9">
        <v>0</v>
      </c>
    </row>
    <row r="3696" spans="1:2" x14ac:dyDescent="0.25">
      <c r="A3696" t="s">
        <v>4322</v>
      </c>
      <c r="B3696" s="9">
        <v>0</v>
      </c>
    </row>
    <row r="3697" spans="1:2" x14ac:dyDescent="0.25">
      <c r="A3697" t="s">
        <v>4323</v>
      </c>
      <c r="B3697" s="9">
        <v>0</v>
      </c>
    </row>
    <row r="3698" spans="1:2" x14ac:dyDescent="0.25">
      <c r="A3698" t="s">
        <v>4324</v>
      </c>
      <c r="B3698" s="9">
        <v>0</v>
      </c>
    </row>
    <row r="3699" spans="1:2" x14ac:dyDescent="0.25">
      <c r="A3699" t="s">
        <v>4325</v>
      </c>
      <c r="B3699" s="9">
        <v>0</v>
      </c>
    </row>
    <row r="3700" spans="1:2" x14ac:dyDescent="0.25">
      <c r="A3700" t="s">
        <v>4326</v>
      </c>
      <c r="B3700" s="9">
        <v>0</v>
      </c>
    </row>
    <row r="3701" spans="1:2" x14ac:dyDescent="0.25">
      <c r="A3701" t="s">
        <v>4327</v>
      </c>
      <c r="B3701" s="9">
        <v>0</v>
      </c>
    </row>
    <row r="3702" spans="1:2" x14ac:dyDescent="0.25">
      <c r="A3702" t="s">
        <v>4328</v>
      </c>
      <c r="B3702" s="9">
        <v>0</v>
      </c>
    </row>
    <row r="3703" spans="1:2" x14ac:dyDescent="0.25">
      <c r="A3703" t="s">
        <v>4329</v>
      </c>
      <c r="B3703" s="9">
        <v>0</v>
      </c>
    </row>
    <row r="3704" spans="1:2" x14ac:dyDescent="0.25">
      <c r="A3704" t="s">
        <v>4330</v>
      </c>
      <c r="B3704" s="9">
        <v>0</v>
      </c>
    </row>
    <row r="3705" spans="1:2" x14ac:dyDescent="0.25">
      <c r="A3705" t="s">
        <v>4331</v>
      </c>
      <c r="B3705" s="9">
        <v>0</v>
      </c>
    </row>
    <row r="3706" spans="1:2" x14ac:dyDescent="0.25">
      <c r="A3706" t="s">
        <v>4332</v>
      </c>
      <c r="B3706" s="9">
        <v>0</v>
      </c>
    </row>
    <row r="3707" spans="1:2" x14ac:dyDescent="0.25">
      <c r="A3707" t="s">
        <v>4333</v>
      </c>
      <c r="B3707" s="9">
        <v>0</v>
      </c>
    </row>
    <row r="3708" spans="1:2" x14ac:dyDescent="0.25">
      <c r="A3708" t="s">
        <v>4334</v>
      </c>
      <c r="B3708" s="9">
        <v>0</v>
      </c>
    </row>
    <row r="3709" spans="1:2" x14ac:dyDescent="0.25">
      <c r="A3709" t="s">
        <v>4335</v>
      </c>
      <c r="B3709" s="9">
        <v>0</v>
      </c>
    </row>
    <row r="3710" spans="1:2" x14ac:dyDescent="0.25">
      <c r="A3710" t="s">
        <v>4336</v>
      </c>
      <c r="B3710" s="9">
        <v>0</v>
      </c>
    </row>
    <row r="3711" spans="1:2" x14ac:dyDescent="0.25">
      <c r="A3711" t="s">
        <v>4337</v>
      </c>
      <c r="B3711" s="9">
        <v>0</v>
      </c>
    </row>
    <row r="3712" spans="1:2" x14ac:dyDescent="0.25">
      <c r="A3712" t="s">
        <v>4338</v>
      </c>
      <c r="B3712" s="9">
        <v>0</v>
      </c>
    </row>
    <row r="3713" spans="1:2" x14ac:dyDescent="0.25">
      <c r="A3713" t="s">
        <v>4339</v>
      </c>
      <c r="B3713" s="9">
        <v>0</v>
      </c>
    </row>
    <row r="3714" spans="1:2" x14ac:dyDescent="0.25">
      <c r="A3714" t="s">
        <v>4340</v>
      </c>
      <c r="B3714" s="9">
        <v>0</v>
      </c>
    </row>
    <row r="3715" spans="1:2" x14ac:dyDescent="0.25">
      <c r="A3715" t="s">
        <v>4341</v>
      </c>
      <c r="B3715" s="9">
        <v>0</v>
      </c>
    </row>
    <row r="3716" spans="1:2" x14ac:dyDescent="0.25">
      <c r="A3716" t="s">
        <v>4342</v>
      </c>
      <c r="B3716" s="9">
        <v>0</v>
      </c>
    </row>
    <row r="3717" spans="1:2" x14ac:dyDescent="0.25">
      <c r="A3717" t="s">
        <v>4343</v>
      </c>
      <c r="B3717" s="9">
        <v>0</v>
      </c>
    </row>
    <row r="3718" spans="1:2" x14ac:dyDescent="0.25">
      <c r="A3718" t="s">
        <v>4344</v>
      </c>
      <c r="B3718" s="9">
        <v>0</v>
      </c>
    </row>
    <row r="3719" spans="1:2" x14ac:dyDescent="0.25">
      <c r="A3719" t="s">
        <v>4345</v>
      </c>
      <c r="B3719" s="9">
        <v>0</v>
      </c>
    </row>
    <row r="3720" spans="1:2" x14ac:dyDescent="0.25">
      <c r="A3720" t="s">
        <v>4346</v>
      </c>
      <c r="B3720" s="9">
        <v>0</v>
      </c>
    </row>
    <row r="3721" spans="1:2" x14ac:dyDescent="0.25">
      <c r="A3721" t="s">
        <v>4347</v>
      </c>
      <c r="B3721" s="9">
        <v>0</v>
      </c>
    </row>
    <row r="3722" spans="1:2" x14ac:dyDescent="0.25">
      <c r="A3722" t="s">
        <v>4348</v>
      </c>
      <c r="B3722" s="9">
        <v>0</v>
      </c>
    </row>
    <row r="3723" spans="1:2" x14ac:dyDescent="0.25">
      <c r="A3723" t="s">
        <v>4349</v>
      </c>
      <c r="B3723" s="9">
        <v>0</v>
      </c>
    </row>
    <row r="3724" spans="1:2" x14ac:dyDescent="0.25">
      <c r="A3724" t="s">
        <v>4350</v>
      </c>
      <c r="B3724" s="9">
        <v>0</v>
      </c>
    </row>
    <row r="3725" spans="1:2" x14ac:dyDescent="0.25">
      <c r="A3725" t="s">
        <v>4351</v>
      </c>
      <c r="B3725" s="9">
        <v>0</v>
      </c>
    </row>
    <row r="3726" spans="1:2" x14ac:dyDescent="0.25">
      <c r="A3726" t="s">
        <v>4352</v>
      </c>
      <c r="B3726" s="9">
        <v>0</v>
      </c>
    </row>
    <row r="3727" spans="1:2" x14ac:dyDescent="0.25">
      <c r="A3727" t="s">
        <v>4353</v>
      </c>
      <c r="B3727" s="9">
        <v>0</v>
      </c>
    </row>
    <row r="3728" spans="1:2" x14ac:dyDescent="0.25">
      <c r="A3728" t="s">
        <v>4354</v>
      </c>
      <c r="B3728" s="9">
        <v>0</v>
      </c>
    </row>
    <row r="3729" spans="1:2" x14ac:dyDescent="0.25">
      <c r="A3729" t="s">
        <v>4355</v>
      </c>
      <c r="B3729" s="9">
        <v>0</v>
      </c>
    </row>
    <row r="3730" spans="1:2" x14ac:dyDescent="0.25">
      <c r="A3730" t="s">
        <v>4356</v>
      </c>
      <c r="B3730" s="9">
        <v>0</v>
      </c>
    </row>
    <row r="3731" spans="1:2" x14ac:dyDescent="0.25">
      <c r="A3731" t="s">
        <v>4357</v>
      </c>
      <c r="B3731" s="9">
        <v>0</v>
      </c>
    </row>
    <row r="3732" spans="1:2" x14ac:dyDescent="0.25">
      <c r="A3732" t="s">
        <v>4358</v>
      </c>
      <c r="B3732" s="9">
        <v>0</v>
      </c>
    </row>
    <row r="3733" spans="1:2" x14ac:dyDescent="0.25">
      <c r="A3733" t="s">
        <v>4359</v>
      </c>
      <c r="B3733" s="9">
        <v>0</v>
      </c>
    </row>
    <row r="3734" spans="1:2" x14ac:dyDescent="0.25">
      <c r="A3734" t="s">
        <v>4360</v>
      </c>
      <c r="B3734" s="9">
        <v>0</v>
      </c>
    </row>
    <row r="3735" spans="1:2" x14ac:dyDescent="0.25">
      <c r="A3735" t="s">
        <v>4361</v>
      </c>
      <c r="B3735" s="9">
        <v>0</v>
      </c>
    </row>
    <row r="3736" spans="1:2" x14ac:dyDescent="0.25">
      <c r="A3736" t="s">
        <v>4362</v>
      </c>
      <c r="B3736" s="9">
        <v>0</v>
      </c>
    </row>
    <row r="3737" spans="1:2" x14ac:dyDescent="0.25">
      <c r="A3737" t="s">
        <v>4363</v>
      </c>
      <c r="B3737" s="9">
        <v>0</v>
      </c>
    </row>
    <row r="3738" spans="1:2" x14ac:dyDescent="0.25">
      <c r="A3738" t="s">
        <v>4364</v>
      </c>
      <c r="B3738" s="9">
        <v>0</v>
      </c>
    </row>
    <row r="3739" spans="1:2" x14ac:dyDescent="0.25">
      <c r="A3739" t="s">
        <v>4365</v>
      </c>
      <c r="B3739" s="9">
        <v>0</v>
      </c>
    </row>
    <row r="3740" spans="1:2" x14ac:dyDescent="0.25">
      <c r="A3740" t="s">
        <v>4366</v>
      </c>
      <c r="B3740" s="9">
        <v>0</v>
      </c>
    </row>
    <row r="3741" spans="1:2" x14ac:dyDescent="0.25">
      <c r="A3741" t="s">
        <v>4367</v>
      </c>
      <c r="B3741" s="9">
        <v>0</v>
      </c>
    </row>
    <row r="3742" spans="1:2" x14ac:dyDescent="0.25">
      <c r="A3742" t="s">
        <v>4368</v>
      </c>
      <c r="B3742" s="9">
        <v>0</v>
      </c>
    </row>
    <row r="3743" spans="1:2" x14ac:dyDescent="0.25">
      <c r="A3743" t="s">
        <v>4369</v>
      </c>
      <c r="B3743" s="9">
        <v>0</v>
      </c>
    </row>
    <row r="3744" spans="1:2" x14ac:dyDescent="0.25">
      <c r="A3744" t="s">
        <v>4370</v>
      </c>
      <c r="B3744" s="9">
        <v>0</v>
      </c>
    </row>
    <row r="3745" spans="1:2" x14ac:dyDescent="0.25">
      <c r="A3745" t="s">
        <v>4371</v>
      </c>
      <c r="B3745" s="9">
        <v>0</v>
      </c>
    </row>
    <row r="3746" spans="1:2" x14ac:dyDescent="0.25">
      <c r="A3746" t="s">
        <v>4372</v>
      </c>
      <c r="B3746" s="9">
        <v>0</v>
      </c>
    </row>
    <row r="3747" spans="1:2" x14ac:dyDescent="0.25">
      <c r="A3747" t="s">
        <v>4373</v>
      </c>
      <c r="B3747" s="9">
        <v>0</v>
      </c>
    </row>
    <row r="3748" spans="1:2" x14ac:dyDescent="0.25">
      <c r="A3748" t="s">
        <v>4374</v>
      </c>
      <c r="B3748" s="9">
        <v>0</v>
      </c>
    </row>
    <row r="3749" spans="1:2" x14ac:dyDescent="0.25">
      <c r="A3749" t="s">
        <v>4375</v>
      </c>
      <c r="B3749" s="9">
        <v>0</v>
      </c>
    </row>
    <row r="3750" spans="1:2" x14ac:dyDescent="0.25">
      <c r="A3750" t="s">
        <v>4376</v>
      </c>
      <c r="B3750" s="9">
        <v>0</v>
      </c>
    </row>
    <row r="3751" spans="1:2" x14ac:dyDescent="0.25">
      <c r="A3751" t="s">
        <v>4377</v>
      </c>
      <c r="B3751" s="9">
        <v>0</v>
      </c>
    </row>
    <row r="3752" spans="1:2" x14ac:dyDescent="0.25">
      <c r="A3752" t="s">
        <v>4378</v>
      </c>
      <c r="B3752" s="9">
        <v>0</v>
      </c>
    </row>
    <row r="3753" spans="1:2" x14ac:dyDescent="0.25">
      <c r="A3753" t="s">
        <v>4379</v>
      </c>
      <c r="B3753" s="9">
        <v>0</v>
      </c>
    </row>
    <row r="3754" spans="1:2" x14ac:dyDescent="0.25">
      <c r="A3754" t="s">
        <v>4380</v>
      </c>
      <c r="B3754" s="9">
        <v>0</v>
      </c>
    </row>
    <row r="3755" spans="1:2" x14ac:dyDescent="0.25">
      <c r="A3755" t="s">
        <v>4381</v>
      </c>
      <c r="B3755" s="9">
        <v>0</v>
      </c>
    </row>
    <row r="3756" spans="1:2" x14ac:dyDescent="0.25">
      <c r="A3756" t="s">
        <v>4382</v>
      </c>
      <c r="B3756" s="9">
        <v>0</v>
      </c>
    </row>
    <row r="3757" spans="1:2" x14ac:dyDescent="0.25">
      <c r="A3757" t="s">
        <v>4383</v>
      </c>
      <c r="B3757" s="9">
        <v>0</v>
      </c>
    </row>
    <row r="3758" spans="1:2" x14ac:dyDescent="0.25">
      <c r="A3758" t="s">
        <v>4384</v>
      </c>
      <c r="B3758" s="9">
        <v>0</v>
      </c>
    </row>
    <row r="3759" spans="1:2" x14ac:dyDescent="0.25">
      <c r="A3759" t="s">
        <v>4385</v>
      </c>
      <c r="B3759" s="9">
        <v>0</v>
      </c>
    </row>
    <row r="3760" spans="1:2" x14ac:dyDescent="0.25">
      <c r="A3760" t="s">
        <v>4386</v>
      </c>
      <c r="B3760" s="9">
        <v>0</v>
      </c>
    </row>
    <row r="3761" spans="1:2" x14ac:dyDescent="0.25">
      <c r="A3761" t="s">
        <v>4387</v>
      </c>
      <c r="B3761" s="9">
        <v>0</v>
      </c>
    </row>
    <row r="3762" spans="1:2" x14ac:dyDescent="0.25">
      <c r="A3762" t="s">
        <v>4388</v>
      </c>
      <c r="B3762" s="9">
        <v>0</v>
      </c>
    </row>
    <row r="3763" spans="1:2" x14ac:dyDescent="0.25">
      <c r="A3763" t="s">
        <v>4389</v>
      </c>
      <c r="B3763" s="9">
        <v>0</v>
      </c>
    </row>
    <row r="3764" spans="1:2" x14ac:dyDescent="0.25">
      <c r="A3764" t="s">
        <v>4390</v>
      </c>
      <c r="B3764" s="9">
        <v>0</v>
      </c>
    </row>
    <row r="3765" spans="1:2" x14ac:dyDescent="0.25">
      <c r="A3765" t="s">
        <v>4391</v>
      </c>
      <c r="B3765" s="9">
        <v>0</v>
      </c>
    </row>
    <row r="3766" spans="1:2" x14ac:dyDescent="0.25">
      <c r="A3766" t="s">
        <v>4392</v>
      </c>
      <c r="B3766" s="9">
        <v>0</v>
      </c>
    </row>
    <row r="3767" spans="1:2" x14ac:dyDescent="0.25">
      <c r="A3767" t="s">
        <v>4393</v>
      </c>
      <c r="B3767" s="9">
        <v>0</v>
      </c>
    </row>
    <row r="3768" spans="1:2" x14ac:dyDescent="0.25">
      <c r="A3768" t="s">
        <v>4394</v>
      </c>
      <c r="B3768" s="9">
        <v>0</v>
      </c>
    </row>
    <row r="3769" spans="1:2" x14ac:dyDescent="0.25">
      <c r="A3769" t="s">
        <v>4395</v>
      </c>
      <c r="B3769" s="9">
        <v>0</v>
      </c>
    </row>
    <row r="3770" spans="1:2" x14ac:dyDescent="0.25">
      <c r="A3770" t="s">
        <v>4396</v>
      </c>
      <c r="B3770" s="9">
        <v>0</v>
      </c>
    </row>
    <row r="3771" spans="1:2" x14ac:dyDescent="0.25">
      <c r="A3771" t="s">
        <v>4397</v>
      </c>
      <c r="B3771" s="9">
        <v>0</v>
      </c>
    </row>
    <row r="3772" spans="1:2" x14ac:dyDescent="0.25">
      <c r="A3772" t="s">
        <v>4398</v>
      </c>
      <c r="B3772" s="9">
        <v>0</v>
      </c>
    </row>
    <row r="3773" spans="1:2" x14ac:dyDescent="0.25">
      <c r="A3773" t="s">
        <v>4399</v>
      </c>
      <c r="B3773" s="9">
        <v>0</v>
      </c>
    </row>
    <row r="3774" spans="1:2" x14ac:dyDescent="0.25">
      <c r="A3774" t="s">
        <v>4400</v>
      </c>
      <c r="B3774" s="9">
        <v>0</v>
      </c>
    </row>
    <row r="3775" spans="1:2" x14ac:dyDescent="0.25">
      <c r="A3775" t="s">
        <v>4401</v>
      </c>
      <c r="B3775" s="9">
        <v>0</v>
      </c>
    </row>
    <row r="3776" spans="1:2" x14ac:dyDescent="0.25">
      <c r="A3776" t="s">
        <v>4402</v>
      </c>
      <c r="B3776" s="9">
        <v>0</v>
      </c>
    </row>
    <row r="3777" spans="1:2" x14ac:dyDescent="0.25">
      <c r="A3777" t="s">
        <v>4403</v>
      </c>
      <c r="B3777" s="9">
        <v>0</v>
      </c>
    </row>
    <row r="3778" spans="1:2" x14ac:dyDescent="0.25">
      <c r="A3778" t="s">
        <v>4404</v>
      </c>
      <c r="B3778" s="9">
        <v>0</v>
      </c>
    </row>
    <row r="3779" spans="1:2" x14ac:dyDescent="0.25">
      <c r="A3779" t="s">
        <v>4405</v>
      </c>
      <c r="B3779" s="9">
        <v>0</v>
      </c>
    </row>
    <row r="3780" spans="1:2" x14ac:dyDescent="0.25">
      <c r="A3780" t="s">
        <v>4406</v>
      </c>
      <c r="B3780" s="9">
        <v>0</v>
      </c>
    </row>
    <row r="3781" spans="1:2" x14ac:dyDescent="0.25">
      <c r="A3781" t="s">
        <v>4407</v>
      </c>
      <c r="B3781" s="9">
        <v>0</v>
      </c>
    </row>
    <row r="3782" spans="1:2" x14ac:dyDescent="0.25">
      <c r="A3782" t="s">
        <v>4408</v>
      </c>
      <c r="B3782" s="9">
        <v>0</v>
      </c>
    </row>
    <row r="3783" spans="1:2" x14ac:dyDescent="0.25">
      <c r="A3783" t="s">
        <v>4409</v>
      </c>
      <c r="B3783" s="9">
        <v>0</v>
      </c>
    </row>
    <row r="3784" spans="1:2" x14ac:dyDescent="0.25">
      <c r="A3784" t="s">
        <v>4410</v>
      </c>
      <c r="B3784" s="9">
        <v>0</v>
      </c>
    </row>
    <row r="3785" spans="1:2" x14ac:dyDescent="0.25">
      <c r="A3785" t="s">
        <v>4411</v>
      </c>
      <c r="B3785" s="9">
        <v>0</v>
      </c>
    </row>
    <row r="3786" spans="1:2" x14ac:dyDescent="0.25">
      <c r="A3786" t="s">
        <v>4412</v>
      </c>
      <c r="B3786" s="9">
        <v>0</v>
      </c>
    </row>
    <row r="3787" spans="1:2" x14ac:dyDescent="0.25">
      <c r="A3787" t="s">
        <v>4413</v>
      </c>
      <c r="B3787" s="9">
        <v>0</v>
      </c>
    </row>
    <row r="3788" spans="1:2" x14ac:dyDescent="0.25">
      <c r="A3788" t="s">
        <v>4414</v>
      </c>
      <c r="B3788" s="9">
        <v>0</v>
      </c>
    </row>
    <row r="3789" spans="1:2" x14ac:dyDescent="0.25">
      <c r="A3789" t="s">
        <v>4415</v>
      </c>
      <c r="B3789" s="9">
        <v>0</v>
      </c>
    </row>
    <row r="3790" spans="1:2" x14ac:dyDescent="0.25">
      <c r="A3790" t="s">
        <v>4416</v>
      </c>
      <c r="B3790" s="9">
        <v>0</v>
      </c>
    </row>
    <row r="3791" spans="1:2" x14ac:dyDescent="0.25">
      <c r="A3791" t="s">
        <v>4417</v>
      </c>
      <c r="B3791" s="9">
        <v>0</v>
      </c>
    </row>
    <row r="3792" spans="1:2" x14ac:dyDescent="0.25">
      <c r="A3792" t="s">
        <v>4418</v>
      </c>
      <c r="B3792" s="9">
        <v>0</v>
      </c>
    </row>
    <row r="3793" spans="1:2" x14ac:dyDescent="0.25">
      <c r="A3793" t="s">
        <v>4419</v>
      </c>
      <c r="B3793" s="9">
        <v>0</v>
      </c>
    </row>
    <row r="3794" spans="1:2" x14ac:dyDescent="0.25">
      <c r="A3794" t="s">
        <v>4420</v>
      </c>
      <c r="B3794" s="9">
        <v>0</v>
      </c>
    </row>
    <row r="3795" spans="1:2" x14ac:dyDescent="0.25">
      <c r="A3795" t="s">
        <v>4421</v>
      </c>
      <c r="B3795" s="9">
        <v>0</v>
      </c>
    </row>
    <row r="3796" spans="1:2" x14ac:dyDescent="0.25">
      <c r="A3796" t="s">
        <v>4422</v>
      </c>
      <c r="B3796" s="9">
        <v>0</v>
      </c>
    </row>
    <row r="3797" spans="1:2" x14ac:dyDescent="0.25">
      <c r="A3797" t="s">
        <v>4423</v>
      </c>
      <c r="B3797" s="9">
        <v>0</v>
      </c>
    </row>
    <row r="3798" spans="1:2" x14ac:dyDescent="0.25">
      <c r="A3798" t="s">
        <v>4424</v>
      </c>
      <c r="B3798" s="9">
        <v>0</v>
      </c>
    </row>
    <row r="3799" spans="1:2" x14ac:dyDescent="0.25">
      <c r="A3799" t="s">
        <v>4425</v>
      </c>
      <c r="B3799" s="9">
        <v>0</v>
      </c>
    </row>
    <row r="3800" spans="1:2" x14ac:dyDescent="0.25">
      <c r="A3800" t="s">
        <v>4426</v>
      </c>
      <c r="B3800" s="9">
        <v>0</v>
      </c>
    </row>
    <row r="3801" spans="1:2" x14ac:dyDescent="0.25">
      <c r="A3801" t="s">
        <v>4427</v>
      </c>
      <c r="B3801" s="9">
        <v>0</v>
      </c>
    </row>
    <row r="3802" spans="1:2" x14ac:dyDescent="0.25">
      <c r="A3802" t="s">
        <v>4428</v>
      </c>
      <c r="B3802" s="9">
        <v>0</v>
      </c>
    </row>
    <row r="3803" spans="1:2" x14ac:dyDescent="0.25">
      <c r="A3803" t="s">
        <v>4429</v>
      </c>
      <c r="B3803" s="9">
        <v>0</v>
      </c>
    </row>
    <row r="3804" spans="1:2" x14ac:dyDescent="0.25">
      <c r="A3804" t="s">
        <v>4430</v>
      </c>
      <c r="B3804" s="9">
        <v>0</v>
      </c>
    </row>
    <row r="3805" spans="1:2" x14ac:dyDescent="0.25">
      <c r="A3805" t="s">
        <v>4431</v>
      </c>
      <c r="B3805" s="9">
        <v>0</v>
      </c>
    </row>
    <row r="3806" spans="1:2" x14ac:dyDescent="0.25">
      <c r="A3806" t="s">
        <v>4432</v>
      </c>
      <c r="B3806" s="9">
        <v>0</v>
      </c>
    </row>
    <row r="3807" spans="1:2" x14ac:dyDescent="0.25">
      <c r="A3807" t="s">
        <v>4433</v>
      </c>
      <c r="B3807" s="9">
        <v>0</v>
      </c>
    </row>
    <row r="3808" spans="1:2" x14ac:dyDescent="0.25">
      <c r="A3808" t="s">
        <v>4434</v>
      </c>
      <c r="B3808" s="9">
        <v>0</v>
      </c>
    </row>
    <row r="3809" spans="1:2" x14ac:dyDescent="0.25">
      <c r="A3809" t="s">
        <v>4435</v>
      </c>
      <c r="B3809" s="9">
        <v>0</v>
      </c>
    </row>
    <row r="3810" spans="1:2" x14ac:dyDescent="0.25">
      <c r="A3810" t="s">
        <v>4436</v>
      </c>
      <c r="B3810" s="9">
        <v>0</v>
      </c>
    </row>
    <row r="3811" spans="1:2" x14ac:dyDescent="0.25">
      <c r="A3811" t="s">
        <v>4437</v>
      </c>
      <c r="B3811" s="9">
        <v>0</v>
      </c>
    </row>
    <row r="3812" spans="1:2" x14ac:dyDescent="0.25">
      <c r="A3812" t="s">
        <v>4438</v>
      </c>
      <c r="B3812" s="9">
        <v>0</v>
      </c>
    </row>
    <row r="3813" spans="1:2" x14ac:dyDescent="0.25">
      <c r="A3813" t="s">
        <v>4439</v>
      </c>
      <c r="B3813" s="9">
        <v>0</v>
      </c>
    </row>
    <row r="3814" spans="1:2" x14ac:dyDescent="0.25">
      <c r="A3814" t="s">
        <v>4440</v>
      </c>
      <c r="B3814" s="9">
        <v>0</v>
      </c>
    </row>
    <row r="3815" spans="1:2" x14ac:dyDescent="0.25">
      <c r="A3815" t="s">
        <v>4441</v>
      </c>
      <c r="B3815" s="9">
        <v>0</v>
      </c>
    </row>
    <row r="3816" spans="1:2" x14ac:dyDescent="0.25">
      <c r="A3816" t="s">
        <v>4442</v>
      </c>
      <c r="B3816" s="9">
        <v>0</v>
      </c>
    </row>
    <row r="3817" spans="1:2" x14ac:dyDescent="0.25">
      <c r="A3817" t="s">
        <v>4443</v>
      </c>
      <c r="B3817" s="9">
        <v>0</v>
      </c>
    </row>
    <row r="3818" spans="1:2" x14ac:dyDescent="0.25">
      <c r="A3818" t="s">
        <v>4444</v>
      </c>
      <c r="B3818" s="9">
        <v>0</v>
      </c>
    </row>
    <row r="3819" spans="1:2" x14ac:dyDescent="0.25">
      <c r="A3819" t="s">
        <v>4445</v>
      </c>
      <c r="B3819" s="9">
        <v>0</v>
      </c>
    </row>
    <row r="3820" spans="1:2" x14ac:dyDescent="0.25">
      <c r="A3820" t="s">
        <v>4446</v>
      </c>
      <c r="B3820" s="9">
        <v>0</v>
      </c>
    </row>
    <row r="3821" spans="1:2" x14ac:dyDescent="0.25">
      <c r="A3821" t="s">
        <v>4447</v>
      </c>
      <c r="B3821" s="9">
        <v>0</v>
      </c>
    </row>
    <row r="3822" spans="1:2" x14ac:dyDescent="0.25">
      <c r="A3822" t="s">
        <v>4448</v>
      </c>
      <c r="B3822" s="9">
        <v>0</v>
      </c>
    </row>
    <row r="3823" spans="1:2" x14ac:dyDescent="0.25">
      <c r="A3823" t="s">
        <v>4449</v>
      </c>
      <c r="B3823" s="9">
        <v>0</v>
      </c>
    </row>
    <row r="3824" spans="1:2" x14ac:dyDescent="0.25">
      <c r="A3824" t="s">
        <v>4450</v>
      </c>
      <c r="B3824" s="9">
        <v>0</v>
      </c>
    </row>
    <row r="3825" spans="1:2" x14ac:dyDescent="0.25">
      <c r="A3825" t="s">
        <v>4451</v>
      </c>
      <c r="B3825" s="9">
        <v>0</v>
      </c>
    </row>
    <row r="3826" spans="1:2" x14ac:dyDescent="0.25">
      <c r="A3826" t="s">
        <v>4452</v>
      </c>
      <c r="B3826" s="9">
        <v>0</v>
      </c>
    </row>
    <row r="3827" spans="1:2" x14ac:dyDescent="0.25">
      <c r="A3827" t="s">
        <v>4453</v>
      </c>
      <c r="B3827" s="9">
        <v>0</v>
      </c>
    </row>
    <row r="3828" spans="1:2" x14ac:dyDescent="0.25">
      <c r="A3828" t="s">
        <v>4454</v>
      </c>
      <c r="B3828" s="9">
        <v>0</v>
      </c>
    </row>
    <row r="3829" spans="1:2" x14ac:dyDescent="0.25">
      <c r="A3829" t="s">
        <v>4455</v>
      </c>
      <c r="B3829" s="9">
        <v>0</v>
      </c>
    </row>
    <row r="3830" spans="1:2" x14ac:dyDescent="0.25">
      <c r="A3830" t="s">
        <v>4456</v>
      </c>
      <c r="B3830" s="9">
        <v>0</v>
      </c>
    </row>
    <row r="3831" spans="1:2" x14ac:dyDescent="0.25">
      <c r="A3831" t="s">
        <v>4457</v>
      </c>
      <c r="B3831" s="9">
        <v>0</v>
      </c>
    </row>
    <row r="3832" spans="1:2" x14ac:dyDescent="0.25">
      <c r="A3832" t="s">
        <v>4458</v>
      </c>
      <c r="B3832" s="9">
        <v>0</v>
      </c>
    </row>
    <row r="3833" spans="1:2" x14ac:dyDescent="0.25">
      <c r="A3833" t="s">
        <v>4459</v>
      </c>
      <c r="B3833" s="9">
        <v>0</v>
      </c>
    </row>
    <row r="3834" spans="1:2" x14ac:dyDescent="0.25">
      <c r="A3834" t="s">
        <v>4460</v>
      </c>
      <c r="B3834" s="9">
        <v>0</v>
      </c>
    </row>
    <row r="3835" spans="1:2" x14ac:dyDescent="0.25">
      <c r="A3835" t="s">
        <v>4461</v>
      </c>
      <c r="B3835" s="9">
        <v>0</v>
      </c>
    </row>
    <row r="3836" spans="1:2" x14ac:dyDescent="0.25">
      <c r="A3836" t="s">
        <v>4462</v>
      </c>
      <c r="B3836" s="9">
        <v>0</v>
      </c>
    </row>
    <row r="3837" spans="1:2" x14ac:dyDescent="0.25">
      <c r="A3837" t="s">
        <v>4463</v>
      </c>
      <c r="B3837" s="9">
        <v>0</v>
      </c>
    </row>
    <row r="3838" spans="1:2" x14ac:dyDescent="0.25">
      <c r="A3838" t="s">
        <v>4464</v>
      </c>
      <c r="B3838" s="9">
        <v>0</v>
      </c>
    </row>
    <row r="3839" spans="1:2" x14ac:dyDescent="0.25">
      <c r="A3839" t="s">
        <v>4465</v>
      </c>
      <c r="B3839" s="9">
        <v>0</v>
      </c>
    </row>
    <row r="3840" spans="1:2" x14ac:dyDescent="0.25">
      <c r="A3840" t="s">
        <v>4466</v>
      </c>
      <c r="B3840" s="9">
        <v>0</v>
      </c>
    </row>
    <row r="3841" spans="1:2" x14ac:dyDescent="0.25">
      <c r="A3841" t="s">
        <v>4467</v>
      </c>
      <c r="B3841" s="9">
        <v>0</v>
      </c>
    </row>
    <row r="3842" spans="1:2" x14ac:dyDescent="0.25">
      <c r="A3842" t="s">
        <v>4468</v>
      </c>
      <c r="B3842" s="9">
        <v>0</v>
      </c>
    </row>
    <row r="3843" spans="1:2" x14ac:dyDescent="0.25">
      <c r="A3843" t="s">
        <v>4469</v>
      </c>
      <c r="B3843" s="9">
        <v>0</v>
      </c>
    </row>
    <row r="3844" spans="1:2" x14ac:dyDescent="0.25">
      <c r="A3844" t="s">
        <v>4470</v>
      </c>
      <c r="B3844" s="9">
        <v>0</v>
      </c>
    </row>
    <row r="3845" spans="1:2" x14ac:dyDescent="0.25">
      <c r="A3845" t="s">
        <v>4471</v>
      </c>
      <c r="B3845" s="9">
        <v>0</v>
      </c>
    </row>
    <row r="3846" spans="1:2" x14ac:dyDescent="0.25">
      <c r="A3846" t="s">
        <v>4472</v>
      </c>
      <c r="B3846" s="9">
        <v>0</v>
      </c>
    </row>
    <row r="3847" spans="1:2" x14ac:dyDescent="0.25">
      <c r="A3847" t="s">
        <v>4473</v>
      </c>
      <c r="B3847" s="9">
        <v>0</v>
      </c>
    </row>
    <row r="3848" spans="1:2" x14ac:dyDescent="0.25">
      <c r="A3848" t="s">
        <v>4474</v>
      </c>
      <c r="B3848" s="9">
        <v>0</v>
      </c>
    </row>
    <row r="3849" spans="1:2" x14ac:dyDescent="0.25">
      <c r="A3849" t="s">
        <v>4475</v>
      </c>
      <c r="B3849" s="9">
        <v>0</v>
      </c>
    </row>
    <row r="3850" spans="1:2" x14ac:dyDescent="0.25">
      <c r="A3850" t="s">
        <v>4476</v>
      </c>
      <c r="B3850" s="9">
        <v>0</v>
      </c>
    </row>
    <row r="3851" spans="1:2" x14ac:dyDescent="0.25">
      <c r="A3851" t="s">
        <v>4477</v>
      </c>
      <c r="B3851" s="9">
        <v>0</v>
      </c>
    </row>
    <row r="3852" spans="1:2" x14ac:dyDescent="0.25">
      <c r="A3852" t="s">
        <v>4478</v>
      </c>
      <c r="B3852" s="9">
        <v>0</v>
      </c>
    </row>
    <row r="3853" spans="1:2" x14ac:dyDescent="0.25">
      <c r="A3853" t="s">
        <v>4479</v>
      </c>
      <c r="B3853" s="9">
        <v>0</v>
      </c>
    </row>
    <row r="3854" spans="1:2" x14ac:dyDescent="0.25">
      <c r="A3854" t="s">
        <v>4480</v>
      </c>
      <c r="B3854" s="9">
        <v>0</v>
      </c>
    </row>
    <row r="3855" spans="1:2" x14ac:dyDescent="0.25">
      <c r="A3855" t="s">
        <v>4481</v>
      </c>
      <c r="B3855" s="9">
        <v>0</v>
      </c>
    </row>
    <row r="3856" spans="1:2" x14ac:dyDescent="0.25">
      <c r="A3856" t="s">
        <v>4482</v>
      </c>
      <c r="B3856" s="9">
        <v>0</v>
      </c>
    </row>
    <row r="3857" spans="1:2" x14ac:dyDescent="0.25">
      <c r="A3857" t="s">
        <v>4483</v>
      </c>
      <c r="B3857" s="9">
        <v>0</v>
      </c>
    </row>
    <row r="3858" spans="1:2" x14ac:dyDescent="0.25">
      <c r="A3858" t="s">
        <v>4484</v>
      </c>
      <c r="B3858" s="9">
        <v>0</v>
      </c>
    </row>
    <row r="3859" spans="1:2" x14ac:dyDescent="0.25">
      <c r="A3859" t="s">
        <v>4485</v>
      </c>
      <c r="B3859" s="9">
        <v>0</v>
      </c>
    </row>
    <row r="3860" spans="1:2" x14ac:dyDescent="0.25">
      <c r="A3860" t="s">
        <v>4486</v>
      </c>
      <c r="B3860" s="9">
        <v>0</v>
      </c>
    </row>
    <row r="3861" spans="1:2" x14ac:dyDescent="0.25">
      <c r="A3861" t="s">
        <v>4487</v>
      </c>
      <c r="B3861" s="9">
        <v>0</v>
      </c>
    </row>
    <row r="3862" spans="1:2" x14ac:dyDescent="0.25">
      <c r="A3862" t="s">
        <v>4488</v>
      </c>
      <c r="B3862" s="9">
        <v>0</v>
      </c>
    </row>
    <row r="3863" spans="1:2" x14ac:dyDescent="0.25">
      <c r="A3863" t="s">
        <v>4489</v>
      </c>
      <c r="B3863" s="9">
        <v>0</v>
      </c>
    </row>
    <row r="3864" spans="1:2" x14ac:dyDescent="0.25">
      <c r="A3864" t="s">
        <v>4490</v>
      </c>
      <c r="B3864" s="9">
        <v>0</v>
      </c>
    </row>
    <row r="3865" spans="1:2" x14ac:dyDescent="0.25">
      <c r="A3865" t="s">
        <v>4491</v>
      </c>
      <c r="B3865" s="9">
        <v>0</v>
      </c>
    </row>
    <row r="3866" spans="1:2" x14ac:dyDescent="0.25">
      <c r="A3866" t="s">
        <v>4492</v>
      </c>
      <c r="B3866" s="9">
        <v>0</v>
      </c>
    </row>
    <row r="3867" spans="1:2" x14ac:dyDescent="0.25">
      <c r="A3867" t="s">
        <v>4493</v>
      </c>
      <c r="B3867" s="9">
        <v>0</v>
      </c>
    </row>
    <row r="3868" spans="1:2" x14ac:dyDescent="0.25">
      <c r="A3868" t="s">
        <v>4494</v>
      </c>
      <c r="B3868" s="9">
        <v>0</v>
      </c>
    </row>
    <row r="3869" spans="1:2" x14ac:dyDescent="0.25">
      <c r="A3869" t="s">
        <v>4495</v>
      </c>
      <c r="B3869" s="9">
        <v>0</v>
      </c>
    </row>
    <row r="3870" spans="1:2" x14ac:dyDescent="0.25">
      <c r="A3870" t="s">
        <v>4496</v>
      </c>
      <c r="B3870" s="9">
        <v>0</v>
      </c>
    </row>
    <row r="3871" spans="1:2" x14ac:dyDescent="0.25">
      <c r="A3871" t="s">
        <v>4497</v>
      </c>
      <c r="B3871" s="9">
        <v>0</v>
      </c>
    </row>
    <row r="3872" spans="1:2" x14ac:dyDescent="0.25">
      <c r="A3872" t="s">
        <v>4498</v>
      </c>
      <c r="B3872" s="9">
        <v>0</v>
      </c>
    </row>
    <row r="3873" spans="1:2" x14ac:dyDescent="0.25">
      <c r="A3873" t="s">
        <v>4499</v>
      </c>
      <c r="B3873" s="9">
        <v>0</v>
      </c>
    </row>
    <row r="3874" spans="1:2" x14ac:dyDescent="0.25">
      <c r="A3874" t="s">
        <v>4500</v>
      </c>
      <c r="B3874" s="9">
        <v>0</v>
      </c>
    </row>
    <row r="3875" spans="1:2" x14ac:dyDescent="0.25">
      <c r="A3875" t="s">
        <v>4501</v>
      </c>
      <c r="B3875" s="9">
        <v>0</v>
      </c>
    </row>
    <row r="3876" spans="1:2" x14ac:dyDescent="0.25">
      <c r="A3876" t="s">
        <v>4502</v>
      </c>
      <c r="B3876" s="9">
        <v>0</v>
      </c>
    </row>
    <row r="3877" spans="1:2" x14ac:dyDescent="0.25">
      <c r="A3877" t="s">
        <v>4503</v>
      </c>
      <c r="B3877" s="9">
        <v>0</v>
      </c>
    </row>
    <row r="3878" spans="1:2" x14ac:dyDescent="0.25">
      <c r="A3878" t="s">
        <v>4504</v>
      </c>
      <c r="B3878" s="9">
        <v>0</v>
      </c>
    </row>
    <row r="3879" spans="1:2" x14ac:dyDescent="0.25">
      <c r="A3879" t="s">
        <v>4505</v>
      </c>
      <c r="B3879" s="9">
        <v>0</v>
      </c>
    </row>
    <row r="3880" spans="1:2" x14ac:dyDescent="0.25">
      <c r="A3880" t="s">
        <v>4506</v>
      </c>
      <c r="B3880" s="9">
        <v>0</v>
      </c>
    </row>
    <row r="3881" spans="1:2" x14ac:dyDescent="0.25">
      <c r="A3881" t="s">
        <v>4507</v>
      </c>
      <c r="B3881" s="9">
        <v>0</v>
      </c>
    </row>
    <row r="3882" spans="1:2" x14ac:dyDescent="0.25">
      <c r="A3882" t="s">
        <v>4508</v>
      </c>
      <c r="B3882" s="9">
        <v>0</v>
      </c>
    </row>
    <row r="3883" spans="1:2" x14ac:dyDescent="0.25">
      <c r="A3883" t="s">
        <v>4509</v>
      </c>
      <c r="B3883" s="9">
        <v>0</v>
      </c>
    </row>
    <row r="3884" spans="1:2" x14ac:dyDescent="0.25">
      <c r="A3884" t="s">
        <v>4510</v>
      </c>
      <c r="B3884" s="9">
        <v>0</v>
      </c>
    </row>
    <row r="3885" spans="1:2" x14ac:dyDescent="0.25">
      <c r="A3885" t="s">
        <v>4511</v>
      </c>
      <c r="B3885" s="9">
        <v>0</v>
      </c>
    </row>
    <row r="3886" spans="1:2" x14ac:dyDescent="0.25">
      <c r="A3886" t="s">
        <v>4512</v>
      </c>
      <c r="B3886" s="9">
        <v>0</v>
      </c>
    </row>
    <row r="3887" spans="1:2" x14ac:dyDescent="0.25">
      <c r="A3887" t="s">
        <v>4513</v>
      </c>
      <c r="B3887" s="9">
        <v>0</v>
      </c>
    </row>
    <row r="3888" spans="1:2" x14ac:dyDescent="0.25">
      <c r="A3888" t="s">
        <v>4514</v>
      </c>
      <c r="B3888" s="9">
        <v>0</v>
      </c>
    </row>
    <row r="3889" spans="1:2" x14ac:dyDescent="0.25">
      <c r="A3889" t="s">
        <v>4515</v>
      </c>
      <c r="B3889" s="9">
        <v>0</v>
      </c>
    </row>
    <row r="3890" spans="1:2" x14ac:dyDescent="0.25">
      <c r="A3890" t="s">
        <v>4516</v>
      </c>
      <c r="B3890" s="9">
        <v>0</v>
      </c>
    </row>
    <row r="3891" spans="1:2" x14ac:dyDescent="0.25">
      <c r="A3891" t="s">
        <v>4517</v>
      </c>
      <c r="B3891" s="9">
        <v>0</v>
      </c>
    </row>
    <row r="3892" spans="1:2" x14ac:dyDescent="0.25">
      <c r="A3892" t="s">
        <v>4518</v>
      </c>
      <c r="B3892" s="9">
        <v>0</v>
      </c>
    </row>
    <row r="3893" spans="1:2" x14ac:dyDescent="0.25">
      <c r="A3893" t="s">
        <v>4519</v>
      </c>
      <c r="B3893" s="9">
        <v>0</v>
      </c>
    </row>
    <row r="3894" spans="1:2" x14ac:dyDescent="0.25">
      <c r="A3894" t="s">
        <v>4520</v>
      </c>
      <c r="B3894" s="9">
        <v>0</v>
      </c>
    </row>
    <row r="3895" spans="1:2" x14ac:dyDescent="0.25">
      <c r="A3895" t="s">
        <v>4521</v>
      </c>
      <c r="B3895" s="9">
        <v>0</v>
      </c>
    </row>
    <row r="3896" spans="1:2" x14ac:dyDescent="0.25">
      <c r="A3896" t="s">
        <v>4522</v>
      </c>
      <c r="B3896" s="9">
        <v>0</v>
      </c>
    </row>
    <row r="3897" spans="1:2" x14ac:dyDescent="0.25">
      <c r="A3897" t="s">
        <v>4523</v>
      </c>
      <c r="B3897" s="9">
        <v>0</v>
      </c>
    </row>
    <row r="3898" spans="1:2" x14ac:dyDescent="0.25">
      <c r="A3898" t="s">
        <v>4524</v>
      </c>
      <c r="B3898" s="9">
        <v>0</v>
      </c>
    </row>
    <row r="3899" spans="1:2" x14ac:dyDescent="0.25">
      <c r="A3899" t="s">
        <v>4525</v>
      </c>
      <c r="B3899" s="9">
        <v>0</v>
      </c>
    </row>
    <row r="3900" spans="1:2" x14ac:dyDescent="0.25">
      <c r="A3900" t="s">
        <v>4526</v>
      </c>
      <c r="B3900" s="9">
        <v>0</v>
      </c>
    </row>
    <row r="3901" spans="1:2" x14ac:dyDescent="0.25">
      <c r="A3901" t="s">
        <v>4527</v>
      </c>
      <c r="B3901" s="9">
        <v>0</v>
      </c>
    </row>
    <row r="3902" spans="1:2" x14ac:dyDescent="0.25">
      <c r="A3902" t="s">
        <v>4528</v>
      </c>
      <c r="B3902" s="9">
        <v>0</v>
      </c>
    </row>
    <row r="3903" spans="1:2" x14ac:dyDescent="0.25">
      <c r="A3903" t="s">
        <v>4529</v>
      </c>
      <c r="B3903" s="9">
        <v>0</v>
      </c>
    </row>
    <row r="3904" spans="1:2" x14ac:dyDescent="0.25">
      <c r="A3904" t="s">
        <v>4530</v>
      </c>
      <c r="B3904" s="9">
        <v>0</v>
      </c>
    </row>
    <row r="3905" spans="1:2" x14ac:dyDescent="0.25">
      <c r="A3905" t="s">
        <v>4531</v>
      </c>
      <c r="B3905" s="9">
        <v>0</v>
      </c>
    </row>
    <row r="3906" spans="1:2" x14ac:dyDescent="0.25">
      <c r="A3906" t="s">
        <v>4532</v>
      </c>
      <c r="B3906" s="9">
        <v>0</v>
      </c>
    </row>
    <row r="3907" spans="1:2" x14ac:dyDescent="0.25">
      <c r="A3907" t="s">
        <v>4533</v>
      </c>
      <c r="B3907" s="9">
        <v>0</v>
      </c>
    </row>
    <row r="3908" spans="1:2" x14ac:dyDescent="0.25">
      <c r="A3908" t="s">
        <v>4534</v>
      </c>
      <c r="B3908" s="9">
        <v>0</v>
      </c>
    </row>
    <row r="3909" spans="1:2" x14ac:dyDescent="0.25">
      <c r="A3909" t="s">
        <v>4535</v>
      </c>
      <c r="B3909" s="9">
        <v>0</v>
      </c>
    </row>
    <row r="3910" spans="1:2" x14ac:dyDescent="0.25">
      <c r="A3910" t="s">
        <v>4536</v>
      </c>
      <c r="B3910" s="9">
        <v>0</v>
      </c>
    </row>
    <row r="3911" spans="1:2" x14ac:dyDescent="0.25">
      <c r="A3911" t="s">
        <v>4537</v>
      </c>
      <c r="B3911" s="9">
        <v>0</v>
      </c>
    </row>
    <row r="3912" spans="1:2" x14ac:dyDescent="0.25">
      <c r="A3912" t="s">
        <v>4538</v>
      </c>
      <c r="B3912" s="9">
        <v>0</v>
      </c>
    </row>
    <row r="3913" spans="1:2" x14ac:dyDescent="0.25">
      <c r="A3913" t="s">
        <v>4539</v>
      </c>
      <c r="B3913" s="9">
        <v>0</v>
      </c>
    </row>
    <row r="3914" spans="1:2" x14ac:dyDescent="0.25">
      <c r="A3914" t="s">
        <v>4540</v>
      </c>
      <c r="B3914" s="9">
        <v>0</v>
      </c>
    </row>
    <row r="3915" spans="1:2" x14ac:dyDescent="0.25">
      <c r="A3915" t="s">
        <v>4541</v>
      </c>
      <c r="B3915" s="9">
        <v>0</v>
      </c>
    </row>
    <row r="3916" spans="1:2" x14ac:dyDescent="0.25">
      <c r="A3916" t="s">
        <v>4542</v>
      </c>
      <c r="B3916" s="9">
        <v>0</v>
      </c>
    </row>
    <row r="3917" spans="1:2" x14ac:dyDescent="0.25">
      <c r="A3917" t="s">
        <v>4543</v>
      </c>
      <c r="B3917" s="9">
        <v>0</v>
      </c>
    </row>
    <row r="3918" spans="1:2" x14ac:dyDescent="0.25">
      <c r="A3918" t="s">
        <v>4544</v>
      </c>
      <c r="B3918" s="9">
        <v>0</v>
      </c>
    </row>
    <row r="3919" spans="1:2" x14ac:dyDescent="0.25">
      <c r="A3919" t="s">
        <v>4545</v>
      </c>
      <c r="B3919" s="9">
        <v>0</v>
      </c>
    </row>
    <row r="3920" spans="1:2" x14ac:dyDescent="0.25">
      <c r="A3920" t="s">
        <v>4546</v>
      </c>
      <c r="B3920" s="9">
        <v>0</v>
      </c>
    </row>
    <row r="3921" spans="1:2" x14ac:dyDescent="0.25">
      <c r="A3921" t="s">
        <v>4547</v>
      </c>
      <c r="B3921" s="9">
        <v>0</v>
      </c>
    </row>
    <row r="3922" spans="1:2" x14ac:dyDescent="0.25">
      <c r="A3922" t="s">
        <v>4548</v>
      </c>
      <c r="B3922" s="9">
        <v>0</v>
      </c>
    </row>
    <row r="3923" spans="1:2" x14ac:dyDescent="0.25">
      <c r="A3923" t="s">
        <v>4549</v>
      </c>
      <c r="B3923" s="9">
        <v>0</v>
      </c>
    </row>
    <row r="3924" spans="1:2" x14ac:dyDescent="0.25">
      <c r="A3924" t="s">
        <v>4550</v>
      </c>
      <c r="B3924" s="9">
        <v>0</v>
      </c>
    </row>
    <row r="3925" spans="1:2" x14ac:dyDescent="0.25">
      <c r="A3925" t="s">
        <v>4551</v>
      </c>
      <c r="B3925" s="9">
        <v>0</v>
      </c>
    </row>
    <row r="3926" spans="1:2" x14ac:dyDescent="0.25">
      <c r="A3926" t="s">
        <v>4552</v>
      </c>
      <c r="B3926" s="9">
        <v>0</v>
      </c>
    </row>
    <row r="3927" spans="1:2" x14ac:dyDescent="0.25">
      <c r="A3927" t="s">
        <v>4553</v>
      </c>
      <c r="B3927" s="9">
        <v>0</v>
      </c>
    </row>
    <row r="3928" spans="1:2" x14ac:dyDescent="0.25">
      <c r="A3928" t="s">
        <v>4554</v>
      </c>
      <c r="B3928" s="9">
        <v>0</v>
      </c>
    </row>
    <row r="3929" spans="1:2" x14ac:dyDescent="0.25">
      <c r="A3929" t="s">
        <v>4555</v>
      </c>
      <c r="B3929" s="9">
        <v>0</v>
      </c>
    </row>
    <row r="3930" spans="1:2" x14ac:dyDescent="0.25">
      <c r="A3930" t="s">
        <v>4556</v>
      </c>
      <c r="B3930" s="9">
        <v>0</v>
      </c>
    </row>
    <row r="3931" spans="1:2" x14ac:dyDescent="0.25">
      <c r="A3931" t="s">
        <v>4557</v>
      </c>
      <c r="B3931" s="9">
        <v>0</v>
      </c>
    </row>
    <row r="3932" spans="1:2" x14ac:dyDescent="0.25">
      <c r="A3932" t="s">
        <v>4558</v>
      </c>
      <c r="B3932" s="9">
        <v>0</v>
      </c>
    </row>
    <row r="3933" spans="1:2" x14ac:dyDescent="0.25">
      <c r="A3933" t="s">
        <v>4559</v>
      </c>
      <c r="B3933" s="9">
        <v>0</v>
      </c>
    </row>
    <row r="3934" spans="1:2" x14ac:dyDescent="0.25">
      <c r="A3934" t="s">
        <v>4560</v>
      </c>
      <c r="B3934" s="9">
        <v>0</v>
      </c>
    </row>
    <row r="3935" spans="1:2" x14ac:dyDescent="0.25">
      <c r="A3935" t="s">
        <v>4561</v>
      </c>
      <c r="B3935" s="9">
        <v>0</v>
      </c>
    </row>
    <row r="3936" spans="1:2" x14ac:dyDescent="0.25">
      <c r="A3936" t="s">
        <v>4562</v>
      </c>
      <c r="B3936" s="9">
        <v>0</v>
      </c>
    </row>
    <row r="3937" spans="1:2" x14ac:dyDescent="0.25">
      <c r="A3937" t="s">
        <v>4563</v>
      </c>
      <c r="B3937" s="9">
        <v>0</v>
      </c>
    </row>
    <row r="3938" spans="1:2" x14ac:dyDescent="0.25">
      <c r="A3938" t="s">
        <v>4564</v>
      </c>
      <c r="B3938" s="9">
        <v>0</v>
      </c>
    </row>
    <row r="3939" spans="1:2" x14ac:dyDescent="0.25">
      <c r="A3939" t="s">
        <v>4565</v>
      </c>
      <c r="B3939" s="9">
        <v>0</v>
      </c>
    </row>
    <row r="3940" spans="1:2" x14ac:dyDescent="0.25">
      <c r="A3940" t="s">
        <v>4566</v>
      </c>
      <c r="B3940" s="9">
        <v>0</v>
      </c>
    </row>
    <row r="3941" spans="1:2" x14ac:dyDescent="0.25">
      <c r="A3941" t="s">
        <v>4567</v>
      </c>
      <c r="B3941" s="9">
        <v>0</v>
      </c>
    </row>
    <row r="3942" spans="1:2" x14ac:dyDescent="0.25">
      <c r="A3942" t="s">
        <v>4568</v>
      </c>
      <c r="B3942" s="9">
        <v>0</v>
      </c>
    </row>
    <row r="3943" spans="1:2" x14ac:dyDescent="0.25">
      <c r="A3943" t="s">
        <v>4569</v>
      </c>
      <c r="B3943" s="9">
        <v>0</v>
      </c>
    </row>
    <row r="3944" spans="1:2" x14ac:dyDescent="0.25">
      <c r="A3944" t="s">
        <v>4570</v>
      </c>
      <c r="B3944" s="9">
        <v>0</v>
      </c>
    </row>
    <row r="3945" spans="1:2" x14ac:dyDescent="0.25">
      <c r="A3945" t="s">
        <v>4571</v>
      </c>
      <c r="B3945" s="9">
        <v>0</v>
      </c>
    </row>
    <row r="3946" spans="1:2" x14ac:dyDescent="0.25">
      <c r="A3946" t="s">
        <v>4572</v>
      </c>
      <c r="B3946" s="9">
        <v>0</v>
      </c>
    </row>
    <row r="3947" spans="1:2" x14ac:dyDescent="0.25">
      <c r="A3947" t="s">
        <v>4573</v>
      </c>
      <c r="B3947" s="9">
        <v>0</v>
      </c>
    </row>
    <row r="3948" spans="1:2" x14ac:dyDescent="0.25">
      <c r="A3948" t="s">
        <v>4574</v>
      </c>
      <c r="B3948" s="9">
        <v>0</v>
      </c>
    </row>
    <row r="3949" spans="1:2" x14ac:dyDescent="0.25">
      <c r="A3949" t="s">
        <v>4575</v>
      </c>
      <c r="B3949" s="9">
        <v>0</v>
      </c>
    </row>
    <row r="3950" spans="1:2" x14ac:dyDescent="0.25">
      <c r="A3950" t="s">
        <v>4576</v>
      </c>
      <c r="B3950" s="9">
        <v>0</v>
      </c>
    </row>
    <row r="3951" spans="1:2" x14ac:dyDescent="0.25">
      <c r="A3951" t="s">
        <v>4577</v>
      </c>
      <c r="B3951" s="9">
        <v>0</v>
      </c>
    </row>
    <row r="3952" spans="1:2" x14ac:dyDescent="0.25">
      <c r="A3952" t="s">
        <v>4578</v>
      </c>
      <c r="B3952" s="9">
        <v>0</v>
      </c>
    </row>
    <row r="3953" spans="1:2" x14ac:dyDescent="0.25">
      <c r="A3953" t="s">
        <v>4579</v>
      </c>
      <c r="B3953" s="9">
        <v>0</v>
      </c>
    </row>
    <row r="3954" spans="1:2" x14ac:dyDescent="0.25">
      <c r="A3954" t="s">
        <v>4580</v>
      </c>
      <c r="B3954" s="9">
        <v>0</v>
      </c>
    </row>
    <row r="3955" spans="1:2" x14ac:dyDescent="0.25">
      <c r="A3955" t="s">
        <v>4581</v>
      </c>
      <c r="B3955" s="9">
        <v>0</v>
      </c>
    </row>
    <row r="3956" spans="1:2" x14ac:dyDescent="0.25">
      <c r="A3956" t="s">
        <v>4582</v>
      </c>
      <c r="B3956" s="9">
        <v>0</v>
      </c>
    </row>
    <row r="3957" spans="1:2" x14ac:dyDescent="0.25">
      <c r="A3957" t="s">
        <v>4583</v>
      </c>
      <c r="B3957" s="9">
        <v>0</v>
      </c>
    </row>
    <row r="3958" spans="1:2" x14ac:dyDescent="0.25">
      <c r="A3958" t="s">
        <v>4584</v>
      </c>
      <c r="B3958" s="9">
        <v>0</v>
      </c>
    </row>
    <row r="3959" spans="1:2" x14ac:dyDescent="0.25">
      <c r="A3959" t="s">
        <v>4585</v>
      </c>
      <c r="B3959" s="9">
        <v>0</v>
      </c>
    </row>
    <row r="3960" spans="1:2" x14ac:dyDescent="0.25">
      <c r="A3960" t="s">
        <v>4586</v>
      </c>
      <c r="B3960" s="9">
        <v>0</v>
      </c>
    </row>
    <row r="3961" spans="1:2" x14ac:dyDescent="0.25">
      <c r="A3961" t="s">
        <v>4587</v>
      </c>
      <c r="B3961" s="9">
        <v>0</v>
      </c>
    </row>
    <row r="3962" spans="1:2" x14ac:dyDescent="0.25">
      <c r="A3962" t="s">
        <v>4588</v>
      </c>
      <c r="B3962" s="9">
        <v>0</v>
      </c>
    </row>
    <row r="3963" spans="1:2" x14ac:dyDescent="0.25">
      <c r="A3963" t="s">
        <v>4589</v>
      </c>
      <c r="B3963" s="9">
        <v>0</v>
      </c>
    </row>
    <row r="3964" spans="1:2" x14ac:dyDescent="0.25">
      <c r="A3964" t="s">
        <v>4590</v>
      </c>
      <c r="B3964" s="9">
        <v>0</v>
      </c>
    </row>
    <row r="3965" spans="1:2" x14ac:dyDescent="0.25">
      <c r="A3965" t="s">
        <v>4591</v>
      </c>
      <c r="B3965" s="9">
        <v>0</v>
      </c>
    </row>
    <row r="3966" spans="1:2" x14ac:dyDescent="0.25">
      <c r="A3966" t="s">
        <v>4592</v>
      </c>
      <c r="B3966" s="9">
        <v>0</v>
      </c>
    </row>
    <row r="3967" spans="1:2" x14ac:dyDescent="0.25">
      <c r="A3967" t="s">
        <v>4593</v>
      </c>
      <c r="B3967" s="9">
        <v>0</v>
      </c>
    </row>
    <row r="3968" spans="1:2" x14ac:dyDescent="0.25">
      <c r="A3968" t="s">
        <v>4594</v>
      </c>
      <c r="B3968" s="9">
        <v>0</v>
      </c>
    </row>
    <row r="3969" spans="1:2" x14ac:dyDescent="0.25">
      <c r="A3969" t="s">
        <v>4595</v>
      </c>
      <c r="B3969" s="9">
        <v>0</v>
      </c>
    </row>
    <row r="3970" spans="1:2" x14ac:dyDescent="0.25">
      <c r="A3970" t="s">
        <v>4596</v>
      </c>
      <c r="B3970" s="9">
        <v>0</v>
      </c>
    </row>
    <row r="3971" spans="1:2" x14ac:dyDescent="0.25">
      <c r="A3971" t="s">
        <v>4597</v>
      </c>
      <c r="B3971" s="9">
        <v>0</v>
      </c>
    </row>
    <row r="3972" spans="1:2" x14ac:dyDescent="0.25">
      <c r="A3972" t="s">
        <v>4598</v>
      </c>
      <c r="B3972" s="9">
        <v>0</v>
      </c>
    </row>
    <row r="3973" spans="1:2" x14ac:dyDescent="0.25">
      <c r="A3973" t="s">
        <v>4599</v>
      </c>
      <c r="B3973" s="9">
        <v>0</v>
      </c>
    </row>
    <row r="3974" spans="1:2" x14ac:dyDescent="0.25">
      <c r="A3974" t="s">
        <v>4600</v>
      </c>
      <c r="B3974" s="9">
        <v>0</v>
      </c>
    </row>
    <row r="3975" spans="1:2" x14ac:dyDescent="0.25">
      <c r="A3975" t="s">
        <v>4601</v>
      </c>
      <c r="B3975" s="9">
        <v>0</v>
      </c>
    </row>
    <row r="3976" spans="1:2" x14ac:dyDescent="0.25">
      <c r="A3976" t="s">
        <v>4602</v>
      </c>
      <c r="B3976" s="9">
        <v>0</v>
      </c>
    </row>
    <row r="3977" spans="1:2" x14ac:dyDescent="0.25">
      <c r="A3977" t="s">
        <v>4603</v>
      </c>
      <c r="B3977" s="9">
        <v>0</v>
      </c>
    </row>
    <row r="3978" spans="1:2" x14ac:dyDescent="0.25">
      <c r="A3978" t="s">
        <v>4604</v>
      </c>
      <c r="B3978" s="9">
        <v>0</v>
      </c>
    </row>
    <row r="3979" spans="1:2" x14ac:dyDescent="0.25">
      <c r="A3979" t="s">
        <v>4605</v>
      </c>
      <c r="B3979" s="9">
        <v>0</v>
      </c>
    </row>
    <row r="3980" spans="1:2" x14ac:dyDescent="0.25">
      <c r="A3980" t="s">
        <v>4606</v>
      </c>
      <c r="B3980" s="9">
        <v>0</v>
      </c>
    </row>
    <row r="3981" spans="1:2" x14ac:dyDescent="0.25">
      <c r="A3981" t="s">
        <v>4607</v>
      </c>
      <c r="B3981" s="9">
        <v>0</v>
      </c>
    </row>
    <row r="3982" spans="1:2" x14ac:dyDescent="0.25">
      <c r="A3982" t="s">
        <v>4608</v>
      </c>
      <c r="B3982" s="9">
        <v>0</v>
      </c>
    </row>
    <row r="3983" spans="1:2" x14ac:dyDescent="0.25">
      <c r="A3983" t="s">
        <v>4609</v>
      </c>
      <c r="B3983" s="9">
        <v>0</v>
      </c>
    </row>
    <row r="3984" spans="1:2" x14ac:dyDescent="0.25">
      <c r="A3984" t="s">
        <v>4610</v>
      </c>
      <c r="B3984" s="9">
        <v>0</v>
      </c>
    </row>
    <row r="3985" spans="1:2" x14ac:dyDescent="0.25">
      <c r="A3985" t="s">
        <v>4611</v>
      </c>
      <c r="B3985" s="9">
        <v>0</v>
      </c>
    </row>
    <row r="3986" spans="1:2" x14ac:dyDescent="0.25">
      <c r="A3986" t="s">
        <v>4612</v>
      </c>
      <c r="B3986" s="9">
        <v>0</v>
      </c>
    </row>
    <row r="3987" spans="1:2" x14ac:dyDescent="0.25">
      <c r="A3987" t="s">
        <v>4613</v>
      </c>
      <c r="B3987" s="9">
        <v>0</v>
      </c>
    </row>
    <row r="3988" spans="1:2" x14ac:dyDescent="0.25">
      <c r="A3988" t="s">
        <v>4614</v>
      </c>
      <c r="B3988" s="9">
        <v>0</v>
      </c>
    </row>
    <row r="3989" spans="1:2" x14ac:dyDescent="0.25">
      <c r="A3989" t="s">
        <v>4615</v>
      </c>
      <c r="B3989" s="9">
        <v>0</v>
      </c>
    </row>
    <row r="3990" spans="1:2" x14ac:dyDescent="0.25">
      <c r="A3990" t="s">
        <v>4616</v>
      </c>
      <c r="B3990" s="9">
        <v>0</v>
      </c>
    </row>
    <row r="3991" spans="1:2" x14ac:dyDescent="0.25">
      <c r="A3991" t="s">
        <v>4617</v>
      </c>
      <c r="B3991" s="9">
        <v>0</v>
      </c>
    </row>
    <row r="3992" spans="1:2" x14ac:dyDescent="0.25">
      <c r="A3992" t="s">
        <v>4618</v>
      </c>
      <c r="B3992" s="9">
        <v>0</v>
      </c>
    </row>
    <row r="3993" spans="1:2" x14ac:dyDescent="0.25">
      <c r="A3993" t="s">
        <v>4619</v>
      </c>
      <c r="B3993" s="9">
        <v>0</v>
      </c>
    </row>
    <row r="3994" spans="1:2" x14ac:dyDescent="0.25">
      <c r="A3994" t="s">
        <v>4620</v>
      </c>
      <c r="B3994" s="9">
        <v>0</v>
      </c>
    </row>
    <row r="3995" spans="1:2" x14ac:dyDescent="0.25">
      <c r="A3995" t="s">
        <v>4621</v>
      </c>
      <c r="B3995" s="9">
        <v>0</v>
      </c>
    </row>
    <row r="3996" spans="1:2" x14ac:dyDescent="0.25">
      <c r="A3996" t="s">
        <v>4622</v>
      </c>
      <c r="B3996" s="9">
        <v>0</v>
      </c>
    </row>
    <row r="3997" spans="1:2" x14ac:dyDescent="0.25">
      <c r="A3997" t="s">
        <v>4623</v>
      </c>
      <c r="B3997" s="9">
        <v>0</v>
      </c>
    </row>
    <row r="3998" spans="1:2" x14ac:dyDescent="0.25">
      <c r="A3998" t="s">
        <v>4624</v>
      </c>
      <c r="B3998" s="9">
        <v>0</v>
      </c>
    </row>
    <row r="3999" spans="1:2" x14ac:dyDescent="0.25">
      <c r="A3999" t="s">
        <v>4625</v>
      </c>
      <c r="B3999" s="9">
        <v>0</v>
      </c>
    </row>
    <row r="4000" spans="1:2" x14ac:dyDescent="0.25">
      <c r="A4000" t="s">
        <v>4626</v>
      </c>
      <c r="B4000" s="9">
        <v>0</v>
      </c>
    </row>
    <row r="4001" spans="1:2" x14ac:dyDescent="0.25">
      <c r="A4001" t="s">
        <v>4627</v>
      </c>
      <c r="B4001" s="9">
        <v>0</v>
      </c>
    </row>
    <row r="4002" spans="1:2" x14ac:dyDescent="0.25">
      <c r="A4002" t="s">
        <v>4628</v>
      </c>
      <c r="B4002" s="9">
        <v>0</v>
      </c>
    </row>
    <row r="4003" spans="1:2" x14ac:dyDescent="0.25">
      <c r="A4003" t="s">
        <v>4629</v>
      </c>
      <c r="B4003" s="9">
        <v>0</v>
      </c>
    </row>
    <row r="4004" spans="1:2" x14ac:dyDescent="0.25">
      <c r="A4004" t="s">
        <v>4630</v>
      </c>
      <c r="B4004" s="9">
        <v>0</v>
      </c>
    </row>
    <row r="4005" spans="1:2" x14ac:dyDescent="0.25">
      <c r="A4005" t="s">
        <v>4631</v>
      </c>
      <c r="B4005" s="9">
        <v>0</v>
      </c>
    </row>
    <row r="4006" spans="1:2" x14ac:dyDescent="0.25">
      <c r="A4006" t="s">
        <v>4632</v>
      </c>
      <c r="B4006" s="9">
        <v>0</v>
      </c>
    </row>
    <row r="4007" spans="1:2" x14ac:dyDescent="0.25">
      <c r="A4007" t="s">
        <v>4633</v>
      </c>
      <c r="B4007" s="9">
        <v>0</v>
      </c>
    </row>
    <row r="4008" spans="1:2" x14ac:dyDescent="0.25">
      <c r="A4008" t="s">
        <v>4634</v>
      </c>
      <c r="B4008" s="9">
        <v>0</v>
      </c>
    </row>
    <row r="4009" spans="1:2" x14ac:dyDescent="0.25">
      <c r="A4009" t="s">
        <v>4635</v>
      </c>
      <c r="B4009" s="9">
        <v>0</v>
      </c>
    </row>
    <row r="4010" spans="1:2" x14ac:dyDescent="0.25">
      <c r="A4010" t="s">
        <v>4636</v>
      </c>
      <c r="B4010" s="9">
        <v>0</v>
      </c>
    </row>
    <row r="4011" spans="1:2" x14ac:dyDescent="0.25">
      <c r="A4011" t="s">
        <v>4637</v>
      </c>
      <c r="B4011" s="9">
        <v>0</v>
      </c>
    </row>
    <row r="4012" spans="1:2" x14ac:dyDescent="0.25">
      <c r="A4012" t="s">
        <v>4638</v>
      </c>
      <c r="B4012" s="9">
        <v>0</v>
      </c>
    </row>
    <row r="4013" spans="1:2" x14ac:dyDescent="0.25">
      <c r="A4013" t="s">
        <v>4639</v>
      </c>
      <c r="B4013" s="9">
        <v>0</v>
      </c>
    </row>
    <row r="4014" spans="1:2" x14ac:dyDescent="0.25">
      <c r="A4014" t="s">
        <v>4640</v>
      </c>
      <c r="B4014" s="9">
        <v>0</v>
      </c>
    </row>
    <row r="4015" spans="1:2" x14ac:dyDescent="0.25">
      <c r="A4015" t="s">
        <v>4641</v>
      </c>
      <c r="B4015" s="9">
        <v>0</v>
      </c>
    </row>
    <row r="4016" spans="1:2" x14ac:dyDescent="0.25">
      <c r="A4016" t="s">
        <v>4642</v>
      </c>
      <c r="B4016" s="9">
        <v>0</v>
      </c>
    </row>
    <row r="4017" spans="1:2" x14ac:dyDescent="0.25">
      <c r="A4017" t="s">
        <v>4643</v>
      </c>
      <c r="B4017" s="9">
        <v>0</v>
      </c>
    </row>
    <row r="4018" spans="1:2" x14ac:dyDescent="0.25">
      <c r="A4018" t="s">
        <v>4644</v>
      </c>
      <c r="B4018" s="9">
        <v>0</v>
      </c>
    </row>
    <row r="4019" spans="1:2" x14ac:dyDescent="0.25">
      <c r="A4019" t="s">
        <v>4645</v>
      </c>
      <c r="B4019" s="9">
        <v>0</v>
      </c>
    </row>
    <row r="4020" spans="1:2" x14ac:dyDescent="0.25">
      <c r="A4020" t="s">
        <v>4646</v>
      </c>
      <c r="B4020" s="9">
        <v>0</v>
      </c>
    </row>
    <row r="4021" spans="1:2" x14ac:dyDescent="0.25">
      <c r="A4021" t="s">
        <v>4647</v>
      </c>
      <c r="B4021" s="9">
        <v>0</v>
      </c>
    </row>
    <row r="4022" spans="1:2" x14ac:dyDescent="0.25">
      <c r="A4022" t="s">
        <v>4648</v>
      </c>
      <c r="B4022" s="9">
        <v>0</v>
      </c>
    </row>
    <row r="4023" spans="1:2" x14ac:dyDescent="0.25">
      <c r="A4023" t="s">
        <v>4649</v>
      </c>
      <c r="B4023" s="9">
        <v>0</v>
      </c>
    </row>
    <row r="4024" spans="1:2" x14ac:dyDescent="0.25">
      <c r="A4024" t="s">
        <v>4650</v>
      </c>
      <c r="B4024" s="9">
        <v>0</v>
      </c>
    </row>
    <row r="4025" spans="1:2" x14ac:dyDescent="0.25">
      <c r="A4025" t="s">
        <v>4651</v>
      </c>
      <c r="B4025" s="9">
        <v>0</v>
      </c>
    </row>
    <row r="4026" spans="1:2" x14ac:dyDescent="0.25">
      <c r="A4026" t="s">
        <v>4652</v>
      </c>
      <c r="B4026" s="9">
        <v>0</v>
      </c>
    </row>
    <row r="4027" spans="1:2" x14ac:dyDescent="0.25">
      <c r="A4027" t="s">
        <v>4653</v>
      </c>
      <c r="B4027" s="9">
        <v>0</v>
      </c>
    </row>
    <row r="4028" spans="1:2" x14ac:dyDescent="0.25">
      <c r="A4028" t="s">
        <v>4654</v>
      </c>
      <c r="B4028" s="9">
        <v>0</v>
      </c>
    </row>
    <row r="4029" spans="1:2" x14ac:dyDescent="0.25">
      <c r="A4029" t="s">
        <v>4655</v>
      </c>
      <c r="B4029" s="9">
        <v>0</v>
      </c>
    </row>
    <row r="4030" spans="1:2" x14ac:dyDescent="0.25">
      <c r="A4030" t="s">
        <v>4656</v>
      </c>
      <c r="B4030" s="9">
        <v>0</v>
      </c>
    </row>
    <row r="4031" spans="1:2" x14ac:dyDescent="0.25">
      <c r="A4031" t="s">
        <v>4657</v>
      </c>
      <c r="B4031" s="9">
        <v>0</v>
      </c>
    </row>
    <row r="4032" spans="1:2" x14ac:dyDescent="0.25">
      <c r="A4032" t="s">
        <v>4658</v>
      </c>
      <c r="B4032" s="9">
        <v>0</v>
      </c>
    </row>
    <row r="4033" spans="1:2" x14ac:dyDescent="0.25">
      <c r="A4033" t="s">
        <v>4659</v>
      </c>
      <c r="B4033" s="9">
        <v>0</v>
      </c>
    </row>
    <row r="4034" spans="1:2" x14ac:dyDescent="0.25">
      <c r="A4034" t="s">
        <v>4660</v>
      </c>
      <c r="B4034" s="9">
        <v>0</v>
      </c>
    </row>
    <row r="4035" spans="1:2" x14ac:dyDescent="0.25">
      <c r="A4035" t="s">
        <v>4661</v>
      </c>
      <c r="B4035" s="9">
        <v>0</v>
      </c>
    </row>
    <row r="4036" spans="1:2" x14ac:dyDescent="0.25">
      <c r="A4036" t="s">
        <v>4662</v>
      </c>
      <c r="B4036" s="9">
        <v>0</v>
      </c>
    </row>
    <row r="4037" spans="1:2" x14ac:dyDescent="0.25">
      <c r="A4037" t="s">
        <v>4663</v>
      </c>
      <c r="B4037" s="9">
        <v>0</v>
      </c>
    </row>
    <row r="4038" spans="1:2" x14ac:dyDescent="0.25">
      <c r="A4038" t="s">
        <v>4664</v>
      </c>
      <c r="B4038" s="9">
        <v>0</v>
      </c>
    </row>
    <row r="4039" spans="1:2" x14ac:dyDescent="0.25">
      <c r="A4039" t="s">
        <v>4665</v>
      </c>
      <c r="B4039" s="9">
        <v>0</v>
      </c>
    </row>
    <row r="4040" spans="1:2" x14ac:dyDescent="0.25">
      <c r="A4040" t="s">
        <v>4666</v>
      </c>
      <c r="B4040" s="9">
        <v>0</v>
      </c>
    </row>
    <row r="4041" spans="1:2" x14ac:dyDescent="0.25">
      <c r="A4041" t="s">
        <v>4667</v>
      </c>
      <c r="B4041" s="9">
        <v>0</v>
      </c>
    </row>
    <row r="4042" spans="1:2" x14ac:dyDescent="0.25">
      <c r="A4042" t="s">
        <v>4668</v>
      </c>
      <c r="B4042" s="9">
        <v>0</v>
      </c>
    </row>
    <row r="4043" spans="1:2" x14ac:dyDescent="0.25">
      <c r="A4043" t="s">
        <v>4669</v>
      </c>
      <c r="B4043" s="9">
        <v>0</v>
      </c>
    </row>
    <row r="4044" spans="1:2" x14ac:dyDescent="0.25">
      <c r="A4044" t="s">
        <v>4670</v>
      </c>
      <c r="B4044" s="9">
        <v>0</v>
      </c>
    </row>
    <row r="4045" spans="1:2" x14ac:dyDescent="0.25">
      <c r="A4045" t="s">
        <v>4671</v>
      </c>
      <c r="B4045" s="9">
        <v>0</v>
      </c>
    </row>
    <row r="4046" spans="1:2" x14ac:dyDescent="0.25">
      <c r="A4046" t="s">
        <v>4672</v>
      </c>
      <c r="B4046" s="9">
        <v>0</v>
      </c>
    </row>
    <row r="4047" spans="1:2" x14ac:dyDescent="0.25">
      <c r="A4047" t="s">
        <v>4673</v>
      </c>
      <c r="B4047" s="9">
        <v>0</v>
      </c>
    </row>
    <row r="4048" spans="1:2" x14ac:dyDescent="0.25">
      <c r="A4048" t="s">
        <v>4674</v>
      </c>
      <c r="B4048" s="9">
        <v>0</v>
      </c>
    </row>
    <row r="4049" spans="1:2" x14ac:dyDescent="0.25">
      <c r="A4049" t="s">
        <v>4675</v>
      </c>
      <c r="B4049" s="9">
        <v>0</v>
      </c>
    </row>
    <row r="4050" spans="1:2" x14ac:dyDescent="0.25">
      <c r="A4050" t="s">
        <v>4676</v>
      </c>
      <c r="B4050" s="9">
        <v>0</v>
      </c>
    </row>
    <row r="4051" spans="1:2" x14ac:dyDescent="0.25">
      <c r="A4051" t="s">
        <v>4677</v>
      </c>
      <c r="B4051" s="9">
        <v>0</v>
      </c>
    </row>
    <row r="4052" spans="1:2" x14ac:dyDescent="0.25">
      <c r="A4052" t="s">
        <v>4678</v>
      </c>
      <c r="B4052" s="9">
        <v>0</v>
      </c>
    </row>
    <row r="4053" spans="1:2" x14ac:dyDescent="0.25">
      <c r="A4053" t="s">
        <v>4679</v>
      </c>
      <c r="B4053" s="9">
        <v>0</v>
      </c>
    </row>
    <row r="4054" spans="1:2" x14ac:dyDescent="0.25">
      <c r="A4054" t="s">
        <v>4680</v>
      </c>
      <c r="B4054" s="9">
        <v>0</v>
      </c>
    </row>
    <row r="4055" spans="1:2" x14ac:dyDescent="0.25">
      <c r="A4055" t="s">
        <v>4681</v>
      </c>
      <c r="B4055" s="9">
        <v>0</v>
      </c>
    </row>
    <row r="4056" spans="1:2" x14ac:dyDescent="0.25">
      <c r="A4056" t="s">
        <v>4682</v>
      </c>
      <c r="B4056" s="9">
        <v>0</v>
      </c>
    </row>
    <row r="4057" spans="1:2" x14ac:dyDescent="0.25">
      <c r="A4057" t="s">
        <v>4683</v>
      </c>
      <c r="B4057" s="9">
        <v>0</v>
      </c>
    </row>
    <row r="4058" spans="1:2" x14ac:dyDescent="0.25">
      <c r="A4058" t="s">
        <v>4684</v>
      </c>
      <c r="B4058" s="9">
        <v>0</v>
      </c>
    </row>
    <row r="4059" spans="1:2" x14ac:dyDescent="0.25">
      <c r="A4059" t="s">
        <v>4685</v>
      </c>
      <c r="B4059" s="9">
        <v>0</v>
      </c>
    </row>
    <row r="4060" spans="1:2" x14ac:dyDescent="0.25">
      <c r="A4060" t="s">
        <v>4686</v>
      </c>
      <c r="B4060" s="9">
        <v>0</v>
      </c>
    </row>
    <row r="4061" spans="1:2" x14ac:dyDescent="0.25">
      <c r="A4061" t="s">
        <v>4687</v>
      </c>
      <c r="B4061" s="9">
        <v>0</v>
      </c>
    </row>
    <row r="4062" spans="1:2" x14ac:dyDescent="0.25">
      <c r="A4062" t="s">
        <v>4688</v>
      </c>
      <c r="B4062" s="9">
        <v>0</v>
      </c>
    </row>
    <row r="4063" spans="1:2" x14ac:dyDescent="0.25">
      <c r="A4063" t="s">
        <v>4689</v>
      </c>
      <c r="B4063" s="9">
        <v>0</v>
      </c>
    </row>
    <row r="4064" spans="1:2" x14ac:dyDescent="0.25">
      <c r="A4064" t="s">
        <v>4690</v>
      </c>
      <c r="B4064" s="9">
        <v>0</v>
      </c>
    </row>
    <row r="4065" spans="1:2" x14ac:dyDescent="0.25">
      <c r="A4065" t="s">
        <v>4691</v>
      </c>
      <c r="B4065" s="9">
        <v>0</v>
      </c>
    </row>
    <row r="4066" spans="1:2" x14ac:dyDescent="0.25">
      <c r="A4066" t="s">
        <v>4692</v>
      </c>
      <c r="B4066" s="9">
        <v>0</v>
      </c>
    </row>
    <row r="4067" spans="1:2" x14ac:dyDescent="0.25">
      <c r="A4067" t="s">
        <v>4693</v>
      </c>
      <c r="B4067" s="9">
        <v>0</v>
      </c>
    </row>
    <row r="4068" spans="1:2" x14ac:dyDescent="0.25">
      <c r="A4068" t="s">
        <v>4694</v>
      </c>
      <c r="B4068" s="9">
        <v>0</v>
      </c>
    </row>
    <row r="4069" spans="1:2" x14ac:dyDescent="0.25">
      <c r="A4069" t="s">
        <v>4695</v>
      </c>
      <c r="B4069" s="9">
        <v>0</v>
      </c>
    </row>
    <row r="4070" spans="1:2" x14ac:dyDescent="0.25">
      <c r="A4070" t="s">
        <v>4696</v>
      </c>
      <c r="B4070" s="9">
        <v>0</v>
      </c>
    </row>
    <row r="4071" spans="1:2" x14ac:dyDescent="0.25">
      <c r="A4071" t="s">
        <v>4697</v>
      </c>
      <c r="B4071" s="9">
        <v>0</v>
      </c>
    </row>
    <row r="4072" spans="1:2" x14ac:dyDescent="0.25">
      <c r="A4072" t="s">
        <v>4698</v>
      </c>
      <c r="B4072" s="9">
        <v>0</v>
      </c>
    </row>
    <row r="4073" spans="1:2" x14ac:dyDescent="0.25">
      <c r="A4073" t="s">
        <v>4699</v>
      </c>
      <c r="B4073" s="9">
        <v>0</v>
      </c>
    </row>
    <row r="4074" spans="1:2" x14ac:dyDescent="0.25">
      <c r="A4074" t="s">
        <v>4700</v>
      </c>
      <c r="B4074" s="9">
        <v>0</v>
      </c>
    </row>
    <row r="4075" spans="1:2" x14ac:dyDescent="0.25">
      <c r="A4075" t="s">
        <v>4701</v>
      </c>
      <c r="B4075" s="9">
        <v>0</v>
      </c>
    </row>
    <row r="4076" spans="1:2" x14ac:dyDescent="0.25">
      <c r="A4076" t="s">
        <v>4702</v>
      </c>
      <c r="B4076" s="9">
        <v>0</v>
      </c>
    </row>
    <row r="4077" spans="1:2" x14ac:dyDescent="0.25">
      <c r="A4077" t="s">
        <v>4703</v>
      </c>
      <c r="B4077" s="9">
        <v>0</v>
      </c>
    </row>
    <row r="4078" spans="1:2" x14ac:dyDescent="0.25">
      <c r="A4078" t="s">
        <v>4704</v>
      </c>
      <c r="B4078" s="9">
        <v>0</v>
      </c>
    </row>
    <row r="4079" spans="1:2" x14ac:dyDescent="0.25">
      <c r="A4079" t="s">
        <v>4705</v>
      </c>
      <c r="B4079" s="9">
        <v>0</v>
      </c>
    </row>
    <row r="4080" spans="1:2" x14ac:dyDescent="0.25">
      <c r="A4080" t="s">
        <v>4706</v>
      </c>
      <c r="B4080" s="9">
        <v>0</v>
      </c>
    </row>
    <row r="4081" spans="1:2" x14ac:dyDescent="0.25">
      <c r="A4081" t="s">
        <v>4707</v>
      </c>
      <c r="B4081" s="9">
        <v>0</v>
      </c>
    </row>
    <row r="4082" spans="1:2" x14ac:dyDescent="0.25">
      <c r="A4082" t="s">
        <v>4708</v>
      </c>
      <c r="B4082" s="9">
        <v>0</v>
      </c>
    </row>
    <row r="4083" spans="1:2" x14ac:dyDescent="0.25">
      <c r="A4083" t="s">
        <v>4709</v>
      </c>
      <c r="B4083" s="9">
        <v>0</v>
      </c>
    </row>
    <row r="4084" spans="1:2" x14ac:dyDescent="0.25">
      <c r="A4084" t="s">
        <v>4710</v>
      </c>
      <c r="B4084" s="9">
        <v>0</v>
      </c>
    </row>
    <row r="4085" spans="1:2" x14ac:dyDescent="0.25">
      <c r="A4085" t="s">
        <v>4711</v>
      </c>
      <c r="B4085" s="9">
        <v>0</v>
      </c>
    </row>
    <row r="4086" spans="1:2" x14ac:dyDescent="0.25">
      <c r="A4086" t="s">
        <v>4712</v>
      </c>
      <c r="B4086" s="9">
        <v>0</v>
      </c>
    </row>
    <row r="4087" spans="1:2" x14ac:dyDescent="0.25">
      <c r="A4087" t="s">
        <v>4713</v>
      </c>
      <c r="B4087" s="9">
        <v>0</v>
      </c>
    </row>
    <row r="4088" spans="1:2" x14ac:dyDescent="0.25">
      <c r="A4088" t="s">
        <v>4714</v>
      </c>
      <c r="B4088" s="9">
        <v>0</v>
      </c>
    </row>
    <row r="4089" spans="1:2" x14ac:dyDescent="0.25">
      <c r="A4089" t="s">
        <v>4715</v>
      </c>
      <c r="B4089" s="9">
        <v>0</v>
      </c>
    </row>
    <row r="4090" spans="1:2" x14ac:dyDescent="0.25">
      <c r="A4090" t="s">
        <v>4716</v>
      </c>
      <c r="B4090" s="9">
        <v>0</v>
      </c>
    </row>
    <row r="4091" spans="1:2" x14ac:dyDescent="0.25">
      <c r="A4091" t="s">
        <v>4717</v>
      </c>
      <c r="B4091" s="9">
        <v>0</v>
      </c>
    </row>
    <row r="4092" spans="1:2" x14ac:dyDescent="0.25">
      <c r="A4092" t="s">
        <v>4718</v>
      </c>
      <c r="B4092" s="9">
        <v>0</v>
      </c>
    </row>
    <row r="4093" spans="1:2" x14ac:dyDescent="0.25">
      <c r="A4093" t="s">
        <v>4719</v>
      </c>
      <c r="B4093" s="9">
        <v>0</v>
      </c>
    </row>
    <row r="4094" spans="1:2" x14ac:dyDescent="0.25">
      <c r="A4094" t="s">
        <v>4720</v>
      </c>
      <c r="B4094" s="9">
        <v>0</v>
      </c>
    </row>
    <row r="4095" spans="1:2" x14ac:dyDescent="0.25">
      <c r="A4095" t="s">
        <v>4721</v>
      </c>
      <c r="B4095" s="9">
        <v>0</v>
      </c>
    </row>
    <row r="4096" spans="1:2" x14ac:dyDescent="0.25">
      <c r="A4096" t="s">
        <v>4722</v>
      </c>
      <c r="B4096" s="9">
        <v>0</v>
      </c>
    </row>
    <row r="4097" spans="1:2" x14ac:dyDescent="0.25">
      <c r="A4097" t="s">
        <v>4723</v>
      </c>
      <c r="B4097" s="9">
        <v>0</v>
      </c>
    </row>
    <row r="4098" spans="1:2" x14ac:dyDescent="0.25">
      <c r="A4098" t="s">
        <v>4724</v>
      </c>
      <c r="B4098" s="9">
        <v>0</v>
      </c>
    </row>
    <row r="4099" spans="1:2" x14ac:dyDescent="0.25">
      <c r="A4099" t="s">
        <v>4725</v>
      </c>
      <c r="B4099" s="9">
        <v>0</v>
      </c>
    </row>
    <row r="4100" spans="1:2" x14ac:dyDescent="0.25">
      <c r="A4100" t="s">
        <v>4726</v>
      </c>
      <c r="B4100" s="9">
        <v>0</v>
      </c>
    </row>
    <row r="4101" spans="1:2" x14ac:dyDescent="0.25">
      <c r="A4101" t="s">
        <v>4727</v>
      </c>
      <c r="B4101" s="9">
        <v>0</v>
      </c>
    </row>
    <row r="4102" spans="1:2" x14ac:dyDescent="0.25">
      <c r="A4102" t="s">
        <v>4728</v>
      </c>
      <c r="B4102" s="9">
        <v>0</v>
      </c>
    </row>
    <row r="4103" spans="1:2" x14ac:dyDescent="0.25">
      <c r="A4103" t="s">
        <v>4729</v>
      </c>
      <c r="B4103" s="9">
        <v>0</v>
      </c>
    </row>
    <row r="4104" spans="1:2" x14ac:dyDescent="0.25">
      <c r="A4104" t="s">
        <v>4730</v>
      </c>
      <c r="B4104" s="9">
        <v>0</v>
      </c>
    </row>
    <row r="4105" spans="1:2" x14ac:dyDescent="0.25">
      <c r="A4105" t="s">
        <v>4731</v>
      </c>
      <c r="B4105" s="9">
        <v>0</v>
      </c>
    </row>
    <row r="4106" spans="1:2" x14ac:dyDescent="0.25">
      <c r="A4106" t="s">
        <v>4732</v>
      </c>
      <c r="B4106" s="9">
        <v>0</v>
      </c>
    </row>
    <row r="4107" spans="1:2" x14ac:dyDescent="0.25">
      <c r="A4107" t="s">
        <v>4733</v>
      </c>
      <c r="B4107" s="9">
        <v>0</v>
      </c>
    </row>
    <row r="4108" spans="1:2" x14ac:dyDescent="0.25">
      <c r="A4108" t="s">
        <v>4734</v>
      </c>
      <c r="B4108" s="9">
        <v>0</v>
      </c>
    </row>
    <row r="4109" spans="1:2" x14ac:dyDescent="0.25">
      <c r="A4109" t="s">
        <v>4735</v>
      </c>
      <c r="B4109" s="9">
        <v>0</v>
      </c>
    </row>
    <row r="4110" spans="1:2" x14ac:dyDescent="0.25">
      <c r="A4110" t="s">
        <v>4736</v>
      </c>
      <c r="B4110" s="9">
        <v>0</v>
      </c>
    </row>
    <row r="4111" spans="1:2" x14ac:dyDescent="0.25">
      <c r="A4111" t="s">
        <v>4737</v>
      </c>
      <c r="B4111" s="9">
        <v>0</v>
      </c>
    </row>
    <row r="4112" spans="1:2" x14ac:dyDescent="0.25">
      <c r="A4112" t="s">
        <v>4738</v>
      </c>
      <c r="B4112" s="9">
        <v>0</v>
      </c>
    </row>
    <row r="4113" spans="1:2" x14ac:dyDescent="0.25">
      <c r="A4113" t="s">
        <v>4739</v>
      </c>
      <c r="B4113" s="9">
        <v>0</v>
      </c>
    </row>
    <row r="4114" spans="1:2" x14ac:dyDescent="0.25">
      <c r="A4114" t="s">
        <v>4740</v>
      </c>
      <c r="B4114" s="9">
        <v>0</v>
      </c>
    </row>
    <row r="4115" spans="1:2" x14ac:dyDescent="0.25">
      <c r="A4115" t="s">
        <v>4741</v>
      </c>
      <c r="B4115" s="9">
        <v>0</v>
      </c>
    </row>
    <row r="4116" spans="1:2" x14ac:dyDescent="0.25">
      <c r="A4116" t="s">
        <v>4742</v>
      </c>
      <c r="B4116" s="9">
        <v>0</v>
      </c>
    </row>
    <row r="4117" spans="1:2" x14ac:dyDescent="0.25">
      <c r="A4117" t="s">
        <v>4743</v>
      </c>
      <c r="B4117" s="9">
        <v>0</v>
      </c>
    </row>
    <row r="4118" spans="1:2" x14ac:dyDescent="0.25">
      <c r="A4118" t="s">
        <v>4744</v>
      </c>
      <c r="B4118" s="9">
        <v>0</v>
      </c>
    </row>
    <row r="4119" spans="1:2" x14ac:dyDescent="0.25">
      <c r="A4119" t="s">
        <v>4745</v>
      </c>
      <c r="B4119" s="9">
        <v>0</v>
      </c>
    </row>
    <row r="4120" spans="1:2" x14ac:dyDescent="0.25">
      <c r="A4120" t="s">
        <v>4746</v>
      </c>
      <c r="B4120" s="9">
        <v>0</v>
      </c>
    </row>
    <row r="4121" spans="1:2" x14ac:dyDescent="0.25">
      <c r="A4121" t="s">
        <v>4747</v>
      </c>
      <c r="B4121" s="9">
        <v>0</v>
      </c>
    </row>
    <row r="4122" spans="1:2" x14ac:dyDescent="0.25">
      <c r="A4122" t="s">
        <v>4748</v>
      </c>
      <c r="B4122" s="9">
        <v>0</v>
      </c>
    </row>
    <row r="4123" spans="1:2" x14ac:dyDescent="0.25">
      <c r="A4123" t="s">
        <v>4749</v>
      </c>
      <c r="B4123" s="9">
        <v>0</v>
      </c>
    </row>
    <row r="4124" spans="1:2" x14ac:dyDescent="0.25">
      <c r="A4124" t="s">
        <v>4750</v>
      </c>
      <c r="B4124" s="9">
        <v>0</v>
      </c>
    </row>
    <row r="4125" spans="1:2" x14ac:dyDescent="0.25">
      <c r="A4125" t="s">
        <v>4751</v>
      </c>
      <c r="B4125" s="9">
        <v>0</v>
      </c>
    </row>
    <row r="4126" spans="1:2" x14ac:dyDescent="0.25">
      <c r="A4126" t="s">
        <v>4752</v>
      </c>
      <c r="B4126" s="9">
        <v>0</v>
      </c>
    </row>
    <row r="4127" spans="1:2" x14ac:dyDescent="0.25">
      <c r="A4127" t="s">
        <v>4753</v>
      </c>
      <c r="B4127" s="9">
        <v>0</v>
      </c>
    </row>
    <row r="4128" spans="1:2" x14ac:dyDescent="0.25">
      <c r="A4128" t="s">
        <v>4754</v>
      </c>
      <c r="B4128" s="9">
        <v>0</v>
      </c>
    </row>
    <row r="4129" spans="1:2" x14ac:dyDescent="0.25">
      <c r="A4129" t="s">
        <v>4755</v>
      </c>
      <c r="B4129" s="9">
        <v>0</v>
      </c>
    </row>
    <row r="4130" spans="1:2" x14ac:dyDescent="0.25">
      <c r="A4130" t="s">
        <v>4756</v>
      </c>
      <c r="B4130" s="9">
        <v>0</v>
      </c>
    </row>
    <row r="4131" spans="1:2" x14ac:dyDescent="0.25">
      <c r="A4131" t="s">
        <v>4757</v>
      </c>
      <c r="B4131" s="9">
        <v>0</v>
      </c>
    </row>
    <row r="4132" spans="1:2" x14ac:dyDescent="0.25">
      <c r="A4132" t="s">
        <v>4758</v>
      </c>
      <c r="B4132" s="9">
        <v>0</v>
      </c>
    </row>
    <row r="4133" spans="1:2" x14ac:dyDescent="0.25">
      <c r="A4133" t="s">
        <v>4759</v>
      </c>
      <c r="B4133" s="9">
        <v>0</v>
      </c>
    </row>
    <row r="4134" spans="1:2" x14ac:dyDescent="0.25">
      <c r="A4134" t="s">
        <v>4760</v>
      </c>
      <c r="B4134" s="9">
        <v>0</v>
      </c>
    </row>
    <row r="4135" spans="1:2" x14ac:dyDescent="0.25">
      <c r="A4135" t="s">
        <v>4761</v>
      </c>
      <c r="B4135" s="9">
        <v>0</v>
      </c>
    </row>
    <row r="4136" spans="1:2" x14ac:dyDescent="0.25">
      <c r="A4136" t="s">
        <v>4762</v>
      </c>
      <c r="B4136" s="9">
        <v>0</v>
      </c>
    </row>
    <row r="4137" spans="1:2" x14ac:dyDescent="0.25">
      <c r="A4137" t="s">
        <v>4763</v>
      </c>
      <c r="B4137" s="9">
        <v>0</v>
      </c>
    </row>
    <row r="4138" spans="1:2" x14ac:dyDescent="0.25">
      <c r="A4138" t="s">
        <v>4764</v>
      </c>
      <c r="B4138" s="9">
        <v>0</v>
      </c>
    </row>
    <row r="4139" spans="1:2" x14ac:dyDescent="0.25">
      <c r="A4139" t="s">
        <v>4765</v>
      </c>
      <c r="B4139" s="9">
        <v>0</v>
      </c>
    </row>
    <row r="4140" spans="1:2" x14ac:dyDescent="0.25">
      <c r="A4140" t="s">
        <v>4766</v>
      </c>
      <c r="B4140" s="9">
        <v>0</v>
      </c>
    </row>
    <row r="4141" spans="1:2" x14ac:dyDescent="0.25">
      <c r="A4141" t="s">
        <v>4767</v>
      </c>
      <c r="B4141" s="9">
        <v>0</v>
      </c>
    </row>
    <row r="4142" spans="1:2" x14ac:dyDescent="0.25">
      <c r="A4142" t="s">
        <v>4768</v>
      </c>
      <c r="B4142" s="9">
        <v>0</v>
      </c>
    </row>
    <row r="4143" spans="1:2" x14ac:dyDescent="0.25">
      <c r="A4143" t="s">
        <v>4769</v>
      </c>
      <c r="B4143" s="9">
        <v>0</v>
      </c>
    </row>
    <row r="4144" spans="1:2" x14ac:dyDescent="0.25">
      <c r="A4144" t="s">
        <v>4770</v>
      </c>
      <c r="B4144" s="9">
        <v>0</v>
      </c>
    </row>
    <row r="4145" spans="1:2" x14ac:dyDescent="0.25">
      <c r="A4145" t="s">
        <v>4771</v>
      </c>
      <c r="B4145" s="9">
        <v>0</v>
      </c>
    </row>
    <row r="4146" spans="1:2" x14ac:dyDescent="0.25">
      <c r="A4146" t="s">
        <v>4772</v>
      </c>
      <c r="B4146" s="9">
        <v>0</v>
      </c>
    </row>
    <row r="4147" spans="1:2" x14ac:dyDescent="0.25">
      <c r="A4147" t="s">
        <v>4773</v>
      </c>
      <c r="B4147" s="9">
        <v>0</v>
      </c>
    </row>
    <row r="4148" spans="1:2" x14ac:dyDescent="0.25">
      <c r="A4148" t="s">
        <v>4774</v>
      </c>
      <c r="B4148" s="9">
        <v>0</v>
      </c>
    </row>
    <row r="4149" spans="1:2" x14ac:dyDescent="0.25">
      <c r="A4149" t="s">
        <v>4775</v>
      </c>
      <c r="B4149" s="9">
        <v>0</v>
      </c>
    </row>
    <row r="4150" spans="1:2" x14ac:dyDescent="0.25">
      <c r="A4150" t="s">
        <v>4776</v>
      </c>
      <c r="B4150" s="9">
        <v>0</v>
      </c>
    </row>
    <row r="4151" spans="1:2" x14ac:dyDescent="0.25">
      <c r="A4151" t="s">
        <v>4777</v>
      </c>
      <c r="B4151" s="9">
        <v>0</v>
      </c>
    </row>
    <row r="4152" spans="1:2" x14ac:dyDescent="0.25">
      <c r="A4152" t="s">
        <v>4778</v>
      </c>
      <c r="B4152" s="9">
        <v>0</v>
      </c>
    </row>
    <row r="4153" spans="1:2" x14ac:dyDescent="0.25">
      <c r="A4153" t="s">
        <v>4779</v>
      </c>
      <c r="B4153" s="9">
        <v>0</v>
      </c>
    </row>
    <row r="4154" spans="1:2" x14ac:dyDescent="0.25">
      <c r="A4154" t="s">
        <v>4780</v>
      </c>
      <c r="B4154" s="9">
        <v>0</v>
      </c>
    </row>
    <row r="4155" spans="1:2" x14ac:dyDescent="0.25">
      <c r="A4155" t="s">
        <v>4781</v>
      </c>
      <c r="B4155" s="9">
        <v>0</v>
      </c>
    </row>
    <row r="4156" spans="1:2" x14ac:dyDescent="0.25">
      <c r="A4156" t="s">
        <v>4782</v>
      </c>
      <c r="B4156" s="9">
        <v>0</v>
      </c>
    </row>
    <row r="4157" spans="1:2" x14ac:dyDescent="0.25">
      <c r="A4157" t="s">
        <v>4783</v>
      </c>
      <c r="B4157" s="9">
        <v>0</v>
      </c>
    </row>
    <row r="4158" spans="1:2" x14ac:dyDescent="0.25">
      <c r="A4158" t="s">
        <v>4784</v>
      </c>
      <c r="B4158" s="9">
        <v>0</v>
      </c>
    </row>
    <row r="4159" spans="1:2" x14ac:dyDescent="0.25">
      <c r="A4159" t="s">
        <v>4785</v>
      </c>
      <c r="B4159" s="9">
        <v>0</v>
      </c>
    </row>
    <row r="4160" spans="1:2" x14ac:dyDescent="0.25">
      <c r="A4160" t="s">
        <v>4786</v>
      </c>
      <c r="B4160" s="9">
        <v>0</v>
      </c>
    </row>
    <row r="4161" spans="1:2" x14ac:dyDescent="0.25">
      <c r="A4161" t="s">
        <v>4787</v>
      </c>
      <c r="B4161" s="9">
        <v>0</v>
      </c>
    </row>
    <row r="4162" spans="1:2" x14ac:dyDescent="0.25">
      <c r="A4162" t="s">
        <v>4788</v>
      </c>
      <c r="B4162" s="9">
        <v>0</v>
      </c>
    </row>
    <row r="4163" spans="1:2" x14ac:dyDescent="0.25">
      <c r="A4163" t="s">
        <v>4789</v>
      </c>
      <c r="B4163" s="9">
        <v>0</v>
      </c>
    </row>
    <row r="4164" spans="1:2" x14ac:dyDescent="0.25">
      <c r="A4164" t="s">
        <v>4790</v>
      </c>
      <c r="B4164" s="9">
        <v>0</v>
      </c>
    </row>
    <row r="4165" spans="1:2" x14ac:dyDescent="0.25">
      <c r="A4165" t="s">
        <v>4791</v>
      </c>
      <c r="B4165" s="9">
        <v>0</v>
      </c>
    </row>
    <row r="4166" spans="1:2" x14ac:dyDescent="0.25">
      <c r="A4166" t="s">
        <v>4792</v>
      </c>
      <c r="B4166" s="9">
        <v>0</v>
      </c>
    </row>
    <row r="4167" spans="1:2" x14ac:dyDescent="0.25">
      <c r="A4167" t="s">
        <v>4793</v>
      </c>
      <c r="B4167" s="9">
        <v>0</v>
      </c>
    </row>
    <row r="4168" spans="1:2" x14ac:dyDescent="0.25">
      <c r="A4168" t="s">
        <v>4794</v>
      </c>
      <c r="B4168" s="9">
        <v>0</v>
      </c>
    </row>
    <row r="4169" spans="1:2" x14ac:dyDescent="0.25">
      <c r="A4169" t="s">
        <v>4795</v>
      </c>
      <c r="B4169" s="9">
        <v>0</v>
      </c>
    </row>
    <row r="4170" spans="1:2" x14ac:dyDescent="0.25">
      <c r="A4170" t="s">
        <v>4796</v>
      </c>
      <c r="B4170" s="9">
        <v>0</v>
      </c>
    </row>
    <row r="4171" spans="1:2" x14ac:dyDescent="0.25">
      <c r="A4171" t="s">
        <v>4797</v>
      </c>
      <c r="B4171" s="9">
        <v>0</v>
      </c>
    </row>
    <row r="4172" spans="1:2" x14ac:dyDescent="0.25">
      <c r="A4172" t="s">
        <v>4798</v>
      </c>
      <c r="B4172" s="9">
        <v>0</v>
      </c>
    </row>
    <row r="4173" spans="1:2" x14ac:dyDescent="0.25">
      <c r="A4173" t="s">
        <v>4799</v>
      </c>
      <c r="B4173" s="9">
        <v>0</v>
      </c>
    </row>
    <row r="4174" spans="1:2" x14ac:dyDescent="0.25">
      <c r="A4174" t="s">
        <v>4800</v>
      </c>
      <c r="B4174" s="9">
        <v>0</v>
      </c>
    </row>
    <row r="4175" spans="1:2" x14ac:dyDescent="0.25">
      <c r="A4175" t="s">
        <v>4801</v>
      </c>
      <c r="B4175" s="9">
        <v>0</v>
      </c>
    </row>
    <row r="4176" spans="1:2" x14ac:dyDescent="0.25">
      <c r="A4176" t="s">
        <v>4802</v>
      </c>
      <c r="B4176" s="9">
        <v>0</v>
      </c>
    </row>
    <row r="4177" spans="1:2" x14ac:dyDescent="0.25">
      <c r="A4177" t="s">
        <v>4803</v>
      </c>
      <c r="B4177" s="9">
        <v>0</v>
      </c>
    </row>
    <row r="4178" spans="1:2" x14ac:dyDescent="0.25">
      <c r="A4178" t="s">
        <v>4804</v>
      </c>
      <c r="B4178" s="9">
        <v>0</v>
      </c>
    </row>
    <row r="4179" spans="1:2" x14ac:dyDescent="0.25">
      <c r="A4179" t="s">
        <v>4805</v>
      </c>
      <c r="B4179" s="9">
        <v>0</v>
      </c>
    </row>
    <row r="4180" spans="1:2" x14ac:dyDescent="0.25">
      <c r="A4180" t="s">
        <v>4806</v>
      </c>
      <c r="B4180" s="9">
        <v>0</v>
      </c>
    </row>
    <row r="4181" spans="1:2" x14ac:dyDescent="0.25">
      <c r="A4181" t="s">
        <v>4807</v>
      </c>
      <c r="B4181" s="9">
        <v>0</v>
      </c>
    </row>
    <row r="4182" spans="1:2" x14ac:dyDescent="0.25">
      <c r="A4182" t="s">
        <v>4808</v>
      </c>
      <c r="B4182" s="9">
        <v>0</v>
      </c>
    </row>
    <row r="4183" spans="1:2" x14ac:dyDescent="0.25">
      <c r="A4183" t="s">
        <v>4809</v>
      </c>
      <c r="B4183" s="9">
        <v>0</v>
      </c>
    </row>
    <row r="4184" spans="1:2" x14ac:dyDescent="0.25">
      <c r="A4184" t="s">
        <v>4810</v>
      </c>
      <c r="B4184" s="9">
        <v>0</v>
      </c>
    </row>
    <row r="4185" spans="1:2" x14ac:dyDescent="0.25">
      <c r="A4185" t="s">
        <v>4811</v>
      </c>
      <c r="B4185" s="9">
        <v>0</v>
      </c>
    </row>
    <row r="4186" spans="1:2" x14ac:dyDescent="0.25">
      <c r="A4186" t="s">
        <v>4812</v>
      </c>
      <c r="B4186" s="9">
        <v>0.05</v>
      </c>
    </row>
    <row r="4187" spans="1:2" x14ac:dyDescent="0.25">
      <c r="A4187" t="s">
        <v>4813</v>
      </c>
      <c r="B4187" s="9">
        <v>0.05</v>
      </c>
    </row>
    <row r="4188" spans="1:2" x14ac:dyDescent="0.25">
      <c r="A4188" t="s">
        <v>4814</v>
      </c>
      <c r="B4188" s="9">
        <v>0.05</v>
      </c>
    </row>
    <row r="4189" spans="1:2" x14ac:dyDescent="0.25">
      <c r="A4189" t="s">
        <v>4815</v>
      </c>
      <c r="B4189" s="9">
        <v>0.05</v>
      </c>
    </row>
    <row r="4190" spans="1:2" x14ac:dyDescent="0.25">
      <c r="A4190" t="s">
        <v>4816</v>
      </c>
      <c r="B4190" s="9">
        <v>0.05</v>
      </c>
    </row>
    <row r="4191" spans="1:2" x14ac:dyDescent="0.25">
      <c r="A4191" t="s">
        <v>4817</v>
      </c>
      <c r="B4191" s="9">
        <v>0.05</v>
      </c>
    </row>
    <row r="4192" spans="1:2" x14ac:dyDescent="0.25">
      <c r="A4192" t="s">
        <v>4818</v>
      </c>
      <c r="B4192" s="9">
        <v>0.05</v>
      </c>
    </row>
    <row r="4193" spans="1:2" x14ac:dyDescent="0.25">
      <c r="A4193" t="s">
        <v>4819</v>
      </c>
      <c r="B4193" s="9">
        <v>0.05</v>
      </c>
    </row>
    <row r="4194" spans="1:2" x14ac:dyDescent="0.25">
      <c r="A4194" t="s">
        <v>4820</v>
      </c>
      <c r="B4194" s="9">
        <v>0.05</v>
      </c>
    </row>
    <row r="4195" spans="1:2" x14ac:dyDescent="0.25">
      <c r="A4195" t="s">
        <v>4821</v>
      </c>
      <c r="B4195" s="9">
        <v>0.05</v>
      </c>
    </row>
    <row r="4196" spans="1:2" x14ac:dyDescent="0.25">
      <c r="A4196" t="s">
        <v>4822</v>
      </c>
      <c r="B4196" s="9">
        <v>0.1</v>
      </c>
    </row>
    <row r="4197" spans="1:2" x14ac:dyDescent="0.25">
      <c r="A4197" t="s">
        <v>4823</v>
      </c>
      <c r="B4197" s="9">
        <v>0.1</v>
      </c>
    </row>
    <row r="4198" spans="1:2" x14ac:dyDescent="0.25">
      <c r="A4198" t="s">
        <v>4824</v>
      </c>
      <c r="B4198" s="9">
        <v>0</v>
      </c>
    </row>
    <row r="4199" spans="1:2" x14ac:dyDescent="0.25">
      <c r="A4199" t="s">
        <v>4825</v>
      </c>
      <c r="B4199" s="9">
        <v>0</v>
      </c>
    </row>
    <row r="4200" spans="1:2" x14ac:dyDescent="0.25">
      <c r="A4200" t="s">
        <v>4826</v>
      </c>
      <c r="B4200" s="9">
        <v>0</v>
      </c>
    </row>
    <row r="4201" spans="1:2" x14ac:dyDescent="0.25">
      <c r="A4201" t="s">
        <v>4827</v>
      </c>
      <c r="B4201" s="9">
        <v>0</v>
      </c>
    </row>
    <row r="4202" spans="1:2" x14ac:dyDescent="0.25">
      <c r="A4202" t="s">
        <v>4828</v>
      </c>
      <c r="B4202" s="9">
        <v>0</v>
      </c>
    </row>
    <row r="4203" spans="1:2" x14ac:dyDescent="0.25">
      <c r="A4203" t="s">
        <v>4829</v>
      </c>
      <c r="B4203" s="9">
        <v>0.1</v>
      </c>
    </row>
    <row r="4204" spans="1:2" x14ac:dyDescent="0.25">
      <c r="A4204" t="s">
        <v>4830</v>
      </c>
      <c r="B4204" s="9">
        <v>0.1</v>
      </c>
    </row>
    <row r="4205" spans="1:2" x14ac:dyDescent="0.25">
      <c r="A4205" t="s">
        <v>4831</v>
      </c>
      <c r="B4205" s="9">
        <v>0.1</v>
      </c>
    </row>
    <row r="4206" spans="1:2" x14ac:dyDescent="0.25">
      <c r="A4206" t="s">
        <v>4832</v>
      </c>
      <c r="B4206" s="9">
        <v>0.1</v>
      </c>
    </row>
    <row r="4207" spans="1:2" x14ac:dyDescent="0.25">
      <c r="A4207" t="s">
        <v>4833</v>
      </c>
      <c r="B4207" s="9">
        <v>0.1</v>
      </c>
    </row>
    <row r="4208" spans="1:2" x14ac:dyDescent="0.25">
      <c r="A4208" t="s">
        <v>4834</v>
      </c>
      <c r="B4208" s="9">
        <v>0.1</v>
      </c>
    </row>
    <row r="4209" spans="1:2" x14ac:dyDescent="0.25">
      <c r="A4209" t="s">
        <v>4835</v>
      </c>
      <c r="B4209" s="9">
        <v>0.1</v>
      </c>
    </row>
    <row r="4210" spans="1:2" x14ac:dyDescent="0.25">
      <c r="A4210" t="s">
        <v>4836</v>
      </c>
      <c r="B4210" s="9">
        <v>0.1</v>
      </c>
    </row>
    <row r="4211" spans="1:2" x14ac:dyDescent="0.25">
      <c r="A4211" t="s">
        <v>4837</v>
      </c>
      <c r="B4211" s="9">
        <v>0.1</v>
      </c>
    </row>
    <row r="4212" spans="1:2" x14ac:dyDescent="0.25">
      <c r="A4212" t="s">
        <v>4838</v>
      </c>
      <c r="B4212" s="9">
        <v>0.02</v>
      </c>
    </row>
    <row r="4213" spans="1:2" x14ac:dyDescent="0.25">
      <c r="A4213" t="s">
        <v>4839</v>
      </c>
      <c r="B4213" s="9">
        <v>0.02</v>
      </c>
    </row>
    <row r="4214" spans="1:2" x14ac:dyDescent="0.25">
      <c r="A4214" t="s">
        <v>4840</v>
      </c>
      <c r="B4214" s="9">
        <v>0</v>
      </c>
    </row>
    <row r="4215" spans="1:2" x14ac:dyDescent="0.25">
      <c r="A4215" t="s">
        <v>4841</v>
      </c>
      <c r="B4215" s="9">
        <v>0</v>
      </c>
    </row>
    <row r="4216" spans="1:2" x14ac:dyDescent="0.25">
      <c r="A4216" t="s">
        <v>4842</v>
      </c>
      <c r="B4216" s="9">
        <v>0</v>
      </c>
    </row>
    <row r="4217" spans="1:2" x14ac:dyDescent="0.25">
      <c r="A4217" t="s">
        <v>4843</v>
      </c>
      <c r="B4217" s="9">
        <v>0</v>
      </c>
    </row>
    <row r="4218" spans="1:2" x14ac:dyDescent="0.25">
      <c r="A4218" t="s">
        <v>4844</v>
      </c>
      <c r="B4218" s="9">
        <v>0.05</v>
      </c>
    </row>
    <row r="4219" spans="1:2" x14ac:dyDescent="0.25">
      <c r="A4219" t="s">
        <v>4845</v>
      </c>
      <c r="B4219" s="9">
        <v>0.05</v>
      </c>
    </row>
    <row r="4220" spans="1:2" x14ac:dyDescent="0.25">
      <c r="A4220" t="s">
        <v>4846</v>
      </c>
      <c r="B4220" s="9">
        <v>0.05</v>
      </c>
    </row>
    <row r="4221" spans="1:2" x14ac:dyDescent="0.25">
      <c r="A4221" t="s">
        <v>4847</v>
      </c>
      <c r="B4221" s="9">
        <v>0.05</v>
      </c>
    </row>
    <row r="4222" spans="1:2" x14ac:dyDescent="0.25">
      <c r="A4222" t="s">
        <v>4848</v>
      </c>
      <c r="B4222" s="9">
        <v>0.05</v>
      </c>
    </row>
    <row r="4223" spans="1:2" x14ac:dyDescent="0.25">
      <c r="A4223" t="s">
        <v>4849</v>
      </c>
      <c r="B4223" s="9">
        <v>0.05</v>
      </c>
    </row>
    <row r="4224" spans="1:2" x14ac:dyDescent="0.25">
      <c r="A4224" t="s">
        <v>4850</v>
      </c>
      <c r="B4224" s="9">
        <v>0.05</v>
      </c>
    </row>
    <row r="4225" spans="1:2" x14ac:dyDescent="0.25">
      <c r="A4225" t="s">
        <v>4851</v>
      </c>
      <c r="B4225" s="9">
        <v>0.05</v>
      </c>
    </row>
    <row r="4226" spans="1:2" x14ac:dyDescent="0.25">
      <c r="A4226" t="s">
        <v>4852</v>
      </c>
      <c r="B4226" s="9">
        <v>0.05</v>
      </c>
    </row>
    <row r="4227" spans="1:2" x14ac:dyDescent="0.25">
      <c r="A4227" t="s">
        <v>4853</v>
      </c>
      <c r="B4227" s="9">
        <v>0.05</v>
      </c>
    </row>
    <row r="4228" spans="1:2" x14ac:dyDescent="0.25">
      <c r="A4228" t="s">
        <v>4854</v>
      </c>
      <c r="B4228" s="9">
        <v>0.05</v>
      </c>
    </row>
    <row r="4229" spans="1:2" x14ac:dyDescent="0.25">
      <c r="A4229" t="s">
        <v>4855</v>
      </c>
      <c r="B4229" s="9">
        <v>0.05</v>
      </c>
    </row>
    <row r="4230" spans="1:2" x14ac:dyDescent="0.25">
      <c r="A4230" t="s">
        <v>4856</v>
      </c>
      <c r="B4230" s="9">
        <v>0.05</v>
      </c>
    </row>
    <row r="4231" spans="1:2" x14ac:dyDescent="0.25">
      <c r="A4231" t="s">
        <v>4857</v>
      </c>
      <c r="B4231" s="9">
        <v>0.05</v>
      </c>
    </row>
    <row r="4232" spans="1:2" x14ac:dyDescent="0.25">
      <c r="A4232" t="s">
        <v>4858</v>
      </c>
      <c r="B4232" s="9">
        <v>0.05</v>
      </c>
    </row>
    <row r="4233" spans="1:2" x14ac:dyDescent="0.25">
      <c r="A4233" t="s">
        <v>4859</v>
      </c>
      <c r="B4233" s="9">
        <v>0.05</v>
      </c>
    </row>
    <row r="4234" spans="1:2" x14ac:dyDescent="0.25">
      <c r="A4234" t="s">
        <v>4860</v>
      </c>
      <c r="B4234" s="9">
        <v>0.05</v>
      </c>
    </row>
    <row r="4235" spans="1:2" x14ac:dyDescent="0.25">
      <c r="A4235" t="s">
        <v>4861</v>
      </c>
      <c r="B4235" s="9">
        <v>0.05</v>
      </c>
    </row>
    <row r="4236" spans="1:2" x14ac:dyDescent="0.25">
      <c r="A4236" t="s">
        <v>4862</v>
      </c>
      <c r="B4236" s="9">
        <v>0.05</v>
      </c>
    </row>
    <row r="4237" spans="1:2" x14ac:dyDescent="0.25">
      <c r="A4237" t="s">
        <v>4863</v>
      </c>
      <c r="B4237" s="9">
        <v>0.05</v>
      </c>
    </row>
    <row r="4238" spans="1:2" x14ac:dyDescent="0.25">
      <c r="A4238" t="s">
        <v>4864</v>
      </c>
      <c r="B4238" s="9">
        <v>0.05</v>
      </c>
    </row>
    <row r="4239" spans="1:2" x14ac:dyDescent="0.25">
      <c r="A4239" t="s">
        <v>4865</v>
      </c>
      <c r="B4239" s="9">
        <v>0.05</v>
      </c>
    </row>
    <row r="4240" spans="1:2" x14ac:dyDescent="0.25">
      <c r="A4240" t="s">
        <v>4866</v>
      </c>
      <c r="B4240" s="9">
        <v>0.05</v>
      </c>
    </row>
    <row r="4241" spans="1:2" x14ac:dyDescent="0.25">
      <c r="A4241" t="s">
        <v>4867</v>
      </c>
      <c r="B4241" s="9">
        <v>0.05</v>
      </c>
    </row>
    <row r="4242" spans="1:2" x14ac:dyDescent="0.25">
      <c r="A4242" t="s">
        <v>4868</v>
      </c>
      <c r="B4242" s="9">
        <v>0.05</v>
      </c>
    </row>
    <row r="4243" spans="1:2" x14ac:dyDescent="0.25">
      <c r="A4243" t="s">
        <v>4869</v>
      </c>
      <c r="B4243" s="9">
        <v>0.05</v>
      </c>
    </row>
    <row r="4244" spans="1:2" x14ac:dyDescent="0.25">
      <c r="A4244" t="s">
        <v>4870</v>
      </c>
      <c r="B4244" s="9">
        <v>0.05</v>
      </c>
    </row>
    <row r="4245" spans="1:2" x14ac:dyDescent="0.25">
      <c r="A4245" t="s">
        <v>4871</v>
      </c>
      <c r="B4245" s="9">
        <v>0.05</v>
      </c>
    </row>
    <row r="4246" spans="1:2" x14ac:dyDescent="0.25">
      <c r="A4246" t="s">
        <v>4872</v>
      </c>
      <c r="B4246" s="9">
        <v>0.05</v>
      </c>
    </row>
    <row r="4247" spans="1:2" x14ac:dyDescent="0.25">
      <c r="A4247" t="s">
        <v>4873</v>
      </c>
      <c r="B4247" s="9">
        <v>0.05</v>
      </c>
    </row>
    <row r="4248" spans="1:2" x14ac:dyDescent="0.25">
      <c r="A4248" t="s">
        <v>4874</v>
      </c>
      <c r="B4248" s="9">
        <v>0.42</v>
      </c>
    </row>
    <row r="4249" spans="1:2" x14ac:dyDescent="0.25">
      <c r="A4249" t="s">
        <v>4875</v>
      </c>
      <c r="B4249" s="9">
        <v>0.12</v>
      </c>
    </row>
    <row r="4250" spans="1:2" x14ac:dyDescent="0.25">
      <c r="A4250" t="s">
        <v>4876</v>
      </c>
      <c r="B4250" s="9">
        <v>0.22</v>
      </c>
    </row>
    <row r="4251" spans="1:2" x14ac:dyDescent="0.25">
      <c r="A4251" t="s">
        <v>4877</v>
      </c>
      <c r="B4251" s="9">
        <v>0.22</v>
      </c>
    </row>
    <row r="4252" spans="1:2" x14ac:dyDescent="0.25">
      <c r="A4252" t="s">
        <v>4878</v>
      </c>
      <c r="B4252" s="9">
        <v>0.22</v>
      </c>
    </row>
    <row r="4253" spans="1:2" x14ac:dyDescent="0.25">
      <c r="A4253" t="s">
        <v>4879</v>
      </c>
      <c r="B4253" s="9">
        <v>0.22</v>
      </c>
    </row>
    <row r="4254" spans="1:2" x14ac:dyDescent="0.25">
      <c r="A4254" t="s">
        <v>4880</v>
      </c>
      <c r="B4254" s="9">
        <v>0.22</v>
      </c>
    </row>
    <row r="4255" spans="1:2" x14ac:dyDescent="0.25">
      <c r="A4255" t="s">
        <v>4881</v>
      </c>
      <c r="B4255" s="9">
        <v>0.12</v>
      </c>
    </row>
    <row r="4256" spans="1:2" x14ac:dyDescent="0.25">
      <c r="A4256" t="s">
        <v>4882</v>
      </c>
      <c r="B4256" s="9">
        <v>0.22</v>
      </c>
    </row>
    <row r="4257" spans="1:3" x14ac:dyDescent="0.25">
      <c r="A4257" t="s">
        <v>0</v>
      </c>
      <c r="B4257" s="9">
        <v>0.22</v>
      </c>
      <c r="C4257" t="s">
        <v>0</v>
      </c>
    </row>
    <row r="4258" spans="1:3" x14ac:dyDescent="0.25">
      <c r="A4258" t="s">
        <v>4883</v>
      </c>
      <c r="B4258" s="9">
        <v>0.12</v>
      </c>
    </row>
    <row r="4259" spans="1:3" x14ac:dyDescent="0.25">
      <c r="A4259" t="s">
        <v>4884</v>
      </c>
      <c r="B4259" s="9">
        <v>0</v>
      </c>
    </row>
    <row r="4260" spans="1:3" x14ac:dyDescent="0.25">
      <c r="A4260" t="s">
        <v>4885</v>
      </c>
      <c r="B4260" s="9">
        <v>7.0000000000000007E-2</v>
      </c>
    </row>
    <row r="4261" spans="1:3" x14ac:dyDescent="0.25">
      <c r="A4261" t="s">
        <v>4886</v>
      </c>
      <c r="B4261" s="9">
        <v>0.22</v>
      </c>
    </row>
    <row r="4262" spans="1:3" x14ac:dyDescent="0.25">
      <c r="A4262" t="s">
        <v>4887</v>
      </c>
      <c r="B4262" s="9">
        <v>0.22</v>
      </c>
    </row>
    <row r="4263" spans="1:3" x14ac:dyDescent="0.25">
      <c r="A4263" t="s">
        <v>4888</v>
      </c>
      <c r="B4263" s="9">
        <v>0.22</v>
      </c>
    </row>
    <row r="4264" spans="1:3" x14ac:dyDescent="0.25">
      <c r="A4264" t="s">
        <v>4889</v>
      </c>
      <c r="B4264" s="9">
        <v>7.0000000000000007E-2</v>
      </c>
    </row>
    <row r="4265" spans="1:3" x14ac:dyDescent="0.25">
      <c r="A4265" t="s">
        <v>4890</v>
      </c>
      <c r="B4265" s="9">
        <v>0</v>
      </c>
    </row>
    <row r="4266" spans="1:3" x14ac:dyDescent="0.25">
      <c r="A4266" t="s">
        <v>4891</v>
      </c>
      <c r="B4266" s="9">
        <v>0</v>
      </c>
    </row>
    <row r="4267" spans="1:3" x14ac:dyDescent="0.25">
      <c r="A4267" t="s">
        <v>4892</v>
      </c>
      <c r="B4267" s="9">
        <v>0</v>
      </c>
    </row>
    <row r="4268" spans="1:3" x14ac:dyDescent="0.25">
      <c r="A4268" t="s">
        <v>4893</v>
      </c>
      <c r="B4268" s="9">
        <v>0.22</v>
      </c>
    </row>
    <row r="4269" spans="1:3" x14ac:dyDescent="0.25">
      <c r="A4269" t="s">
        <v>4894</v>
      </c>
      <c r="B4269" s="9">
        <v>7.0000000000000007E-2</v>
      </c>
    </row>
    <row r="4270" spans="1:3" x14ac:dyDescent="0.25">
      <c r="A4270" t="s">
        <v>4895</v>
      </c>
      <c r="B4270" s="9">
        <v>7.0000000000000007E-2</v>
      </c>
    </row>
    <row r="4271" spans="1:3" x14ac:dyDescent="0.25">
      <c r="A4271" t="s">
        <v>4896</v>
      </c>
      <c r="B4271" s="9">
        <v>0.22</v>
      </c>
    </row>
    <row r="4272" spans="1:3" x14ac:dyDescent="0.25">
      <c r="A4272" t="s">
        <v>4897</v>
      </c>
      <c r="B4272" s="9">
        <v>0.22</v>
      </c>
    </row>
    <row r="4273" spans="1:2" x14ac:dyDescent="0.25">
      <c r="A4273" t="s">
        <v>4898</v>
      </c>
      <c r="B4273" s="9">
        <v>0.22</v>
      </c>
    </row>
    <row r="4274" spans="1:2" x14ac:dyDescent="0.25">
      <c r="A4274" t="s">
        <v>4899</v>
      </c>
      <c r="B4274" s="9">
        <v>0.22</v>
      </c>
    </row>
    <row r="4275" spans="1:2" x14ac:dyDescent="0.25">
      <c r="A4275" t="s">
        <v>4900</v>
      </c>
      <c r="B4275" s="9">
        <v>0.12</v>
      </c>
    </row>
    <row r="4276" spans="1:2" x14ac:dyDescent="0.25">
      <c r="A4276" t="s">
        <v>4901</v>
      </c>
      <c r="B4276" s="9">
        <v>0.05</v>
      </c>
    </row>
    <row r="4277" spans="1:2" x14ac:dyDescent="0.25">
      <c r="A4277" t="s">
        <v>4902</v>
      </c>
      <c r="B4277" s="9">
        <v>0.05</v>
      </c>
    </row>
    <row r="4278" spans="1:2" x14ac:dyDescent="0.25">
      <c r="A4278" t="s">
        <v>4903</v>
      </c>
      <c r="B4278" s="9">
        <v>0</v>
      </c>
    </row>
    <row r="4279" spans="1:2" x14ac:dyDescent="0.25">
      <c r="A4279" t="s">
        <v>4904</v>
      </c>
      <c r="B4279" s="9">
        <v>0.05</v>
      </c>
    </row>
    <row r="4280" spans="1:2" x14ac:dyDescent="0.25">
      <c r="A4280" t="s">
        <v>4905</v>
      </c>
      <c r="B4280" s="9">
        <v>0.1</v>
      </c>
    </row>
    <row r="4281" spans="1:2" x14ac:dyDescent="0.25">
      <c r="A4281" t="s">
        <v>4906</v>
      </c>
      <c r="B4281" s="9">
        <v>0.1</v>
      </c>
    </row>
    <row r="4282" spans="1:2" x14ac:dyDescent="0.25">
      <c r="A4282" t="s">
        <v>4907</v>
      </c>
      <c r="B4282" s="9">
        <v>0</v>
      </c>
    </row>
    <row r="4283" spans="1:2" x14ac:dyDescent="0.25">
      <c r="A4283" t="s">
        <v>4908</v>
      </c>
      <c r="B4283" s="9">
        <v>0.05</v>
      </c>
    </row>
    <row r="4284" spans="1:2" x14ac:dyDescent="0.25">
      <c r="A4284" t="s">
        <v>4909</v>
      </c>
      <c r="B4284" s="9">
        <v>0.05</v>
      </c>
    </row>
    <row r="4285" spans="1:2" x14ac:dyDescent="0.25">
      <c r="A4285" t="s">
        <v>4910</v>
      </c>
      <c r="B4285" s="9">
        <v>0.1</v>
      </c>
    </row>
    <row r="4286" spans="1:2" x14ac:dyDescent="0.25">
      <c r="A4286" t="s">
        <v>4911</v>
      </c>
      <c r="B4286" s="9">
        <v>0.05</v>
      </c>
    </row>
    <row r="4287" spans="1:2" x14ac:dyDescent="0.25">
      <c r="A4287" t="s">
        <v>4912</v>
      </c>
      <c r="B4287" s="9">
        <v>0.05</v>
      </c>
    </row>
    <row r="4288" spans="1:2" x14ac:dyDescent="0.25">
      <c r="A4288" t="s">
        <v>4913</v>
      </c>
      <c r="B4288" s="9">
        <v>0.05</v>
      </c>
    </row>
    <row r="4289" spans="1:2" x14ac:dyDescent="0.25">
      <c r="A4289" t="s">
        <v>4914</v>
      </c>
      <c r="B4289" s="9">
        <v>0.05</v>
      </c>
    </row>
    <row r="4290" spans="1:2" x14ac:dyDescent="0.25">
      <c r="A4290" t="s">
        <v>4915</v>
      </c>
      <c r="B4290" s="9">
        <v>0.05</v>
      </c>
    </row>
    <row r="4291" spans="1:2" x14ac:dyDescent="0.25">
      <c r="A4291" t="s">
        <v>4916</v>
      </c>
      <c r="B4291" s="9">
        <v>0.05</v>
      </c>
    </row>
    <row r="4292" spans="1:2" x14ac:dyDescent="0.25">
      <c r="A4292" t="s">
        <v>4917</v>
      </c>
      <c r="B4292" s="9">
        <v>0.05</v>
      </c>
    </row>
    <row r="4293" spans="1:2" x14ac:dyDescent="0.25">
      <c r="A4293" t="s">
        <v>4918</v>
      </c>
      <c r="B4293" s="9">
        <v>0.05</v>
      </c>
    </row>
    <row r="4294" spans="1:2" x14ac:dyDescent="0.25">
      <c r="A4294" t="s">
        <v>4919</v>
      </c>
      <c r="B4294" s="9">
        <v>0.05</v>
      </c>
    </row>
    <row r="4295" spans="1:2" x14ac:dyDescent="0.25">
      <c r="A4295" t="s">
        <v>4920</v>
      </c>
      <c r="B4295" s="9">
        <v>0.05</v>
      </c>
    </row>
    <row r="4296" spans="1:2" x14ac:dyDescent="0.25">
      <c r="A4296" t="s">
        <v>4921</v>
      </c>
      <c r="B4296" s="9">
        <v>0.05</v>
      </c>
    </row>
    <row r="4297" spans="1:2" x14ac:dyDescent="0.25">
      <c r="A4297" t="s">
        <v>4922</v>
      </c>
      <c r="B4297" s="9">
        <v>0.05</v>
      </c>
    </row>
    <row r="4298" spans="1:2" x14ac:dyDescent="0.25">
      <c r="A4298" t="s">
        <v>4923</v>
      </c>
      <c r="B4298" s="9">
        <v>0.05</v>
      </c>
    </row>
    <row r="4299" spans="1:2" x14ac:dyDescent="0.25">
      <c r="A4299" t="s">
        <v>4924</v>
      </c>
      <c r="B4299" s="9">
        <v>0.05</v>
      </c>
    </row>
    <row r="4300" spans="1:2" x14ac:dyDescent="0.25">
      <c r="A4300" t="s">
        <v>4925</v>
      </c>
      <c r="B4300" s="9">
        <v>0.05</v>
      </c>
    </row>
    <row r="4301" spans="1:2" x14ac:dyDescent="0.25">
      <c r="A4301" t="s">
        <v>4926</v>
      </c>
      <c r="B4301" s="9">
        <v>0.05</v>
      </c>
    </row>
    <row r="4302" spans="1:2" x14ac:dyDescent="0.25">
      <c r="A4302" t="s">
        <v>4927</v>
      </c>
      <c r="B4302" s="9">
        <v>0.05</v>
      </c>
    </row>
    <row r="4303" spans="1:2" x14ac:dyDescent="0.25">
      <c r="A4303" t="s">
        <v>4928</v>
      </c>
      <c r="B4303" s="9">
        <v>0.05</v>
      </c>
    </row>
    <row r="4304" spans="1:2" x14ac:dyDescent="0.25">
      <c r="A4304" t="s">
        <v>4929</v>
      </c>
      <c r="B4304" s="9">
        <v>0.05</v>
      </c>
    </row>
    <row r="4305" spans="1:2" x14ac:dyDescent="0.25">
      <c r="A4305" t="s">
        <v>4930</v>
      </c>
      <c r="B4305" s="9">
        <v>0.15</v>
      </c>
    </row>
    <row r="4306" spans="1:2" x14ac:dyDescent="0.25">
      <c r="A4306" t="s">
        <v>4931</v>
      </c>
      <c r="B4306" s="9">
        <v>0.15</v>
      </c>
    </row>
    <row r="4307" spans="1:2" x14ac:dyDescent="0.25">
      <c r="A4307" t="s">
        <v>4932</v>
      </c>
      <c r="B4307" s="9">
        <v>0.15</v>
      </c>
    </row>
    <row r="4308" spans="1:2" x14ac:dyDescent="0.25">
      <c r="A4308" t="s">
        <v>4933</v>
      </c>
      <c r="B4308" s="9">
        <v>0.15</v>
      </c>
    </row>
    <row r="4309" spans="1:2" x14ac:dyDescent="0.25">
      <c r="A4309" t="s">
        <v>4934</v>
      </c>
      <c r="B4309" s="9">
        <v>0.15</v>
      </c>
    </row>
    <row r="4310" spans="1:2" x14ac:dyDescent="0.25">
      <c r="A4310" t="s">
        <v>4935</v>
      </c>
      <c r="B4310" s="9">
        <v>0.15</v>
      </c>
    </row>
    <row r="4311" spans="1:2" x14ac:dyDescent="0.25">
      <c r="A4311" t="s">
        <v>4936</v>
      </c>
      <c r="B4311" s="9">
        <v>0.15</v>
      </c>
    </row>
    <row r="4312" spans="1:2" x14ac:dyDescent="0.25">
      <c r="A4312" t="s">
        <v>4937</v>
      </c>
      <c r="B4312" s="9">
        <v>0.15</v>
      </c>
    </row>
    <row r="4313" spans="1:2" x14ac:dyDescent="0.25">
      <c r="A4313" t="s">
        <v>4938</v>
      </c>
      <c r="B4313" s="9">
        <v>0.15</v>
      </c>
    </row>
    <row r="4314" spans="1:2" x14ac:dyDescent="0.25">
      <c r="A4314" t="s">
        <v>4939</v>
      </c>
      <c r="B4314" s="9">
        <v>0.15</v>
      </c>
    </row>
    <row r="4315" spans="1:2" x14ac:dyDescent="0.25">
      <c r="A4315" t="s">
        <v>4940</v>
      </c>
      <c r="B4315" s="9">
        <v>0.15</v>
      </c>
    </row>
    <row r="4316" spans="1:2" x14ac:dyDescent="0.25">
      <c r="A4316" t="s">
        <v>4941</v>
      </c>
      <c r="B4316" s="9">
        <v>0.15</v>
      </c>
    </row>
    <row r="4317" spans="1:2" x14ac:dyDescent="0.25">
      <c r="A4317" t="s">
        <v>4942</v>
      </c>
      <c r="B4317" s="9">
        <v>0.15</v>
      </c>
    </row>
    <row r="4318" spans="1:2" x14ac:dyDescent="0.25">
      <c r="A4318" t="s">
        <v>4943</v>
      </c>
      <c r="B4318" s="9">
        <v>0.15</v>
      </c>
    </row>
    <row r="4319" spans="1:2" x14ac:dyDescent="0.25">
      <c r="A4319" t="s">
        <v>4944</v>
      </c>
      <c r="B4319" s="9">
        <v>0.15</v>
      </c>
    </row>
    <row r="4320" spans="1:2" x14ac:dyDescent="0.25">
      <c r="A4320" t="s">
        <v>4945</v>
      </c>
      <c r="B4320" s="9">
        <v>0.15</v>
      </c>
    </row>
    <row r="4321" spans="1:2" x14ac:dyDescent="0.25">
      <c r="A4321" t="s">
        <v>4946</v>
      </c>
      <c r="B4321" s="9">
        <v>0.15</v>
      </c>
    </row>
    <row r="4322" spans="1:2" x14ac:dyDescent="0.25">
      <c r="A4322" t="s">
        <v>4947</v>
      </c>
      <c r="B4322" s="9">
        <v>0.15</v>
      </c>
    </row>
    <row r="4323" spans="1:2" x14ac:dyDescent="0.25">
      <c r="A4323" t="s">
        <v>4948</v>
      </c>
      <c r="B4323" s="9">
        <v>0.1</v>
      </c>
    </row>
    <row r="4324" spans="1:2" x14ac:dyDescent="0.25">
      <c r="A4324" t="s">
        <v>4949</v>
      </c>
      <c r="B4324" s="9">
        <v>0.1</v>
      </c>
    </row>
    <row r="4325" spans="1:2" x14ac:dyDescent="0.25">
      <c r="A4325" t="s">
        <v>4950</v>
      </c>
      <c r="B4325" s="9">
        <v>0.1</v>
      </c>
    </row>
    <row r="4326" spans="1:2" x14ac:dyDescent="0.25">
      <c r="A4326" t="s">
        <v>4951</v>
      </c>
      <c r="B4326" s="9">
        <v>0.1</v>
      </c>
    </row>
    <row r="4327" spans="1:2" x14ac:dyDescent="0.25">
      <c r="A4327" t="s">
        <v>4952</v>
      </c>
      <c r="B4327" s="9">
        <v>0.1</v>
      </c>
    </row>
    <row r="4328" spans="1:2" x14ac:dyDescent="0.25">
      <c r="A4328" t="s">
        <v>4953</v>
      </c>
      <c r="B4328" s="9">
        <v>0</v>
      </c>
    </row>
    <row r="4329" spans="1:2" x14ac:dyDescent="0.25">
      <c r="A4329" t="s">
        <v>4954</v>
      </c>
      <c r="B4329" s="9">
        <v>0.1</v>
      </c>
    </row>
    <row r="4330" spans="1:2" x14ac:dyDescent="0.25">
      <c r="A4330" t="s">
        <v>4955</v>
      </c>
      <c r="B4330" s="9">
        <v>0.1</v>
      </c>
    </row>
    <row r="4331" spans="1:2" x14ac:dyDescent="0.25">
      <c r="A4331" t="s">
        <v>4956</v>
      </c>
      <c r="B4331" s="9">
        <v>0.1</v>
      </c>
    </row>
    <row r="4332" spans="1:2" x14ac:dyDescent="0.25">
      <c r="A4332" t="s">
        <v>4957</v>
      </c>
      <c r="B4332" s="9">
        <v>0</v>
      </c>
    </row>
    <row r="4333" spans="1:2" x14ac:dyDescent="0.25">
      <c r="A4333" t="s">
        <v>4958</v>
      </c>
      <c r="B4333" s="9">
        <v>0</v>
      </c>
    </row>
    <row r="4334" spans="1:2" x14ac:dyDescent="0.25">
      <c r="A4334" t="s">
        <v>4959</v>
      </c>
      <c r="B4334" s="9">
        <v>0</v>
      </c>
    </row>
    <row r="4335" spans="1:2" x14ac:dyDescent="0.25">
      <c r="A4335" t="s">
        <v>4960</v>
      </c>
      <c r="B4335" s="9">
        <v>0</v>
      </c>
    </row>
    <row r="4336" spans="1:2" x14ac:dyDescent="0.25">
      <c r="A4336" t="s">
        <v>4961</v>
      </c>
      <c r="B4336" s="9">
        <v>0</v>
      </c>
    </row>
    <row r="4337" spans="1:2" x14ac:dyDescent="0.25">
      <c r="A4337" t="s">
        <v>4962</v>
      </c>
      <c r="B4337" s="9">
        <v>0</v>
      </c>
    </row>
    <row r="4338" spans="1:2" x14ac:dyDescent="0.25">
      <c r="A4338" t="s">
        <v>4963</v>
      </c>
      <c r="B4338" s="9">
        <v>0</v>
      </c>
    </row>
    <row r="4339" spans="1:2" x14ac:dyDescent="0.25">
      <c r="A4339" t="s">
        <v>4964</v>
      </c>
      <c r="B4339" s="9">
        <v>0</v>
      </c>
    </row>
    <row r="4340" spans="1:2" x14ac:dyDescent="0.25">
      <c r="A4340" t="s">
        <v>4965</v>
      </c>
      <c r="B4340" s="9">
        <v>0</v>
      </c>
    </row>
    <row r="4341" spans="1:2" x14ac:dyDescent="0.25">
      <c r="A4341" t="s">
        <v>4966</v>
      </c>
      <c r="B4341" s="9">
        <v>0</v>
      </c>
    </row>
    <row r="4342" spans="1:2" x14ac:dyDescent="0.25">
      <c r="A4342" t="s">
        <v>4967</v>
      </c>
      <c r="B4342" s="9">
        <v>0</v>
      </c>
    </row>
    <row r="4343" spans="1:2" x14ac:dyDescent="0.25">
      <c r="A4343" t="s">
        <v>4968</v>
      </c>
      <c r="B4343" s="9">
        <v>0</v>
      </c>
    </row>
    <row r="4344" spans="1:2" x14ac:dyDescent="0.25">
      <c r="A4344" t="s">
        <v>4969</v>
      </c>
      <c r="B4344" s="9">
        <v>0</v>
      </c>
    </row>
    <row r="4345" spans="1:2" x14ac:dyDescent="0.25">
      <c r="A4345" t="s">
        <v>4970</v>
      </c>
      <c r="B4345" s="9">
        <v>0</v>
      </c>
    </row>
    <row r="4346" spans="1:2" x14ac:dyDescent="0.25">
      <c r="A4346" t="s">
        <v>4971</v>
      </c>
      <c r="B4346" s="9">
        <v>0</v>
      </c>
    </row>
    <row r="4347" spans="1:2" x14ac:dyDescent="0.25">
      <c r="A4347" t="s">
        <v>4972</v>
      </c>
      <c r="B4347" s="9">
        <v>0</v>
      </c>
    </row>
    <row r="4348" spans="1:2" x14ac:dyDescent="0.25">
      <c r="A4348" t="s">
        <v>4973</v>
      </c>
      <c r="B4348" s="9">
        <v>0</v>
      </c>
    </row>
    <row r="4349" spans="1:2" x14ac:dyDescent="0.25">
      <c r="A4349" t="s">
        <v>4974</v>
      </c>
      <c r="B4349" s="9">
        <v>0</v>
      </c>
    </row>
    <row r="4350" spans="1:2" x14ac:dyDescent="0.25">
      <c r="A4350" t="s">
        <v>4975</v>
      </c>
      <c r="B4350" s="9">
        <v>0</v>
      </c>
    </row>
    <row r="4351" spans="1:2" x14ac:dyDescent="0.25">
      <c r="A4351" t="s">
        <v>4976</v>
      </c>
      <c r="B4351" s="9">
        <v>0</v>
      </c>
    </row>
    <row r="4352" spans="1:2" x14ac:dyDescent="0.25">
      <c r="A4352" t="s">
        <v>4977</v>
      </c>
      <c r="B4352" s="9">
        <v>0</v>
      </c>
    </row>
    <row r="4353" spans="1:2" x14ac:dyDescent="0.25">
      <c r="A4353" t="s">
        <v>4978</v>
      </c>
      <c r="B4353" s="9">
        <v>0</v>
      </c>
    </row>
    <row r="4354" spans="1:2" x14ac:dyDescent="0.25">
      <c r="A4354" t="s">
        <v>4979</v>
      </c>
      <c r="B4354" s="9">
        <v>0</v>
      </c>
    </row>
    <row r="4355" spans="1:2" x14ac:dyDescent="0.25">
      <c r="A4355" t="s">
        <v>4980</v>
      </c>
      <c r="B4355" s="9">
        <v>0</v>
      </c>
    </row>
    <row r="4356" spans="1:2" x14ac:dyDescent="0.25">
      <c r="A4356" t="s">
        <v>4981</v>
      </c>
      <c r="B4356" s="9">
        <v>0</v>
      </c>
    </row>
    <row r="4357" spans="1:2" x14ac:dyDescent="0.25">
      <c r="A4357" t="s">
        <v>4982</v>
      </c>
      <c r="B4357" s="9">
        <v>0</v>
      </c>
    </row>
    <row r="4358" spans="1:2" x14ac:dyDescent="0.25">
      <c r="A4358" t="s">
        <v>4983</v>
      </c>
      <c r="B4358" s="9">
        <v>0</v>
      </c>
    </row>
    <row r="4359" spans="1:2" x14ac:dyDescent="0.25">
      <c r="A4359" t="s">
        <v>4984</v>
      </c>
      <c r="B4359" s="9">
        <v>0</v>
      </c>
    </row>
    <row r="4360" spans="1:2" x14ac:dyDescent="0.25">
      <c r="A4360" t="s">
        <v>4985</v>
      </c>
      <c r="B4360" s="9">
        <v>0</v>
      </c>
    </row>
    <row r="4361" spans="1:2" x14ac:dyDescent="0.25">
      <c r="A4361" t="s">
        <v>4986</v>
      </c>
      <c r="B4361" s="9">
        <v>0</v>
      </c>
    </row>
    <row r="4362" spans="1:2" x14ac:dyDescent="0.25">
      <c r="A4362" t="s">
        <v>4987</v>
      </c>
      <c r="B4362" s="9">
        <v>0</v>
      </c>
    </row>
    <row r="4363" spans="1:2" x14ac:dyDescent="0.25">
      <c r="A4363" t="s">
        <v>4988</v>
      </c>
      <c r="B4363" s="9">
        <v>0</v>
      </c>
    </row>
    <row r="4364" spans="1:2" x14ac:dyDescent="0.25">
      <c r="A4364" t="s">
        <v>4989</v>
      </c>
      <c r="B4364" s="9">
        <v>0</v>
      </c>
    </row>
    <row r="4365" spans="1:2" x14ac:dyDescent="0.25">
      <c r="A4365" t="s">
        <v>4990</v>
      </c>
      <c r="B4365" s="9">
        <v>0</v>
      </c>
    </row>
    <row r="4366" spans="1:2" x14ac:dyDescent="0.25">
      <c r="A4366" t="s">
        <v>4991</v>
      </c>
      <c r="B4366" s="9">
        <v>0</v>
      </c>
    </row>
    <row r="4367" spans="1:2" x14ac:dyDescent="0.25">
      <c r="A4367" t="s">
        <v>4992</v>
      </c>
      <c r="B4367" s="9">
        <v>0</v>
      </c>
    </row>
    <row r="4368" spans="1:2" x14ac:dyDescent="0.25">
      <c r="A4368" t="s">
        <v>4993</v>
      </c>
      <c r="B4368" s="9">
        <v>0</v>
      </c>
    </row>
    <row r="4369" spans="1:2" x14ac:dyDescent="0.25">
      <c r="A4369" t="s">
        <v>4994</v>
      </c>
      <c r="B4369" s="9">
        <v>0</v>
      </c>
    </row>
    <row r="4370" spans="1:2" x14ac:dyDescent="0.25">
      <c r="A4370" t="s">
        <v>4995</v>
      </c>
      <c r="B4370" s="9">
        <v>0</v>
      </c>
    </row>
    <row r="4371" spans="1:2" x14ac:dyDescent="0.25">
      <c r="A4371" t="s">
        <v>4996</v>
      </c>
      <c r="B4371" s="9">
        <v>0</v>
      </c>
    </row>
    <row r="4372" spans="1:2" x14ac:dyDescent="0.25">
      <c r="A4372" t="s">
        <v>4997</v>
      </c>
      <c r="B4372" s="9">
        <v>0</v>
      </c>
    </row>
    <row r="4373" spans="1:2" x14ac:dyDescent="0.25">
      <c r="A4373" t="s">
        <v>4998</v>
      </c>
      <c r="B4373" s="9">
        <v>0</v>
      </c>
    </row>
    <row r="4374" spans="1:2" x14ac:dyDescent="0.25">
      <c r="A4374" t="s">
        <v>4999</v>
      </c>
      <c r="B4374" s="9">
        <v>0.25</v>
      </c>
    </row>
    <row r="4375" spans="1:2" x14ac:dyDescent="0.25">
      <c r="A4375" t="s">
        <v>5000</v>
      </c>
      <c r="B4375" s="9">
        <v>0.2</v>
      </c>
    </row>
    <row r="4376" spans="1:2" x14ac:dyDescent="0.25">
      <c r="A4376" t="s">
        <v>5001</v>
      </c>
      <c r="B4376" s="9">
        <v>0.05</v>
      </c>
    </row>
    <row r="4377" spans="1:2" x14ac:dyDescent="0.25">
      <c r="A4377" t="s">
        <v>5002</v>
      </c>
      <c r="B4377" s="9">
        <v>0.2</v>
      </c>
    </row>
    <row r="4378" spans="1:2" x14ac:dyDescent="0.25">
      <c r="A4378" t="s">
        <v>5003</v>
      </c>
      <c r="B4378" s="9">
        <v>0.2</v>
      </c>
    </row>
    <row r="4379" spans="1:2" x14ac:dyDescent="0.25">
      <c r="A4379" t="s">
        <v>5004</v>
      </c>
      <c r="B4379" s="9">
        <v>0.2</v>
      </c>
    </row>
    <row r="4380" spans="1:2" x14ac:dyDescent="0.25">
      <c r="A4380" t="s">
        <v>5005</v>
      </c>
      <c r="B4380" s="9">
        <v>0.2</v>
      </c>
    </row>
    <row r="4381" spans="1:2" x14ac:dyDescent="0.25">
      <c r="A4381" t="s">
        <v>5006</v>
      </c>
      <c r="B4381" s="9">
        <v>0.2</v>
      </c>
    </row>
    <row r="4382" spans="1:2" x14ac:dyDescent="0.25">
      <c r="A4382" t="s">
        <v>5007</v>
      </c>
      <c r="B4382" s="9">
        <v>0.2</v>
      </c>
    </row>
    <row r="4383" spans="1:2" x14ac:dyDescent="0.25">
      <c r="A4383" t="s">
        <v>5008</v>
      </c>
      <c r="B4383" s="9">
        <v>0.3</v>
      </c>
    </row>
    <row r="4384" spans="1:2" x14ac:dyDescent="0.25">
      <c r="A4384" t="s">
        <v>5009</v>
      </c>
      <c r="B4384" s="9">
        <v>0.1</v>
      </c>
    </row>
    <row r="4385" spans="1:2" x14ac:dyDescent="0.25">
      <c r="A4385" t="s">
        <v>5010</v>
      </c>
      <c r="B4385" s="9">
        <v>0.3</v>
      </c>
    </row>
    <row r="4386" spans="1:2" x14ac:dyDescent="0.25">
      <c r="A4386" t="s">
        <v>5011</v>
      </c>
      <c r="B4386" s="9">
        <v>0.1</v>
      </c>
    </row>
    <row r="4387" spans="1:2" x14ac:dyDescent="0.25">
      <c r="A4387" t="s">
        <v>5012</v>
      </c>
      <c r="B4387" s="9">
        <v>0</v>
      </c>
    </row>
    <row r="4388" spans="1:2" x14ac:dyDescent="0.25">
      <c r="A4388" t="s">
        <v>5013</v>
      </c>
      <c r="B4388" s="9">
        <v>0.2</v>
      </c>
    </row>
    <row r="4389" spans="1:2" x14ac:dyDescent="0.25">
      <c r="A4389" t="s">
        <v>5014</v>
      </c>
      <c r="B4389" s="9">
        <v>0.2</v>
      </c>
    </row>
    <row r="4390" spans="1:2" x14ac:dyDescent="0.25">
      <c r="A4390" t="s">
        <v>5015</v>
      </c>
      <c r="B4390" s="9">
        <v>0</v>
      </c>
    </row>
    <row r="4391" spans="1:2" x14ac:dyDescent="0.25">
      <c r="A4391" t="s">
        <v>5016</v>
      </c>
      <c r="B4391" s="9">
        <v>0</v>
      </c>
    </row>
    <row r="4392" spans="1:2" x14ac:dyDescent="0.25">
      <c r="A4392" t="s">
        <v>5017</v>
      </c>
      <c r="B4392" s="9">
        <v>0</v>
      </c>
    </row>
    <row r="4393" spans="1:2" x14ac:dyDescent="0.25">
      <c r="A4393" t="s">
        <v>5018</v>
      </c>
      <c r="B4393" s="9">
        <v>0.15</v>
      </c>
    </row>
    <row r="4394" spans="1:2" x14ac:dyDescent="0.25">
      <c r="A4394" t="s">
        <v>5019</v>
      </c>
      <c r="B4394" s="9">
        <v>0.15</v>
      </c>
    </row>
    <row r="4395" spans="1:2" x14ac:dyDescent="0.25">
      <c r="A4395" t="s">
        <v>5020</v>
      </c>
      <c r="B4395" s="9">
        <v>0.15</v>
      </c>
    </row>
    <row r="4396" spans="1:2" x14ac:dyDescent="0.25">
      <c r="A4396" t="s">
        <v>5021</v>
      </c>
      <c r="B4396" s="9">
        <v>0.15</v>
      </c>
    </row>
    <row r="4397" spans="1:2" x14ac:dyDescent="0.25">
      <c r="A4397" t="s">
        <v>5022</v>
      </c>
      <c r="B4397" s="9">
        <v>0.15</v>
      </c>
    </row>
    <row r="4398" spans="1:2" x14ac:dyDescent="0.25">
      <c r="A4398" t="s">
        <v>5023</v>
      </c>
      <c r="B4398" s="9">
        <v>0.15</v>
      </c>
    </row>
    <row r="4399" spans="1:2" x14ac:dyDescent="0.25">
      <c r="A4399" t="s">
        <v>5024</v>
      </c>
      <c r="B4399" s="9">
        <v>0.15</v>
      </c>
    </row>
    <row r="4400" spans="1:2" x14ac:dyDescent="0.25">
      <c r="A4400" t="s">
        <v>5025</v>
      </c>
      <c r="B4400" s="9">
        <v>0.15</v>
      </c>
    </row>
    <row r="4401" spans="1:2" x14ac:dyDescent="0.25">
      <c r="A4401" t="s">
        <v>5026</v>
      </c>
      <c r="B4401" s="9">
        <v>0.15</v>
      </c>
    </row>
    <row r="4402" spans="1:2" x14ac:dyDescent="0.25">
      <c r="A4402" t="s">
        <v>5027</v>
      </c>
      <c r="B4402" s="9">
        <v>0.15</v>
      </c>
    </row>
    <row r="4403" spans="1:2" x14ac:dyDescent="0.25">
      <c r="A4403" t="s">
        <v>5028</v>
      </c>
      <c r="B4403" s="9">
        <v>0.15</v>
      </c>
    </row>
    <row r="4404" spans="1:2" x14ac:dyDescent="0.25">
      <c r="A4404" t="s">
        <v>5029</v>
      </c>
      <c r="B4404" s="9">
        <v>0.15</v>
      </c>
    </row>
    <row r="4405" spans="1:2" x14ac:dyDescent="0.25">
      <c r="A4405" t="s">
        <v>5030</v>
      </c>
      <c r="B4405" s="9">
        <v>0.15</v>
      </c>
    </row>
    <row r="4406" spans="1:2" x14ac:dyDescent="0.25">
      <c r="A4406" t="s">
        <v>5031</v>
      </c>
      <c r="B4406" s="9">
        <v>0</v>
      </c>
    </row>
    <row r="4407" spans="1:2" x14ac:dyDescent="0.25">
      <c r="A4407" t="s">
        <v>5032</v>
      </c>
      <c r="B4407" s="9">
        <v>0</v>
      </c>
    </row>
    <row r="4408" spans="1:2" x14ac:dyDescent="0.25">
      <c r="A4408" t="s">
        <v>5033</v>
      </c>
      <c r="B4408" s="9">
        <v>0.15</v>
      </c>
    </row>
    <row r="4409" spans="1:2" x14ac:dyDescent="0.25">
      <c r="A4409" t="s">
        <v>5034</v>
      </c>
      <c r="B4409" s="9">
        <v>0.15</v>
      </c>
    </row>
    <row r="4410" spans="1:2" x14ac:dyDescent="0.25">
      <c r="A4410" t="s">
        <v>5035</v>
      </c>
      <c r="B4410" s="9">
        <v>0.15</v>
      </c>
    </row>
    <row r="4411" spans="1:2" x14ac:dyDescent="0.25">
      <c r="A4411" t="s">
        <v>5036</v>
      </c>
      <c r="B4411" s="9">
        <v>0.15</v>
      </c>
    </row>
    <row r="4412" spans="1:2" x14ac:dyDescent="0.25">
      <c r="A4412" t="s">
        <v>5037</v>
      </c>
      <c r="B4412" s="9">
        <v>0.15</v>
      </c>
    </row>
    <row r="4413" spans="1:2" x14ac:dyDescent="0.25">
      <c r="A4413" t="s">
        <v>5038</v>
      </c>
      <c r="B4413" s="9">
        <v>0.15</v>
      </c>
    </row>
    <row r="4414" spans="1:2" x14ac:dyDescent="0.25">
      <c r="A4414" t="s">
        <v>5039</v>
      </c>
      <c r="B4414" s="9">
        <v>0.15</v>
      </c>
    </row>
    <row r="4415" spans="1:2" x14ac:dyDescent="0.25">
      <c r="A4415" t="s">
        <v>5040</v>
      </c>
      <c r="B4415" s="9">
        <v>0.15</v>
      </c>
    </row>
    <row r="4416" spans="1:2" x14ac:dyDescent="0.25">
      <c r="A4416" t="s">
        <v>5041</v>
      </c>
      <c r="B4416" s="9">
        <v>0.15</v>
      </c>
    </row>
    <row r="4417" spans="1:2" x14ac:dyDescent="0.25">
      <c r="A4417" t="s">
        <v>5042</v>
      </c>
      <c r="B4417" s="9">
        <v>0.15</v>
      </c>
    </row>
    <row r="4418" spans="1:2" x14ac:dyDescent="0.25">
      <c r="A4418" t="s">
        <v>5043</v>
      </c>
      <c r="B4418" s="9">
        <v>0.15</v>
      </c>
    </row>
    <row r="4419" spans="1:2" x14ac:dyDescent="0.25">
      <c r="A4419" t="s">
        <v>5044</v>
      </c>
      <c r="B4419" s="9">
        <v>0.15</v>
      </c>
    </row>
    <row r="4420" spans="1:2" x14ac:dyDescent="0.25">
      <c r="A4420" t="s">
        <v>5045</v>
      </c>
      <c r="B4420" s="9">
        <v>0.15</v>
      </c>
    </row>
    <row r="4421" spans="1:2" x14ac:dyDescent="0.25">
      <c r="A4421" t="s">
        <v>5046</v>
      </c>
      <c r="B4421" s="9">
        <v>0.15</v>
      </c>
    </row>
    <row r="4422" spans="1:2" x14ac:dyDescent="0.25">
      <c r="A4422" t="s">
        <v>5047</v>
      </c>
      <c r="B4422" s="9">
        <v>0</v>
      </c>
    </row>
    <row r="4423" spans="1:2" x14ac:dyDescent="0.25">
      <c r="A4423" t="s">
        <v>5048</v>
      </c>
      <c r="B4423" s="9">
        <v>0.15</v>
      </c>
    </row>
    <row r="4424" spans="1:2" x14ac:dyDescent="0.25">
      <c r="A4424" t="s">
        <v>5049</v>
      </c>
      <c r="B4424" s="9">
        <v>0.15</v>
      </c>
    </row>
    <row r="4425" spans="1:2" x14ac:dyDescent="0.25">
      <c r="A4425" t="s">
        <v>5050</v>
      </c>
      <c r="B4425" s="9">
        <v>0.15</v>
      </c>
    </row>
    <row r="4426" spans="1:2" x14ac:dyDescent="0.25">
      <c r="A4426" t="s">
        <v>5051</v>
      </c>
      <c r="B4426" s="9">
        <v>0.15</v>
      </c>
    </row>
    <row r="4427" spans="1:2" x14ac:dyDescent="0.25">
      <c r="A4427" t="s">
        <v>5052</v>
      </c>
      <c r="B4427" s="9">
        <v>0.15</v>
      </c>
    </row>
    <row r="4428" spans="1:2" x14ac:dyDescent="0.25">
      <c r="A4428" t="s">
        <v>5053</v>
      </c>
      <c r="B4428" s="9">
        <v>0.15</v>
      </c>
    </row>
    <row r="4429" spans="1:2" x14ac:dyDescent="0.25">
      <c r="A4429" t="s">
        <v>5054</v>
      </c>
      <c r="B4429" s="9">
        <v>0</v>
      </c>
    </row>
    <row r="4430" spans="1:2" x14ac:dyDescent="0.25">
      <c r="A4430" t="s">
        <v>5055</v>
      </c>
      <c r="B4430" s="9">
        <v>0.15</v>
      </c>
    </row>
    <row r="4431" spans="1:2" x14ac:dyDescent="0.25">
      <c r="A4431" t="s">
        <v>5056</v>
      </c>
      <c r="B4431" s="9">
        <v>0.15</v>
      </c>
    </row>
    <row r="4432" spans="1:2" x14ac:dyDescent="0.25">
      <c r="A4432" t="s">
        <v>5057</v>
      </c>
      <c r="B4432" s="9">
        <v>0.15</v>
      </c>
    </row>
    <row r="4433" spans="1:2" x14ac:dyDescent="0.25">
      <c r="A4433" t="s">
        <v>5058</v>
      </c>
      <c r="B4433" s="9">
        <v>0</v>
      </c>
    </row>
    <row r="4434" spans="1:2" x14ac:dyDescent="0.25">
      <c r="A4434" t="s">
        <v>5059</v>
      </c>
      <c r="B4434" s="9">
        <v>0</v>
      </c>
    </row>
    <row r="4435" spans="1:2" x14ac:dyDescent="0.25">
      <c r="A4435" t="s">
        <v>5060</v>
      </c>
      <c r="B4435" s="9">
        <v>0.15</v>
      </c>
    </row>
    <row r="4436" spans="1:2" x14ac:dyDescent="0.25">
      <c r="A4436" t="s">
        <v>5061</v>
      </c>
      <c r="B4436" s="9">
        <v>0.15</v>
      </c>
    </row>
    <row r="4437" spans="1:2" x14ac:dyDescent="0.25">
      <c r="A4437" t="s">
        <v>5062</v>
      </c>
      <c r="B4437" s="9">
        <v>0.15</v>
      </c>
    </row>
    <row r="4438" spans="1:2" x14ac:dyDescent="0.25">
      <c r="A4438" t="s">
        <v>5063</v>
      </c>
      <c r="B4438" s="9">
        <v>0.15</v>
      </c>
    </row>
    <row r="4439" spans="1:2" x14ac:dyDescent="0.25">
      <c r="A4439" t="s">
        <v>5064</v>
      </c>
      <c r="B4439" s="9">
        <v>0.15</v>
      </c>
    </row>
    <row r="4440" spans="1:2" x14ac:dyDescent="0.25">
      <c r="A4440" t="s">
        <v>5065</v>
      </c>
      <c r="B4440" s="9">
        <v>0.15</v>
      </c>
    </row>
    <row r="4441" spans="1:2" x14ac:dyDescent="0.25">
      <c r="A4441" t="s">
        <v>5066</v>
      </c>
      <c r="B4441" s="9">
        <v>0.15</v>
      </c>
    </row>
    <row r="4442" spans="1:2" x14ac:dyDescent="0.25">
      <c r="A4442" t="s">
        <v>5067</v>
      </c>
      <c r="B4442" s="9">
        <v>0.15</v>
      </c>
    </row>
    <row r="4443" spans="1:2" x14ac:dyDescent="0.25">
      <c r="A4443" t="s">
        <v>5068</v>
      </c>
      <c r="B4443" s="9">
        <v>0.05</v>
      </c>
    </row>
    <row r="4444" spans="1:2" x14ac:dyDescent="0.25">
      <c r="A4444" t="s">
        <v>5069</v>
      </c>
      <c r="B4444" s="9">
        <v>0</v>
      </c>
    </row>
    <row r="4445" spans="1:2" x14ac:dyDescent="0.25">
      <c r="A4445" t="s">
        <v>5070</v>
      </c>
      <c r="B4445" s="9">
        <v>0</v>
      </c>
    </row>
    <row r="4446" spans="1:2" x14ac:dyDescent="0.25">
      <c r="A4446" t="s">
        <v>5071</v>
      </c>
      <c r="B4446" s="9">
        <v>0</v>
      </c>
    </row>
    <row r="4447" spans="1:2" x14ac:dyDescent="0.25">
      <c r="A4447" t="s">
        <v>5072</v>
      </c>
      <c r="B4447" s="9">
        <v>0</v>
      </c>
    </row>
    <row r="4448" spans="1:2" x14ac:dyDescent="0.25">
      <c r="A4448" t="s">
        <v>5073</v>
      </c>
      <c r="B4448" s="9">
        <v>0</v>
      </c>
    </row>
    <row r="4449" spans="1:2" x14ac:dyDescent="0.25">
      <c r="A4449" t="s">
        <v>5074</v>
      </c>
      <c r="B4449" s="9">
        <v>0.15</v>
      </c>
    </row>
    <row r="4450" spans="1:2" x14ac:dyDescent="0.25">
      <c r="A4450" t="s">
        <v>5075</v>
      </c>
      <c r="B4450" s="9">
        <v>0.15</v>
      </c>
    </row>
    <row r="4451" spans="1:2" x14ac:dyDescent="0.25">
      <c r="A4451" t="s">
        <v>5076</v>
      </c>
      <c r="B4451" s="9">
        <v>0.15</v>
      </c>
    </row>
    <row r="4452" spans="1:2" x14ac:dyDescent="0.25">
      <c r="A4452" t="s">
        <v>5077</v>
      </c>
      <c r="B4452" s="9">
        <v>0.15</v>
      </c>
    </row>
    <row r="4453" spans="1:2" x14ac:dyDescent="0.25">
      <c r="A4453" t="s">
        <v>5078</v>
      </c>
      <c r="B4453" s="9">
        <v>0.15</v>
      </c>
    </row>
    <row r="4454" spans="1:2" x14ac:dyDescent="0.25">
      <c r="A4454" t="s">
        <v>5079</v>
      </c>
      <c r="B4454" s="9">
        <v>0.15</v>
      </c>
    </row>
    <row r="4455" spans="1:2" x14ac:dyDescent="0.25">
      <c r="A4455" t="s">
        <v>5080</v>
      </c>
      <c r="B4455" s="9">
        <v>0</v>
      </c>
    </row>
    <row r="4456" spans="1:2" x14ac:dyDescent="0.25">
      <c r="A4456" t="s">
        <v>5081</v>
      </c>
      <c r="B4456" s="9">
        <v>0.1</v>
      </c>
    </row>
    <row r="4457" spans="1:2" x14ac:dyDescent="0.25">
      <c r="A4457" t="s">
        <v>5082</v>
      </c>
      <c r="B4457" s="9">
        <v>0.1</v>
      </c>
    </row>
    <row r="4458" spans="1:2" x14ac:dyDescent="0.25">
      <c r="A4458" t="s">
        <v>5083</v>
      </c>
      <c r="B4458" s="9">
        <v>0.1</v>
      </c>
    </row>
    <row r="4459" spans="1:2" x14ac:dyDescent="0.25">
      <c r="A4459" t="s">
        <v>5084</v>
      </c>
      <c r="B4459" s="9">
        <v>0.1</v>
      </c>
    </row>
    <row r="4460" spans="1:2" x14ac:dyDescent="0.25">
      <c r="A4460" t="s">
        <v>5085</v>
      </c>
      <c r="B4460" s="9">
        <v>0.1</v>
      </c>
    </row>
    <row r="4461" spans="1:2" x14ac:dyDescent="0.25">
      <c r="A4461" t="s">
        <v>5086</v>
      </c>
      <c r="B4461" s="9">
        <v>0</v>
      </c>
    </row>
    <row r="4462" spans="1:2" x14ac:dyDescent="0.25">
      <c r="A4462" t="s">
        <v>5087</v>
      </c>
      <c r="B4462" s="9">
        <v>0</v>
      </c>
    </row>
    <row r="4463" spans="1:2" x14ac:dyDescent="0.25">
      <c r="A4463" t="s">
        <v>5088</v>
      </c>
      <c r="B4463" s="9">
        <v>0</v>
      </c>
    </row>
    <row r="4464" spans="1:2" x14ac:dyDescent="0.25">
      <c r="A4464" t="s">
        <v>5089</v>
      </c>
      <c r="B4464" s="9">
        <v>0</v>
      </c>
    </row>
    <row r="4465" spans="1:2" x14ac:dyDescent="0.25">
      <c r="A4465" t="s">
        <v>5090</v>
      </c>
      <c r="B4465" s="9">
        <v>0</v>
      </c>
    </row>
    <row r="4466" spans="1:2" x14ac:dyDescent="0.25">
      <c r="A4466" t="s">
        <v>5091</v>
      </c>
      <c r="B4466" s="9">
        <v>0</v>
      </c>
    </row>
    <row r="4467" spans="1:2" x14ac:dyDescent="0.25">
      <c r="A4467" t="s">
        <v>5092</v>
      </c>
      <c r="B4467" s="9">
        <v>0</v>
      </c>
    </row>
    <row r="4468" spans="1:2" x14ac:dyDescent="0.25">
      <c r="A4468" t="s">
        <v>5093</v>
      </c>
      <c r="B4468" s="9">
        <v>0</v>
      </c>
    </row>
    <row r="4469" spans="1:2" x14ac:dyDescent="0.25">
      <c r="A4469" t="s">
        <v>5094</v>
      </c>
      <c r="B4469" s="9">
        <v>0</v>
      </c>
    </row>
    <row r="4470" spans="1:2" x14ac:dyDescent="0.25">
      <c r="A4470" t="s">
        <v>5095</v>
      </c>
      <c r="B4470" s="9">
        <v>0</v>
      </c>
    </row>
    <row r="4471" spans="1:2" x14ac:dyDescent="0.25">
      <c r="A4471" t="s">
        <v>5096</v>
      </c>
      <c r="B4471" s="9">
        <v>0.1</v>
      </c>
    </row>
    <row r="4472" spans="1:2" x14ac:dyDescent="0.25">
      <c r="A4472" t="s">
        <v>5097</v>
      </c>
      <c r="B4472" s="9">
        <v>0</v>
      </c>
    </row>
    <row r="4473" spans="1:2" x14ac:dyDescent="0.25">
      <c r="A4473" t="s">
        <v>5098</v>
      </c>
      <c r="B4473" s="9">
        <v>0</v>
      </c>
    </row>
    <row r="4474" spans="1:2" x14ac:dyDescent="0.25">
      <c r="A4474" t="s">
        <v>5099</v>
      </c>
      <c r="B4474" s="9">
        <v>0.1</v>
      </c>
    </row>
    <row r="4475" spans="1:2" x14ac:dyDescent="0.25">
      <c r="A4475" t="s">
        <v>5100</v>
      </c>
      <c r="B4475" s="9">
        <v>0</v>
      </c>
    </row>
    <row r="4476" spans="1:2" x14ac:dyDescent="0.25">
      <c r="A4476" t="s">
        <v>5101</v>
      </c>
      <c r="B4476" s="9">
        <v>0</v>
      </c>
    </row>
    <row r="4477" spans="1:2" x14ac:dyDescent="0.25">
      <c r="A4477" t="s">
        <v>5102</v>
      </c>
      <c r="B4477" s="9">
        <v>0</v>
      </c>
    </row>
    <row r="4478" spans="1:2" x14ac:dyDescent="0.25">
      <c r="A4478" t="s">
        <v>5103</v>
      </c>
      <c r="B4478" s="9">
        <v>0.1</v>
      </c>
    </row>
    <row r="4479" spans="1:2" x14ac:dyDescent="0.25">
      <c r="A4479" t="s">
        <v>5104</v>
      </c>
      <c r="B4479" s="9">
        <v>0</v>
      </c>
    </row>
    <row r="4480" spans="1:2" x14ac:dyDescent="0.25">
      <c r="A4480" t="s">
        <v>5105</v>
      </c>
      <c r="B4480" s="9">
        <v>0</v>
      </c>
    </row>
    <row r="4481" spans="1:2" x14ac:dyDescent="0.25">
      <c r="A4481" t="s">
        <v>5106</v>
      </c>
      <c r="B4481" s="9">
        <v>0</v>
      </c>
    </row>
    <row r="4482" spans="1:2" x14ac:dyDescent="0.25">
      <c r="A4482" t="s">
        <v>5107</v>
      </c>
      <c r="B4482" s="9">
        <v>0</v>
      </c>
    </row>
    <row r="4483" spans="1:2" x14ac:dyDescent="0.25">
      <c r="A4483" t="s">
        <v>5108</v>
      </c>
      <c r="B4483" s="9">
        <v>0.1</v>
      </c>
    </row>
    <row r="4484" spans="1:2" x14ac:dyDescent="0.25">
      <c r="A4484" t="s">
        <v>5109</v>
      </c>
      <c r="B4484" s="9">
        <v>0</v>
      </c>
    </row>
    <row r="4485" spans="1:2" x14ac:dyDescent="0.25">
      <c r="A4485" t="s">
        <v>5110</v>
      </c>
      <c r="B4485" s="9">
        <v>0.1</v>
      </c>
    </row>
    <row r="4486" spans="1:2" x14ac:dyDescent="0.25">
      <c r="A4486" t="s">
        <v>5111</v>
      </c>
      <c r="B4486" s="9">
        <v>0</v>
      </c>
    </row>
    <row r="4487" spans="1:2" x14ac:dyDescent="0.25">
      <c r="A4487" t="s">
        <v>5112</v>
      </c>
      <c r="B4487" s="9">
        <v>0</v>
      </c>
    </row>
    <row r="4488" spans="1:2" x14ac:dyDescent="0.25">
      <c r="A4488" t="s">
        <v>5113</v>
      </c>
      <c r="B4488" s="9">
        <v>0</v>
      </c>
    </row>
    <row r="4489" spans="1:2" x14ac:dyDescent="0.25">
      <c r="A4489" t="s">
        <v>5114</v>
      </c>
      <c r="B4489" s="9">
        <v>0</v>
      </c>
    </row>
    <row r="4490" spans="1:2" x14ac:dyDescent="0.25">
      <c r="A4490" t="s">
        <v>5115</v>
      </c>
      <c r="B4490" s="9">
        <v>0</v>
      </c>
    </row>
    <row r="4491" spans="1:2" x14ac:dyDescent="0.25">
      <c r="A4491" t="s">
        <v>5116</v>
      </c>
      <c r="B4491" s="9">
        <v>0</v>
      </c>
    </row>
    <row r="4492" spans="1:2" x14ac:dyDescent="0.25">
      <c r="A4492" t="s">
        <v>5117</v>
      </c>
      <c r="B4492" s="9">
        <v>0</v>
      </c>
    </row>
    <row r="4493" spans="1:2" x14ac:dyDescent="0.25">
      <c r="A4493" t="s">
        <v>5118</v>
      </c>
      <c r="B4493" s="9">
        <v>0</v>
      </c>
    </row>
    <row r="4494" spans="1:2" x14ac:dyDescent="0.25">
      <c r="A4494" t="s">
        <v>5119</v>
      </c>
      <c r="B4494" s="9">
        <v>0</v>
      </c>
    </row>
    <row r="4495" spans="1:2" x14ac:dyDescent="0.25">
      <c r="A4495" t="s">
        <v>5120</v>
      </c>
      <c r="B4495" s="9">
        <v>0</v>
      </c>
    </row>
    <row r="4496" spans="1:2" x14ac:dyDescent="0.25">
      <c r="A4496" t="s">
        <v>5121</v>
      </c>
      <c r="B4496" s="9">
        <v>0</v>
      </c>
    </row>
    <row r="4497" spans="1:2" x14ac:dyDescent="0.25">
      <c r="A4497" t="s">
        <v>5122</v>
      </c>
      <c r="B4497" s="9">
        <v>0</v>
      </c>
    </row>
    <row r="4498" spans="1:2" x14ac:dyDescent="0.25">
      <c r="A4498" t="s">
        <v>5123</v>
      </c>
      <c r="B4498" s="9">
        <v>0</v>
      </c>
    </row>
    <row r="4499" spans="1:2" x14ac:dyDescent="0.25">
      <c r="A4499" t="s">
        <v>5124</v>
      </c>
      <c r="B4499" s="9">
        <v>0</v>
      </c>
    </row>
    <row r="4500" spans="1:2" x14ac:dyDescent="0.25">
      <c r="A4500" t="s">
        <v>5125</v>
      </c>
      <c r="B4500" s="9">
        <v>0</v>
      </c>
    </row>
    <row r="4501" spans="1:2" x14ac:dyDescent="0.25">
      <c r="A4501" t="s">
        <v>5126</v>
      </c>
      <c r="B4501" s="9">
        <v>0</v>
      </c>
    </row>
    <row r="4502" spans="1:2" x14ac:dyDescent="0.25">
      <c r="A4502" t="s">
        <v>5127</v>
      </c>
      <c r="B4502" s="9">
        <v>0</v>
      </c>
    </row>
    <row r="4503" spans="1:2" x14ac:dyDescent="0.25">
      <c r="A4503" t="s">
        <v>5128</v>
      </c>
      <c r="B4503" s="9">
        <v>0</v>
      </c>
    </row>
    <row r="4504" spans="1:2" x14ac:dyDescent="0.25">
      <c r="A4504" t="s">
        <v>5129</v>
      </c>
      <c r="B4504" s="9">
        <v>0</v>
      </c>
    </row>
    <row r="4505" spans="1:2" x14ac:dyDescent="0.25">
      <c r="A4505" t="s">
        <v>5130</v>
      </c>
      <c r="B4505" s="9">
        <v>0</v>
      </c>
    </row>
    <row r="4506" spans="1:2" x14ac:dyDescent="0.25">
      <c r="A4506" t="s">
        <v>5131</v>
      </c>
      <c r="B4506" s="9">
        <v>0</v>
      </c>
    </row>
    <row r="4507" spans="1:2" x14ac:dyDescent="0.25">
      <c r="A4507" t="s">
        <v>5132</v>
      </c>
      <c r="B4507" s="9">
        <v>0</v>
      </c>
    </row>
    <row r="4508" spans="1:2" x14ac:dyDescent="0.25">
      <c r="A4508" t="s">
        <v>5133</v>
      </c>
      <c r="B4508" s="9">
        <v>0</v>
      </c>
    </row>
    <row r="4509" spans="1:2" x14ac:dyDescent="0.25">
      <c r="A4509" t="s">
        <v>5134</v>
      </c>
      <c r="B4509" s="9">
        <v>0</v>
      </c>
    </row>
    <row r="4510" spans="1:2" x14ac:dyDescent="0.25">
      <c r="A4510" t="s">
        <v>5135</v>
      </c>
      <c r="B4510" s="9">
        <v>0</v>
      </c>
    </row>
    <row r="4511" spans="1:2" x14ac:dyDescent="0.25">
      <c r="A4511" t="s">
        <v>5136</v>
      </c>
      <c r="B4511" s="9">
        <v>0</v>
      </c>
    </row>
    <row r="4512" spans="1:2" x14ac:dyDescent="0.25">
      <c r="A4512" t="s">
        <v>5137</v>
      </c>
      <c r="B4512" s="9">
        <v>0</v>
      </c>
    </row>
    <row r="4513" spans="1:2" x14ac:dyDescent="0.25">
      <c r="A4513" t="s">
        <v>5138</v>
      </c>
      <c r="B4513" s="9">
        <v>0</v>
      </c>
    </row>
    <row r="4514" spans="1:2" x14ac:dyDescent="0.25">
      <c r="A4514" t="s">
        <v>5139</v>
      </c>
      <c r="B4514" s="9">
        <v>0</v>
      </c>
    </row>
    <row r="4515" spans="1:2" x14ac:dyDescent="0.25">
      <c r="A4515" t="s">
        <v>5140</v>
      </c>
      <c r="B4515" s="9">
        <v>0</v>
      </c>
    </row>
    <row r="4516" spans="1:2" x14ac:dyDescent="0.25">
      <c r="A4516" t="s">
        <v>5141</v>
      </c>
      <c r="B4516" s="9">
        <v>0</v>
      </c>
    </row>
    <row r="4517" spans="1:2" x14ac:dyDescent="0.25">
      <c r="A4517" t="s">
        <v>5142</v>
      </c>
      <c r="B4517" s="9">
        <v>0</v>
      </c>
    </row>
    <row r="4518" spans="1:2" x14ac:dyDescent="0.25">
      <c r="A4518" t="s">
        <v>5143</v>
      </c>
      <c r="B4518" s="9">
        <v>0</v>
      </c>
    </row>
    <row r="4519" spans="1:2" x14ac:dyDescent="0.25">
      <c r="A4519" t="s">
        <v>5144</v>
      </c>
      <c r="B4519" s="9">
        <v>0</v>
      </c>
    </row>
    <row r="4520" spans="1:2" x14ac:dyDescent="0.25">
      <c r="A4520" t="s">
        <v>5145</v>
      </c>
      <c r="B4520" s="9">
        <v>0</v>
      </c>
    </row>
    <row r="4521" spans="1:2" x14ac:dyDescent="0.25">
      <c r="A4521" t="s">
        <v>5146</v>
      </c>
      <c r="B4521" s="9">
        <v>0</v>
      </c>
    </row>
    <row r="4522" spans="1:2" x14ac:dyDescent="0.25">
      <c r="A4522" t="s">
        <v>5147</v>
      </c>
      <c r="B4522" s="9">
        <v>0</v>
      </c>
    </row>
    <row r="4523" spans="1:2" x14ac:dyDescent="0.25">
      <c r="A4523" t="s">
        <v>5148</v>
      </c>
      <c r="B4523" s="9">
        <v>0</v>
      </c>
    </row>
    <row r="4524" spans="1:2" x14ac:dyDescent="0.25">
      <c r="A4524" t="s">
        <v>5149</v>
      </c>
      <c r="B4524" s="9">
        <v>0</v>
      </c>
    </row>
    <row r="4525" spans="1:2" x14ac:dyDescent="0.25">
      <c r="A4525" t="s">
        <v>5150</v>
      </c>
      <c r="B4525" s="9">
        <v>0</v>
      </c>
    </row>
    <row r="4526" spans="1:2" x14ac:dyDescent="0.25">
      <c r="A4526" t="s">
        <v>5151</v>
      </c>
      <c r="B4526" s="9">
        <v>0</v>
      </c>
    </row>
    <row r="4527" spans="1:2" x14ac:dyDescent="0.25">
      <c r="A4527" t="s">
        <v>5152</v>
      </c>
      <c r="B4527" s="9">
        <v>0</v>
      </c>
    </row>
    <row r="4528" spans="1:2" x14ac:dyDescent="0.25">
      <c r="A4528" t="s">
        <v>5153</v>
      </c>
      <c r="B4528" s="9">
        <v>0</v>
      </c>
    </row>
    <row r="4529" spans="1:2" x14ac:dyDescent="0.25">
      <c r="A4529" t="s">
        <v>5154</v>
      </c>
      <c r="B4529" s="9">
        <v>0</v>
      </c>
    </row>
    <row r="4530" spans="1:2" x14ac:dyDescent="0.25">
      <c r="A4530" t="s">
        <v>5155</v>
      </c>
      <c r="B4530" s="9">
        <v>0</v>
      </c>
    </row>
    <row r="4531" spans="1:2" x14ac:dyDescent="0.25">
      <c r="A4531" t="s">
        <v>5156</v>
      </c>
      <c r="B4531" s="9">
        <v>0</v>
      </c>
    </row>
    <row r="4532" spans="1:2" x14ac:dyDescent="0.25">
      <c r="A4532" t="s">
        <v>5157</v>
      </c>
      <c r="B4532" s="9">
        <v>0</v>
      </c>
    </row>
    <row r="4533" spans="1:2" x14ac:dyDescent="0.25">
      <c r="A4533" t="s">
        <v>5158</v>
      </c>
      <c r="B4533" s="9">
        <v>0</v>
      </c>
    </row>
    <row r="4534" spans="1:2" x14ac:dyDescent="0.25">
      <c r="A4534" t="s">
        <v>5159</v>
      </c>
      <c r="B4534" s="9">
        <v>0</v>
      </c>
    </row>
    <row r="4535" spans="1:2" x14ac:dyDescent="0.25">
      <c r="A4535" t="s">
        <v>5160</v>
      </c>
      <c r="B4535" s="9">
        <v>0</v>
      </c>
    </row>
    <row r="4536" spans="1:2" x14ac:dyDescent="0.25">
      <c r="A4536" t="s">
        <v>5161</v>
      </c>
      <c r="B4536" s="9">
        <v>0</v>
      </c>
    </row>
    <row r="4537" spans="1:2" x14ac:dyDescent="0.25">
      <c r="A4537" t="s">
        <v>5162</v>
      </c>
      <c r="B4537" s="9">
        <v>0</v>
      </c>
    </row>
    <row r="4538" spans="1:2" x14ac:dyDescent="0.25">
      <c r="A4538" t="s">
        <v>5163</v>
      </c>
      <c r="B4538" s="9">
        <v>0</v>
      </c>
    </row>
    <row r="4539" spans="1:2" x14ac:dyDescent="0.25">
      <c r="A4539" t="s">
        <v>5164</v>
      </c>
      <c r="B4539" s="9">
        <v>0.05</v>
      </c>
    </row>
    <row r="4540" spans="1:2" x14ac:dyDescent="0.25">
      <c r="A4540" t="s">
        <v>5165</v>
      </c>
      <c r="B4540" s="9">
        <v>0.3</v>
      </c>
    </row>
    <row r="4541" spans="1:2" x14ac:dyDescent="0.25">
      <c r="A4541" t="s">
        <v>5166</v>
      </c>
      <c r="B4541" s="9">
        <v>0.05</v>
      </c>
    </row>
    <row r="4542" spans="1:2" x14ac:dyDescent="0.25">
      <c r="A4542" t="s">
        <v>5167</v>
      </c>
      <c r="B4542" s="9">
        <v>0.3</v>
      </c>
    </row>
    <row r="4543" spans="1:2" x14ac:dyDescent="0.25">
      <c r="A4543" t="s">
        <v>5168</v>
      </c>
      <c r="B4543" s="9">
        <v>0</v>
      </c>
    </row>
    <row r="4544" spans="1:2" x14ac:dyDescent="0.25">
      <c r="A4544" t="s">
        <v>5169</v>
      </c>
      <c r="B4544" s="9">
        <v>0.05</v>
      </c>
    </row>
    <row r="4545" spans="1:2" x14ac:dyDescent="0.25">
      <c r="A4545" t="s">
        <v>5170</v>
      </c>
      <c r="B4545" s="9">
        <v>0.3</v>
      </c>
    </row>
    <row r="4546" spans="1:2" x14ac:dyDescent="0.25">
      <c r="A4546" t="s">
        <v>5171</v>
      </c>
      <c r="B4546" s="9">
        <v>0.05</v>
      </c>
    </row>
    <row r="4547" spans="1:2" x14ac:dyDescent="0.25">
      <c r="A4547" t="s">
        <v>5172</v>
      </c>
      <c r="B4547" s="9">
        <v>0.3</v>
      </c>
    </row>
    <row r="4548" spans="1:2" x14ac:dyDescent="0.25">
      <c r="A4548" t="s">
        <v>5173</v>
      </c>
      <c r="B4548" s="9">
        <v>0.05</v>
      </c>
    </row>
    <row r="4549" spans="1:2" x14ac:dyDescent="0.25">
      <c r="A4549" t="s">
        <v>5174</v>
      </c>
      <c r="B4549" s="9">
        <v>0.3</v>
      </c>
    </row>
    <row r="4550" spans="1:2" x14ac:dyDescent="0.25">
      <c r="A4550" t="s">
        <v>5175</v>
      </c>
      <c r="B4550" s="9">
        <v>0</v>
      </c>
    </row>
    <row r="4551" spans="1:2" x14ac:dyDescent="0.25">
      <c r="A4551" t="s">
        <v>5176</v>
      </c>
      <c r="B4551" s="9">
        <v>0</v>
      </c>
    </row>
    <row r="4552" spans="1:2" x14ac:dyDescent="0.25">
      <c r="A4552" t="s">
        <v>5177</v>
      </c>
      <c r="B4552" s="9">
        <v>0</v>
      </c>
    </row>
    <row r="4553" spans="1:2" x14ac:dyDescent="0.25">
      <c r="A4553" t="s">
        <v>5178</v>
      </c>
      <c r="B4553" s="9">
        <v>0</v>
      </c>
    </row>
    <row r="4554" spans="1:2" x14ac:dyDescent="0.25">
      <c r="A4554" t="s">
        <v>5179</v>
      </c>
      <c r="B4554" s="9">
        <v>0</v>
      </c>
    </row>
    <row r="4555" spans="1:2" x14ac:dyDescent="0.25">
      <c r="A4555" t="s">
        <v>5180</v>
      </c>
      <c r="B4555" s="9">
        <v>0</v>
      </c>
    </row>
    <row r="4556" spans="1:2" x14ac:dyDescent="0.25">
      <c r="A4556" t="s">
        <v>5181</v>
      </c>
      <c r="B4556" s="9">
        <v>0</v>
      </c>
    </row>
    <row r="4557" spans="1:2" x14ac:dyDescent="0.25">
      <c r="A4557" t="s">
        <v>5182</v>
      </c>
      <c r="B4557" s="9">
        <v>0</v>
      </c>
    </row>
    <row r="4558" spans="1:2" x14ac:dyDescent="0.25">
      <c r="A4558" t="s">
        <v>5183</v>
      </c>
      <c r="B4558" s="9">
        <v>0</v>
      </c>
    </row>
    <row r="4559" spans="1:2" x14ac:dyDescent="0.25">
      <c r="A4559" t="s">
        <v>5184</v>
      </c>
      <c r="B4559" s="9">
        <v>0</v>
      </c>
    </row>
    <row r="4560" spans="1:2" x14ac:dyDescent="0.25">
      <c r="A4560" t="s">
        <v>5185</v>
      </c>
      <c r="B4560" s="9">
        <v>0</v>
      </c>
    </row>
    <row r="4561" spans="1:2" x14ac:dyDescent="0.25">
      <c r="A4561" t="s">
        <v>5186</v>
      </c>
      <c r="B4561" s="9">
        <v>0</v>
      </c>
    </row>
    <row r="4562" spans="1:2" x14ac:dyDescent="0.25">
      <c r="A4562" t="s">
        <v>5187</v>
      </c>
      <c r="B4562" s="9">
        <v>0</v>
      </c>
    </row>
    <row r="4563" spans="1:2" x14ac:dyDescent="0.25">
      <c r="A4563" t="s">
        <v>5188</v>
      </c>
      <c r="B4563" s="9">
        <v>0</v>
      </c>
    </row>
    <row r="4564" spans="1:2" x14ac:dyDescent="0.25">
      <c r="A4564" t="s">
        <v>5189</v>
      </c>
      <c r="B4564" s="9">
        <v>0</v>
      </c>
    </row>
    <row r="4565" spans="1:2" x14ac:dyDescent="0.25">
      <c r="A4565" t="s">
        <v>5190</v>
      </c>
      <c r="B4565" s="9">
        <v>0.1</v>
      </c>
    </row>
    <row r="4566" spans="1:2" x14ac:dyDescent="0.25">
      <c r="A4566" t="s">
        <v>5191</v>
      </c>
      <c r="B4566" s="9">
        <v>0.1</v>
      </c>
    </row>
    <row r="4567" spans="1:2" x14ac:dyDescent="0.25">
      <c r="A4567" t="s">
        <v>5192</v>
      </c>
      <c r="B4567" s="9">
        <v>0.1</v>
      </c>
    </row>
    <row r="4568" spans="1:2" x14ac:dyDescent="0.25">
      <c r="A4568" t="s">
        <v>5193</v>
      </c>
      <c r="B4568" s="9">
        <v>0</v>
      </c>
    </row>
    <row r="4569" spans="1:2" x14ac:dyDescent="0.25">
      <c r="A4569" t="s">
        <v>5194</v>
      </c>
      <c r="B4569" s="9">
        <v>0.1</v>
      </c>
    </row>
    <row r="4570" spans="1:2" x14ac:dyDescent="0.25">
      <c r="A4570" t="s">
        <v>5195</v>
      </c>
      <c r="B4570" s="9">
        <v>0.1</v>
      </c>
    </row>
    <row r="4571" spans="1:2" x14ac:dyDescent="0.25">
      <c r="A4571" t="s">
        <v>5196</v>
      </c>
      <c r="B4571" s="9">
        <v>0</v>
      </c>
    </row>
    <row r="4572" spans="1:2" x14ac:dyDescent="0.25">
      <c r="A4572" t="s">
        <v>5197</v>
      </c>
      <c r="B4572" s="9">
        <v>0.1</v>
      </c>
    </row>
    <row r="4573" spans="1:2" x14ac:dyDescent="0.25">
      <c r="A4573" t="s">
        <v>5198</v>
      </c>
      <c r="B4573" s="9">
        <v>0.1</v>
      </c>
    </row>
    <row r="4574" spans="1:2" x14ac:dyDescent="0.25">
      <c r="A4574" t="s">
        <v>5199</v>
      </c>
      <c r="B4574" s="9">
        <v>0.1</v>
      </c>
    </row>
    <row r="4575" spans="1:2" x14ac:dyDescent="0.25">
      <c r="A4575" t="s">
        <v>5200</v>
      </c>
      <c r="B4575" s="9">
        <v>0</v>
      </c>
    </row>
    <row r="4576" spans="1:2" x14ac:dyDescent="0.25">
      <c r="A4576" t="s">
        <v>5201</v>
      </c>
      <c r="B4576" s="9">
        <v>0.1</v>
      </c>
    </row>
    <row r="4577" spans="1:2" x14ac:dyDescent="0.25">
      <c r="A4577" t="s">
        <v>5202</v>
      </c>
      <c r="B4577" s="9">
        <v>0</v>
      </c>
    </row>
    <row r="4578" spans="1:2" x14ac:dyDescent="0.25">
      <c r="A4578" t="s">
        <v>5203</v>
      </c>
      <c r="B4578" s="9">
        <v>0</v>
      </c>
    </row>
    <row r="4579" spans="1:2" x14ac:dyDescent="0.25">
      <c r="A4579" t="s">
        <v>5204</v>
      </c>
      <c r="B4579" s="9">
        <v>0</v>
      </c>
    </row>
    <row r="4580" spans="1:2" x14ac:dyDescent="0.25">
      <c r="A4580" t="s">
        <v>5205</v>
      </c>
      <c r="B4580" s="9">
        <v>0.08</v>
      </c>
    </row>
    <row r="4581" spans="1:2" x14ac:dyDescent="0.25">
      <c r="A4581" t="s">
        <v>5206</v>
      </c>
      <c r="B4581" s="9">
        <v>0.08</v>
      </c>
    </row>
    <row r="4582" spans="1:2" x14ac:dyDescent="0.25">
      <c r="A4582" t="s">
        <v>5207</v>
      </c>
      <c r="B4582" s="9">
        <v>0.08</v>
      </c>
    </row>
    <row r="4583" spans="1:2" x14ac:dyDescent="0.25">
      <c r="A4583" t="s">
        <v>5208</v>
      </c>
      <c r="B4583" s="9">
        <v>0.08</v>
      </c>
    </row>
    <row r="4584" spans="1:2" x14ac:dyDescent="0.25">
      <c r="A4584" t="s">
        <v>5209</v>
      </c>
      <c r="B4584" s="9">
        <v>0.08</v>
      </c>
    </row>
    <row r="4585" spans="1:2" x14ac:dyDescent="0.25">
      <c r="A4585" t="s">
        <v>5210</v>
      </c>
      <c r="B4585" s="9">
        <v>0.08</v>
      </c>
    </row>
    <row r="4586" spans="1:2" x14ac:dyDescent="0.25">
      <c r="A4586" t="s">
        <v>5211</v>
      </c>
      <c r="B4586" s="9">
        <v>0.08</v>
      </c>
    </row>
    <row r="4587" spans="1:2" x14ac:dyDescent="0.25">
      <c r="A4587" t="s">
        <v>5212</v>
      </c>
      <c r="B4587" s="9">
        <v>0.08</v>
      </c>
    </row>
    <row r="4588" spans="1:2" x14ac:dyDescent="0.25">
      <c r="A4588" t="s">
        <v>5213</v>
      </c>
      <c r="B4588" s="9">
        <v>0.08</v>
      </c>
    </row>
    <row r="4589" spans="1:2" x14ac:dyDescent="0.25">
      <c r="A4589" t="s">
        <v>5214</v>
      </c>
      <c r="B4589" s="9">
        <v>0.08</v>
      </c>
    </row>
    <row r="4590" spans="1:2" x14ac:dyDescent="0.25">
      <c r="A4590" t="s">
        <v>5215</v>
      </c>
      <c r="B4590" s="9">
        <v>0.08</v>
      </c>
    </row>
    <row r="4591" spans="1:2" x14ac:dyDescent="0.25">
      <c r="A4591" t="s">
        <v>5216</v>
      </c>
      <c r="B4591" s="9">
        <v>0.08</v>
      </c>
    </row>
    <row r="4592" spans="1:2" x14ac:dyDescent="0.25">
      <c r="A4592" t="s">
        <v>5217</v>
      </c>
      <c r="B4592" s="9">
        <v>0.08</v>
      </c>
    </row>
    <row r="4593" spans="1:2" x14ac:dyDescent="0.25">
      <c r="A4593" t="s">
        <v>5218</v>
      </c>
      <c r="B4593" s="9">
        <v>0.1</v>
      </c>
    </row>
    <row r="4594" spans="1:2" x14ac:dyDescent="0.25">
      <c r="A4594" t="s">
        <v>5219</v>
      </c>
      <c r="B4594" s="9">
        <v>0.1</v>
      </c>
    </row>
    <row r="4595" spans="1:2" x14ac:dyDescent="0.25">
      <c r="A4595" t="s">
        <v>5220</v>
      </c>
      <c r="B4595" s="9">
        <v>0.1</v>
      </c>
    </row>
    <row r="4596" spans="1:2" x14ac:dyDescent="0.25">
      <c r="A4596" t="s">
        <v>5221</v>
      </c>
      <c r="B4596" s="9">
        <v>0.1</v>
      </c>
    </row>
    <row r="4597" spans="1:2" x14ac:dyDescent="0.25">
      <c r="A4597" t="s">
        <v>5222</v>
      </c>
      <c r="B4597" s="9">
        <v>0.1</v>
      </c>
    </row>
    <row r="4598" spans="1:2" x14ac:dyDescent="0.25">
      <c r="A4598" t="s">
        <v>5223</v>
      </c>
      <c r="B4598" s="9">
        <v>0.1</v>
      </c>
    </row>
    <row r="4599" spans="1:2" x14ac:dyDescent="0.25">
      <c r="A4599" t="s">
        <v>5224</v>
      </c>
      <c r="B4599" s="9">
        <v>0.1</v>
      </c>
    </row>
    <row r="4600" spans="1:2" x14ac:dyDescent="0.25">
      <c r="A4600" t="s">
        <v>5225</v>
      </c>
      <c r="B4600" s="9">
        <v>0.1</v>
      </c>
    </row>
    <row r="4601" spans="1:2" x14ac:dyDescent="0.25">
      <c r="A4601" t="s">
        <v>5226</v>
      </c>
      <c r="B4601" s="9">
        <v>0.08</v>
      </c>
    </row>
    <row r="4602" spans="1:2" x14ac:dyDescent="0.25">
      <c r="A4602" t="s">
        <v>5227</v>
      </c>
      <c r="B4602" s="9">
        <v>0.08</v>
      </c>
    </row>
    <row r="4603" spans="1:2" x14ac:dyDescent="0.25">
      <c r="A4603" t="s">
        <v>5228</v>
      </c>
      <c r="B4603" s="9">
        <v>0.08</v>
      </c>
    </row>
    <row r="4604" spans="1:2" x14ac:dyDescent="0.25">
      <c r="A4604" t="s">
        <v>5229</v>
      </c>
      <c r="B4604" s="9">
        <v>0.08</v>
      </c>
    </row>
    <row r="4605" spans="1:2" x14ac:dyDescent="0.25">
      <c r="A4605" t="s">
        <v>5230</v>
      </c>
      <c r="B4605" s="9">
        <v>0.08</v>
      </c>
    </row>
    <row r="4606" spans="1:2" x14ac:dyDescent="0.25">
      <c r="A4606" t="s">
        <v>5231</v>
      </c>
      <c r="B4606" s="9">
        <v>0.1</v>
      </c>
    </row>
    <row r="4607" spans="1:2" x14ac:dyDescent="0.25">
      <c r="A4607" t="s">
        <v>5232</v>
      </c>
      <c r="B4607" s="9">
        <v>0.1</v>
      </c>
    </row>
    <row r="4608" spans="1:2" x14ac:dyDescent="0.25">
      <c r="A4608" t="s">
        <v>5233</v>
      </c>
      <c r="B4608" s="9">
        <v>0.1</v>
      </c>
    </row>
    <row r="4609" spans="1:2" x14ac:dyDescent="0.25">
      <c r="A4609" t="s">
        <v>5234</v>
      </c>
      <c r="B4609" s="9">
        <v>0.1</v>
      </c>
    </row>
    <row r="4610" spans="1:2" x14ac:dyDescent="0.25">
      <c r="A4610" t="s">
        <v>5235</v>
      </c>
      <c r="B4610" s="9">
        <v>0.1</v>
      </c>
    </row>
    <row r="4611" spans="1:2" x14ac:dyDescent="0.25">
      <c r="A4611" t="s">
        <v>5236</v>
      </c>
      <c r="B4611" s="9">
        <v>0.1</v>
      </c>
    </row>
    <row r="4612" spans="1:2" x14ac:dyDescent="0.25">
      <c r="A4612" t="s">
        <v>5237</v>
      </c>
      <c r="B4612" s="9">
        <v>0.1</v>
      </c>
    </row>
    <row r="4613" spans="1:2" x14ac:dyDescent="0.25">
      <c r="A4613" t="s">
        <v>5238</v>
      </c>
      <c r="B4613" s="9">
        <v>0.1</v>
      </c>
    </row>
    <row r="4614" spans="1:2" x14ac:dyDescent="0.25">
      <c r="A4614" t="s">
        <v>5239</v>
      </c>
      <c r="B4614" s="9">
        <v>0.1</v>
      </c>
    </row>
    <row r="4615" spans="1:2" x14ac:dyDescent="0.25">
      <c r="A4615" t="s">
        <v>5240</v>
      </c>
      <c r="B4615" s="9">
        <v>0</v>
      </c>
    </row>
    <row r="4616" spans="1:2" x14ac:dyDescent="0.25">
      <c r="A4616" t="s">
        <v>5241</v>
      </c>
      <c r="B4616" s="9">
        <v>0.1</v>
      </c>
    </row>
    <row r="4617" spans="1:2" x14ac:dyDescent="0.25">
      <c r="A4617" t="s">
        <v>5242</v>
      </c>
      <c r="B4617" s="9">
        <v>0.1</v>
      </c>
    </row>
    <row r="4618" spans="1:2" x14ac:dyDescent="0.25">
      <c r="A4618" t="s">
        <v>5243</v>
      </c>
      <c r="B4618" s="9">
        <v>0.1</v>
      </c>
    </row>
    <row r="4619" spans="1:2" x14ac:dyDescent="0.25">
      <c r="A4619" t="s">
        <v>5244</v>
      </c>
      <c r="B4619" s="9">
        <v>0.1</v>
      </c>
    </row>
    <row r="4620" spans="1:2" x14ac:dyDescent="0.25">
      <c r="A4620" t="s">
        <v>5245</v>
      </c>
      <c r="B4620" s="9">
        <v>0.05</v>
      </c>
    </row>
    <row r="4621" spans="1:2" x14ac:dyDescent="0.25">
      <c r="A4621" t="s">
        <v>5246</v>
      </c>
      <c r="B4621" s="9">
        <v>0.05</v>
      </c>
    </row>
    <row r="4622" spans="1:2" x14ac:dyDescent="0.25">
      <c r="A4622" t="s">
        <v>5247</v>
      </c>
      <c r="B4622" s="9">
        <v>0.05</v>
      </c>
    </row>
    <row r="4623" spans="1:2" x14ac:dyDescent="0.25">
      <c r="A4623" t="s">
        <v>5248</v>
      </c>
      <c r="B4623" s="9">
        <v>0.1</v>
      </c>
    </row>
    <row r="4624" spans="1:2" x14ac:dyDescent="0.25">
      <c r="A4624" t="s">
        <v>5249</v>
      </c>
      <c r="B4624" s="9">
        <v>0.1</v>
      </c>
    </row>
    <row r="4625" spans="1:2" x14ac:dyDescent="0.25">
      <c r="A4625" t="s">
        <v>5250</v>
      </c>
      <c r="B4625" s="9">
        <v>0.1</v>
      </c>
    </row>
    <row r="4626" spans="1:2" x14ac:dyDescent="0.25">
      <c r="A4626" t="s">
        <v>5251</v>
      </c>
      <c r="B4626" s="9">
        <v>0.1</v>
      </c>
    </row>
    <row r="4627" spans="1:2" x14ac:dyDescent="0.25">
      <c r="A4627" t="s">
        <v>5252</v>
      </c>
      <c r="B4627" s="9">
        <v>0.1</v>
      </c>
    </row>
    <row r="4628" spans="1:2" x14ac:dyDescent="0.25">
      <c r="A4628" t="s">
        <v>5253</v>
      </c>
      <c r="B4628" s="9">
        <v>0.1</v>
      </c>
    </row>
    <row r="4629" spans="1:2" x14ac:dyDescent="0.25">
      <c r="A4629" t="s">
        <v>5254</v>
      </c>
      <c r="B4629" s="9">
        <v>0.1</v>
      </c>
    </row>
    <row r="4630" spans="1:2" x14ac:dyDescent="0.25">
      <c r="A4630" t="s">
        <v>5255</v>
      </c>
      <c r="B4630" s="9">
        <v>0.1</v>
      </c>
    </row>
    <row r="4631" spans="1:2" x14ac:dyDescent="0.25">
      <c r="A4631" t="s">
        <v>5256</v>
      </c>
      <c r="B4631" s="9">
        <v>0.1</v>
      </c>
    </row>
    <row r="4632" spans="1:2" x14ac:dyDescent="0.25">
      <c r="A4632" t="s">
        <v>5257</v>
      </c>
      <c r="B4632" s="9">
        <v>0</v>
      </c>
    </row>
    <row r="4633" spans="1:2" x14ac:dyDescent="0.25">
      <c r="A4633" t="s">
        <v>5258</v>
      </c>
      <c r="B4633" s="9">
        <v>0</v>
      </c>
    </row>
    <row r="4634" spans="1:2" x14ac:dyDescent="0.25">
      <c r="A4634" t="s">
        <v>5259</v>
      </c>
      <c r="B4634" s="9">
        <v>0</v>
      </c>
    </row>
    <row r="4635" spans="1:2" x14ac:dyDescent="0.25">
      <c r="A4635" t="s">
        <v>5260</v>
      </c>
      <c r="B4635" s="9">
        <v>0</v>
      </c>
    </row>
    <row r="4636" spans="1:2" x14ac:dyDescent="0.25">
      <c r="A4636" t="s">
        <v>5261</v>
      </c>
      <c r="B4636" s="9">
        <v>0</v>
      </c>
    </row>
    <row r="4637" spans="1:2" x14ac:dyDescent="0.25">
      <c r="A4637" t="s">
        <v>5262</v>
      </c>
      <c r="B4637" s="9">
        <v>0</v>
      </c>
    </row>
    <row r="4638" spans="1:2" x14ac:dyDescent="0.25">
      <c r="A4638" t="s">
        <v>5263</v>
      </c>
      <c r="B4638" s="9">
        <v>0</v>
      </c>
    </row>
    <row r="4639" spans="1:2" x14ac:dyDescent="0.25">
      <c r="A4639" t="s">
        <v>5264</v>
      </c>
      <c r="B4639" s="9">
        <v>0</v>
      </c>
    </row>
    <row r="4640" spans="1:2" x14ac:dyDescent="0.25">
      <c r="A4640" t="s">
        <v>5265</v>
      </c>
      <c r="B4640" s="9">
        <v>0</v>
      </c>
    </row>
    <row r="4641" spans="1:2" x14ac:dyDescent="0.25">
      <c r="A4641" t="s">
        <v>5266</v>
      </c>
      <c r="B4641" s="9">
        <v>0</v>
      </c>
    </row>
    <row r="4642" spans="1:2" x14ac:dyDescent="0.25">
      <c r="A4642" t="s">
        <v>5267</v>
      </c>
      <c r="B4642" s="9">
        <v>0</v>
      </c>
    </row>
    <row r="4643" spans="1:2" x14ac:dyDescent="0.25">
      <c r="A4643" t="s">
        <v>5268</v>
      </c>
      <c r="B4643" s="9">
        <v>0.15</v>
      </c>
    </row>
    <row r="4644" spans="1:2" x14ac:dyDescent="0.25">
      <c r="A4644" t="s">
        <v>5269</v>
      </c>
      <c r="B4644" s="9">
        <v>0</v>
      </c>
    </row>
    <row r="4645" spans="1:2" x14ac:dyDescent="0.25">
      <c r="A4645" t="s">
        <v>5270</v>
      </c>
      <c r="B4645" s="9">
        <v>0.15</v>
      </c>
    </row>
    <row r="4646" spans="1:2" x14ac:dyDescent="0.25">
      <c r="A4646" t="s">
        <v>5271</v>
      </c>
      <c r="B4646" s="9">
        <v>0.1</v>
      </c>
    </row>
    <row r="4647" spans="1:2" x14ac:dyDescent="0.25">
      <c r="A4647" t="s">
        <v>5272</v>
      </c>
      <c r="B4647" s="9">
        <v>0.1</v>
      </c>
    </row>
    <row r="4648" spans="1:2" x14ac:dyDescent="0.25">
      <c r="A4648" t="s">
        <v>5273</v>
      </c>
      <c r="B4648" s="9">
        <v>0.05</v>
      </c>
    </row>
    <row r="4649" spans="1:2" x14ac:dyDescent="0.25">
      <c r="A4649" t="s">
        <v>5274</v>
      </c>
      <c r="B4649" s="9">
        <v>0</v>
      </c>
    </row>
    <row r="4650" spans="1:2" x14ac:dyDescent="0.25">
      <c r="A4650" t="s">
        <v>5275</v>
      </c>
      <c r="B4650" s="9">
        <v>0.1</v>
      </c>
    </row>
    <row r="4651" spans="1:2" x14ac:dyDescent="0.25">
      <c r="A4651" t="s">
        <v>5276</v>
      </c>
      <c r="B4651" s="9">
        <v>0.1</v>
      </c>
    </row>
    <row r="4652" spans="1:2" x14ac:dyDescent="0.25">
      <c r="A4652" t="s">
        <v>5277</v>
      </c>
      <c r="B4652" s="9">
        <v>0.1</v>
      </c>
    </row>
    <row r="4653" spans="1:2" x14ac:dyDescent="0.25">
      <c r="A4653" t="s">
        <v>5278</v>
      </c>
      <c r="B4653" s="9">
        <v>0.1</v>
      </c>
    </row>
    <row r="4654" spans="1:2" x14ac:dyDescent="0.25">
      <c r="A4654" t="s">
        <v>5279</v>
      </c>
      <c r="B4654" s="9">
        <v>0.1</v>
      </c>
    </row>
    <row r="4655" spans="1:2" x14ac:dyDescent="0.25">
      <c r="A4655" t="s">
        <v>5280</v>
      </c>
      <c r="B4655" s="9">
        <v>0.1</v>
      </c>
    </row>
    <row r="4656" spans="1:2" x14ac:dyDescent="0.25">
      <c r="A4656" t="s">
        <v>5281</v>
      </c>
      <c r="B4656" s="9">
        <v>0.1</v>
      </c>
    </row>
    <row r="4657" spans="1:2" x14ac:dyDescent="0.25">
      <c r="A4657" t="s">
        <v>5282</v>
      </c>
      <c r="B4657" s="9">
        <v>0.1</v>
      </c>
    </row>
    <row r="4658" spans="1:2" x14ac:dyDescent="0.25">
      <c r="A4658" t="s">
        <v>5283</v>
      </c>
      <c r="B4658" s="9">
        <v>0.1</v>
      </c>
    </row>
    <row r="4659" spans="1:2" x14ac:dyDescent="0.25">
      <c r="A4659" t="s">
        <v>5284</v>
      </c>
      <c r="B4659" s="9">
        <v>0.1</v>
      </c>
    </row>
    <row r="4660" spans="1:2" x14ac:dyDescent="0.25">
      <c r="A4660" t="s">
        <v>5285</v>
      </c>
      <c r="B4660" s="9">
        <v>0.1</v>
      </c>
    </row>
    <row r="4661" spans="1:2" x14ac:dyDescent="0.25">
      <c r="A4661" t="s">
        <v>5286</v>
      </c>
      <c r="B4661" s="9">
        <v>0.1</v>
      </c>
    </row>
    <row r="4662" spans="1:2" x14ac:dyDescent="0.25">
      <c r="A4662" t="s">
        <v>5287</v>
      </c>
      <c r="B4662" s="9">
        <v>0.1</v>
      </c>
    </row>
    <row r="4663" spans="1:2" x14ac:dyDescent="0.25">
      <c r="A4663" t="s">
        <v>5288</v>
      </c>
      <c r="B4663" s="9">
        <v>0.1</v>
      </c>
    </row>
    <row r="4664" spans="1:2" x14ac:dyDescent="0.25">
      <c r="A4664" t="s">
        <v>5289</v>
      </c>
      <c r="B4664" s="9">
        <v>0.1</v>
      </c>
    </row>
    <row r="4665" spans="1:2" x14ac:dyDescent="0.25">
      <c r="A4665" t="s">
        <v>5290</v>
      </c>
      <c r="B4665" s="9">
        <v>0.1</v>
      </c>
    </row>
    <row r="4666" spans="1:2" x14ac:dyDescent="0.25">
      <c r="A4666" t="s">
        <v>5291</v>
      </c>
      <c r="B4666" s="9">
        <v>0.1</v>
      </c>
    </row>
    <row r="4667" spans="1:2" x14ac:dyDescent="0.25">
      <c r="A4667" t="s">
        <v>5292</v>
      </c>
      <c r="B4667" s="9">
        <v>0.1</v>
      </c>
    </row>
    <row r="4668" spans="1:2" x14ac:dyDescent="0.25">
      <c r="A4668" t="s">
        <v>5293</v>
      </c>
      <c r="B4668" s="9">
        <v>0.1</v>
      </c>
    </row>
    <row r="4669" spans="1:2" x14ac:dyDescent="0.25">
      <c r="A4669" t="s">
        <v>5294</v>
      </c>
      <c r="B4669" s="9">
        <v>0.1</v>
      </c>
    </row>
    <row r="4670" spans="1:2" x14ac:dyDescent="0.25">
      <c r="A4670" t="s">
        <v>5295</v>
      </c>
      <c r="B4670" s="9">
        <v>0.1</v>
      </c>
    </row>
    <row r="4671" spans="1:2" x14ac:dyDescent="0.25">
      <c r="A4671" t="s">
        <v>5296</v>
      </c>
      <c r="B4671" s="9">
        <v>0.1</v>
      </c>
    </row>
    <row r="4672" spans="1:2" x14ac:dyDescent="0.25">
      <c r="A4672" t="s">
        <v>5297</v>
      </c>
      <c r="B4672" s="9">
        <v>0.1</v>
      </c>
    </row>
    <row r="4673" spans="1:2" x14ac:dyDescent="0.25">
      <c r="A4673" t="s">
        <v>5298</v>
      </c>
      <c r="B4673" s="9">
        <v>0.1</v>
      </c>
    </row>
    <row r="4674" spans="1:2" x14ac:dyDescent="0.25">
      <c r="A4674" t="s">
        <v>5299</v>
      </c>
      <c r="B4674" s="9">
        <v>0.1</v>
      </c>
    </row>
    <row r="4675" spans="1:2" x14ac:dyDescent="0.25">
      <c r="A4675" t="s">
        <v>5300</v>
      </c>
      <c r="B4675" s="9">
        <v>0.1</v>
      </c>
    </row>
    <row r="4676" spans="1:2" x14ac:dyDescent="0.25">
      <c r="A4676" t="s">
        <v>5301</v>
      </c>
      <c r="B4676" s="9">
        <v>0.1</v>
      </c>
    </row>
    <row r="4677" spans="1:2" x14ac:dyDescent="0.25">
      <c r="A4677" t="s">
        <v>5302</v>
      </c>
      <c r="B4677" s="9">
        <v>0.1</v>
      </c>
    </row>
    <row r="4678" spans="1:2" x14ac:dyDescent="0.25">
      <c r="A4678" t="s">
        <v>5303</v>
      </c>
      <c r="B4678" s="9">
        <v>0.1</v>
      </c>
    </row>
    <row r="4679" spans="1:2" x14ac:dyDescent="0.25">
      <c r="A4679" t="s">
        <v>5304</v>
      </c>
      <c r="B4679" s="9">
        <v>0.1</v>
      </c>
    </row>
    <row r="4680" spans="1:2" x14ac:dyDescent="0.25">
      <c r="A4680" t="s">
        <v>5305</v>
      </c>
      <c r="B4680" s="9">
        <v>0.1</v>
      </c>
    </row>
    <row r="4681" spans="1:2" x14ac:dyDescent="0.25">
      <c r="A4681" t="s">
        <v>5306</v>
      </c>
      <c r="B4681" s="9">
        <v>0.1</v>
      </c>
    </row>
    <row r="4682" spans="1:2" x14ac:dyDescent="0.25">
      <c r="A4682" t="s">
        <v>5307</v>
      </c>
      <c r="B4682" s="9">
        <v>0.1</v>
      </c>
    </row>
    <row r="4683" spans="1:2" x14ac:dyDescent="0.25">
      <c r="A4683" t="s">
        <v>5308</v>
      </c>
      <c r="B4683" s="9">
        <v>0.1</v>
      </c>
    </row>
    <row r="4684" spans="1:2" x14ac:dyDescent="0.25">
      <c r="A4684" t="s">
        <v>5309</v>
      </c>
      <c r="B4684" s="9">
        <v>0.1</v>
      </c>
    </row>
    <row r="4685" spans="1:2" x14ac:dyDescent="0.25">
      <c r="A4685" t="s">
        <v>5310</v>
      </c>
      <c r="B4685" s="9">
        <v>0.1</v>
      </c>
    </row>
    <row r="4686" spans="1:2" x14ac:dyDescent="0.25">
      <c r="A4686" t="s">
        <v>5311</v>
      </c>
      <c r="B4686" s="9">
        <v>0.1</v>
      </c>
    </row>
    <row r="4687" spans="1:2" x14ac:dyDescent="0.25">
      <c r="A4687" t="s">
        <v>5312</v>
      </c>
      <c r="B4687" s="9">
        <v>0.1</v>
      </c>
    </row>
    <row r="4688" spans="1:2" x14ac:dyDescent="0.25">
      <c r="A4688" t="s">
        <v>5313</v>
      </c>
      <c r="B4688" s="9">
        <v>0.1</v>
      </c>
    </row>
    <row r="4689" spans="1:2" x14ac:dyDescent="0.25">
      <c r="A4689" t="s">
        <v>5314</v>
      </c>
      <c r="B4689" s="9">
        <v>0.1</v>
      </c>
    </row>
    <row r="4690" spans="1:2" x14ac:dyDescent="0.25">
      <c r="A4690" t="s">
        <v>5315</v>
      </c>
      <c r="B4690" s="9">
        <v>0.1</v>
      </c>
    </row>
    <row r="4691" spans="1:2" x14ac:dyDescent="0.25">
      <c r="A4691" t="s">
        <v>5316</v>
      </c>
      <c r="B4691" s="9">
        <v>0.1</v>
      </c>
    </row>
    <row r="4692" spans="1:2" x14ac:dyDescent="0.25">
      <c r="A4692" t="s">
        <v>5317</v>
      </c>
      <c r="B4692" s="9">
        <v>0.1</v>
      </c>
    </row>
    <row r="4693" spans="1:2" x14ac:dyDescent="0.25">
      <c r="A4693" t="s">
        <v>5318</v>
      </c>
      <c r="B4693" s="9">
        <v>0</v>
      </c>
    </row>
    <row r="4694" spans="1:2" x14ac:dyDescent="0.25">
      <c r="A4694" t="s">
        <v>5319</v>
      </c>
      <c r="B4694" s="9">
        <v>0.1</v>
      </c>
    </row>
    <row r="4695" spans="1:2" x14ac:dyDescent="0.25">
      <c r="A4695" t="s">
        <v>5320</v>
      </c>
      <c r="B4695" s="9">
        <v>0.1</v>
      </c>
    </row>
    <row r="4696" spans="1:2" x14ac:dyDescent="0.25">
      <c r="A4696" t="s">
        <v>5321</v>
      </c>
      <c r="B4696" s="9">
        <v>0.1</v>
      </c>
    </row>
    <row r="4697" spans="1:2" x14ac:dyDescent="0.25">
      <c r="A4697" t="s">
        <v>5322</v>
      </c>
      <c r="B4697" s="9">
        <v>0.1</v>
      </c>
    </row>
    <row r="4698" spans="1:2" x14ac:dyDescent="0.25">
      <c r="A4698" t="s">
        <v>5323</v>
      </c>
      <c r="B4698" s="9">
        <v>0.1</v>
      </c>
    </row>
    <row r="4699" spans="1:2" x14ac:dyDescent="0.25">
      <c r="A4699" t="s">
        <v>5324</v>
      </c>
      <c r="B4699" s="9">
        <v>0.1</v>
      </c>
    </row>
    <row r="4700" spans="1:2" x14ac:dyDescent="0.25">
      <c r="A4700" t="s">
        <v>5325</v>
      </c>
      <c r="B4700" s="9">
        <v>0.1</v>
      </c>
    </row>
    <row r="4701" spans="1:2" x14ac:dyDescent="0.25">
      <c r="A4701" t="s">
        <v>5326</v>
      </c>
      <c r="B4701" s="9">
        <v>0.1</v>
      </c>
    </row>
    <row r="4702" spans="1:2" x14ac:dyDescent="0.25">
      <c r="A4702" t="s">
        <v>5327</v>
      </c>
      <c r="B4702" s="9">
        <v>0.1</v>
      </c>
    </row>
    <row r="4703" spans="1:2" x14ac:dyDescent="0.25">
      <c r="A4703" t="s">
        <v>5328</v>
      </c>
      <c r="B4703" s="9">
        <v>0.1</v>
      </c>
    </row>
    <row r="4704" spans="1:2" x14ac:dyDescent="0.25">
      <c r="A4704" t="s">
        <v>5329</v>
      </c>
      <c r="B4704" s="9">
        <v>0.1</v>
      </c>
    </row>
    <row r="4705" spans="1:2" x14ac:dyDescent="0.25">
      <c r="A4705" t="s">
        <v>5330</v>
      </c>
      <c r="B4705" s="9">
        <v>0.1</v>
      </c>
    </row>
    <row r="4706" spans="1:2" x14ac:dyDescent="0.25">
      <c r="A4706" t="s">
        <v>5331</v>
      </c>
      <c r="B4706" s="9">
        <v>0.1</v>
      </c>
    </row>
    <row r="4707" spans="1:2" x14ac:dyDescent="0.25">
      <c r="A4707" t="s">
        <v>5332</v>
      </c>
      <c r="B4707" s="9">
        <v>0.1</v>
      </c>
    </row>
    <row r="4708" spans="1:2" x14ac:dyDescent="0.25">
      <c r="A4708" t="s">
        <v>5333</v>
      </c>
      <c r="B4708" s="9">
        <v>0</v>
      </c>
    </row>
    <row r="4709" spans="1:2" x14ac:dyDescent="0.25">
      <c r="A4709" t="s">
        <v>5334</v>
      </c>
      <c r="B4709" s="9">
        <v>0.1</v>
      </c>
    </row>
    <row r="4710" spans="1:2" x14ac:dyDescent="0.25">
      <c r="A4710" t="s">
        <v>5335</v>
      </c>
      <c r="B4710" s="9">
        <v>0.1</v>
      </c>
    </row>
    <row r="4711" spans="1:2" x14ac:dyDescent="0.25">
      <c r="A4711" t="s">
        <v>5336</v>
      </c>
      <c r="B4711" s="9">
        <v>0</v>
      </c>
    </row>
    <row r="4712" spans="1:2" x14ac:dyDescent="0.25">
      <c r="A4712" t="s">
        <v>5337</v>
      </c>
      <c r="B4712" s="9">
        <v>0.1</v>
      </c>
    </row>
    <row r="4713" spans="1:2" x14ac:dyDescent="0.25">
      <c r="A4713" t="s">
        <v>5338</v>
      </c>
      <c r="B4713" s="9">
        <v>0.1</v>
      </c>
    </row>
    <row r="4714" spans="1:2" x14ac:dyDescent="0.25">
      <c r="A4714" t="s">
        <v>5339</v>
      </c>
      <c r="B4714" s="9">
        <v>0.1</v>
      </c>
    </row>
    <row r="4715" spans="1:2" x14ac:dyDescent="0.25">
      <c r="A4715" t="s">
        <v>5340</v>
      </c>
      <c r="B4715" s="9">
        <v>0.1</v>
      </c>
    </row>
    <row r="4716" spans="1:2" x14ac:dyDescent="0.25">
      <c r="A4716" t="s">
        <v>5341</v>
      </c>
      <c r="B4716" s="9">
        <v>0.1</v>
      </c>
    </row>
    <row r="4717" spans="1:2" x14ac:dyDescent="0.25">
      <c r="A4717" t="s">
        <v>5342</v>
      </c>
      <c r="B4717" s="9">
        <v>0.1</v>
      </c>
    </row>
    <row r="4718" spans="1:2" x14ac:dyDescent="0.25">
      <c r="A4718" t="s">
        <v>5343</v>
      </c>
      <c r="B4718" s="9">
        <v>0.1</v>
      </c>
    </row>
    <row r="4719" spans="1:2" x14ac:dyDescent="0.25">
      <c r="A4719" t="s">
        <v>5344</v>
      </c>
      <c r="B4719" s="9">
        <v>0.1</v>
      </c>
    </row>
    <row r="4720" spans="1:2" x14ac:dyDescent="0.25">
      <c r="A4720" t="s">
        <v>5345</v>
      </c>
      <c r="B4720" s="9">
        <v>0</v>
      </c>
    </row>
    <row r="4721" spans="1:2" x14ac:dyDescent="0.25">
      <c r="A4721" t="s">
        <v>5346</v>
      </c>
      <c r="B4721" s="9">
        <v>0</v>
      </c>
    </row>
    <row r="4722" spans="1:2" x14ac:dyDescent="0.25">
      <c r="A4722" t="s">
        <v>5347</v>
      </c>
      <c r="B4722" s="9">
        <v>0</v>
      </c>
    </row>
    <row r="4723" spans="1:2" x14ac:dyDescent="0.25">
      <c r="A4723" t="s">
        <v>5348</v>
      </c>
      <c r="B4723" s="9">
        <v>0</v>
      </c>
    </row>
    <row r="4724" spans="1:2" x14ac:dyDescent="0.25">
      <c r="A4724" t="s">
        <v>5349</v>
      </c>
      <c r="B4724" s="9">
        <v>0</v>
      </c>
    </row>
    <row r="4725" spans="1:2" x14ac:dyDescent="0.25">
      <c r="A4725" t="s">
        <v>5350</v>
      </c>
      <c r="B4725" s="9">
        <v>0</v>
      </c>
    </row>
    <row r="4726" spans="1:2" x14ac:dyDescent="0.25">
      <c r="A4726" t="s">
        <v>5351</v>
      </c>
      <c r="B4726" s="9">
        <v>0</v>
      </c>
    </row>
    <row r="4727" spans="1:2" x14ac:dyDescent="0.25">
      <c r="A4727" t="s">
        <v>5352</v>
      </c>
      <c r="B4727" s="9">
        <v>0</v>
      </c>
    </row>
    <row r="4728" spans="1:2" x14ac:dyDescent="0.25">
      <c r="A4728" t="s">
        <v>5353</v>
      </c>
      <c r="B4728" s="9">
        <v>0</v>
      </c>
    </row>
    <row r="4729" spans="1:2" x14ac:dyDescent="0.25">
      <c r="A4729" t="s">
        <v>5354</v>
      </c>
      <c r="B4729" s="9">
        <v>0</v>
      </c>
    </row>
    <row r="4730" spans="1:2" x14ac:dyDescent="0.25">
      <c r="A4730" t="s">
        <v>5355</v>
      </c>
      <c r="B4730" s="9">
        <v>0.1</v>
      </c>
    </row>
    <row r="4731" spans="1:2" x14ac:dyDescent="0.25">
      <c r="A4731" t="s">
        <v>5356</v>
      </c>
      <c r="B4731" s="9">
        <v>0.05</v>
      </c>
    </row>
    <row r="4732" spans="1:2" x14ac:dyDescent="0.25">
      <c r="A4732" t="s">
        <v>5357</v>
      </c>
      <c r="B4732" s="9">
        <v>0.05</v>
      </c>
    </row>
    <row r="4733" spans="1:2" x14ac:dyDescent="0.25">
      <c r="A4733" t="s">
        <v>5358</v>
      </c>
      <c r="B4733" s="9">
        <v>0.05</v>
      </c>
    </row>
    <row r="4734" spans="1:2" x14ac:dyDescent="0.25">
      <c r="A4734" t="s">
        <v>5359</v>
      </c>
      <c r="B4734" s="9">
        <v>0.05</v>
      </c>
    </row>
    <row r="4735" spans="1:2" x14ac:dyDescent="0.25">
      <c r="A4735" t="s">
        <v>5360</v>
      </c>
      <c r="B4735" s="9">
        <v>0.05</v>
      </c>
    </row>
    <row r="4736" spans="1:2" x14ac:dyDescent="0.25">
      <c r="A4736" t="s">
        <v>5361</v>
      </c>
      <c r="B4736" s="9">
        <v>0.05</v>
      </c>
    </row>
    <row r="4737" spans="1:2" x14ac:dyDescent="0.25">
      <c r="A4737" t="s">
        <v>5362</v>
      </c>
      <c r="B4737" s="9">
        <v>0.05</v>
      </c>
    </row>
    <row r="4738" spans="1:2" x14ac:dyDescent="0.25">
      <c r="A4738" t="s">
        <v>5363</v>
      </c>
      <c r="B4738" s="9">
        <v>0.05</v>
      </c>
    </row>
    <row r="4739" spans="1:2" x14ac:dyDescent="0.25">
      <c r="A4739" t="s">
        <v>5364</v>
      </c>
      <c r="B4739" s="9">
        <v>0.05</v>
      </c>
    </row>
    <row r="4740" spans="1:2" x14ac:dyDescent="0.25">
      <c r="A4740" t="s">
        <v>5365</v>
      </c>
      <c r="B4740" s="9">
        <v>0.05</v>
      </c>
    </row>
    <row r="4741" spans="1:2" x14ac:dyDescent="0.25">
      <c r="A4741" t="s">
        <v>5366</v>
      </c>
      <c r="B4741" s="9">
        <v>0.05</v>
      </c>
    </row>
    <row r="4742" spans="1:2" x14ac:dyDescent="0.25">
      <c r="A4742" t="s">
        <v>5367</v>
      </c>
      <c r="B4742" s="9">
        <v>0.05</v>
      </c>
    </row>
    <row r="4743" spans="1:2" x14ac:dyDescent="0.25">
      <c r="A4743" t="s">
        <v>5368</v>
      </c>
      <c r="B4743" s="9">
        <v>0.05</v>
      </c>
    </row>
    <row r="4744" spans="1:2" x14ac:dyDescent="0.25">
      <c r="A4744" t="s">
        <v>5369</v>
      </c>
      <c r="B4744" s="9">
        <v>0.05</v>
      </c>
    </row>
    <row r="4745" spans="1:2" x14ac:dyDescent="0.25">
      <c r="A4745" t="s">
        <v>5370</v>
      </c>
      <c r="B4745" s="9">
        <v>0.05</v>
      </c>
    </row>
    <row r="4746" spans="1:2" x14ac:dyDescent="0.25">
      <c r="A4746" t="s">
        <v>5371</v>
      </c>
      <c r="B4746" s="9">
        <v>0.05</v>
      </c>
    </row>
    <row r="4747" spans="1:2" x14ac:dyDescent="0.25">
      <c r="A4747" t="s">
        <v>5372</v>
      </c>
      <c r="B4747" s="9">
        <v>0.05</v>
      </c>
    </row>
    <row r="4748" spans="1:2" x14ac:dyDescent="0.25">
      <c r="A4748" t="s">
        <v>5373</v>
      </c>
      <c r="B4748" s="9">
        <v>0.05</v>
      </c>
    </row>
    <row r="4749" spans="1:2" x14ac:dyDescent="0.25">
      <c r="A4749" t="s">
        <v>5374</v>
      </c>
      <c r="B4749" s="9">
        <v>0.05</v>
      </c>
    </row>
    <row r="4750" spans="1:2" x14ac:dyDescent="0.25">
      <c r="A4750" t="s">
        <v>5375</v>
      </c>
      <c r="B4750" s="9">
        <v>0.05</v>
      </c>
    </row>
    <row r="4751" spans="1:2" x14ac:dyDescent="0.25">
      <c r="A4751" t="s">
        <v>5376</v>
      </c>
      <c r="B4751" s="9">
        <v>0.05</v>
      </c>
    </row>
    <row r="4752" spans="1:2" x14ac:dyDescent="0.25">
      <c r="A4752" t="s">
        <v>5377</v>
      </c>
      <c r="B4752" s="9">
        <v>0.05</v>
      </c>
    </row>
    <row r="4753" spans="1:2" x14ac:dyDescent="0.25">
      <c r="A4753" t="s">
        <v>5378</v>
      </c>
      <c r="B4753" s="9">
        <v>0.05</v>
      </c>
    </row>
    <row r="4754" spans="1:2" x14ac:dyDescent="0.25">
      <c r="A4754" t="s">
        <v>5379</v>
      </c>
      <c r="B4754" s="9">
        <v>0.05</v>
      </c>
    </row>
    <row r="4755" spans="1:2" x14ac:dyDescent="0.25">
      <c r="A4755" t="s">
        <v>5380</v>
      </c>
      <c r="B4755" s="9">
        <v>0.05</v>
      </c>
    </row>
    <row r="4756" spans="1:2" x14ac:dyDescent="0.25">
      <c r="A4756" t="s">
        <v>5381</v>
      </c>
      <c r="B4756" s="9">
        <v>0.05</v>
      </c>
    </row>
    <row r="4757" spans="1:2" x14ac:dyDescent="0.25">
      <c r="A4757" t="s">
        <v>5382</v>
      </c>
      <c r="B4757" s="9">
        <v>0.05</v>
      </c>
    </row>
    <row r="4758" spans="1:2" x14ac:dyDescent="0.25">
      <c r="A4758" t="s">
        <v>5383</v>
      </c>
      <c r="B4758" s="9">
        <v>0.05</v>
      </c>
    </row>
    <row r="4759" spans="1:2" x14ac:dyDescent="0.25">
      <c r="A4759" t="s">
        <v>5384</v>
      </c>
      <c r="B4759" s="9">
        <v>0.05</v>
      </c>
    </row>
    <row r="4760" spans="1:2" x14ac:dyDescent="0.25">
      <c r="A4760" t="s">
        <v>5385</v>
      </c>
      <c r="B4760" s="9">
        <v>0.05</v>
      </c>
    </row>
    <row r="4761" spans="1:2" x14ac:dyDescent="0.25">
      <c r="A4761" t="s">
        <v>5386</v>
      </c>
      <c r="B4761" s="9">
        <v>0.05</v>
      </c>
    </row>
    <row r="4762" spans="1:2" x14ac:dyDescent="0.25">
      <c r="A4762" t="s">
        <v>5387</v>
      </c>
      <c r="B4762" s="9">
        <v>0.05</v>
      </c>
    </row>
    <row r="4763" spans="1:2" x14ac:dyDescent="0.25">
      <c r="A4763" t="s">
        <v>5388</v>
      </c>
      <c r="B4763" s="9">
        <v>0.05</v>
      </c>
    </row>
    <row r="4764" spans="1:2" x14ac:dyDescent="0.25">
      <c r="A4764" t="s">
        <v>5389</v>
      </c>
      <c r="B4764" s="9">
        <v>0.05</v>
      </c>
    </row>
    <row r="4765" spans="1:2" x14ac:dyDescent="0.25">
      <c r="A4765" t="s">
        <v>5390</v>
      </c>
      <c r="B4765" s="9">
        <v>0.05</v>
      </c>
    </row>
    <row r="4766" spans="1:2" x14ac:dyDescent="0.25">
      <c r="A4766" t="s">
        <v>5391</v>
      </c>
      <c r="B4766" s="9">
        <v>0.05</v>
      </c>
    </row>
    <row r="4767" spans="1:2" x14ac:dyDescent="0.25">
      <c r="A4767" t="s">
        <v>5392</v>
      </c>
      <c r="B4767" s="9">
        <v>0.05</v>
      </c>
    </row>
    <row r="4768" spans="1:2" x14ac:dyDescent="0.25">
      <c r="A4768" t="s">
        <v>5393</v>
      </c>
      <c r="B4768" s="9">
        <v>0.05</v>
      </c>
    </row>
    <row r="4769" spans="1:2" x14ac:dyDescent="0.25">
      <c r="A4769" t="s">
        <v>5394</v>
      </c>
      <c r="B4769" s="9">
        <v>0.05</v>
      </c>
    </row>
    <row r="4770" spans="1:2" x14ac:dyDescent="0.25">
      <c r="A4770" t="s">
        <v>5395</v>
      </c>
      <c r="B4770" s="9">
        <v>0.05</v>
      </c>
    </row>
    <row r="4771" spans="1:2" x14ac:dyDescent="0.25">
      <c r="A4771" t="s">
        <v>5396</v>
      </c>
      <c r="B4771" s="9">
        <v>0.05</v>
      </c>
    </row>
    <row r="4772" spans="1:2" x14ac:dyDescent="0.25">
      <c r="A4772" t="s">
        <v>5397</v>
      </c>
      <c r="B4772" s="9">
        <v>0.05</v>
      </c>
    </row>
    <row r="4773" spans="1:2" x14ac:dyDescent="0.25">
      <c r="A4773" t="s">
        <v>5398</v>
      </c>
      <c r="B4773" s="9">
        <v>0.05</v>
      </c>
    </row>
    <row r="4774" spans="1:2" x14ac:dyDescent="0.25">
      <c r="A4774" t="s">
        <v>5399</v>
      </c>
      <c r="B4774" s="9">
        <v>0.05</v>
      </c>
    </row>
    <row r="4775" spans="1:2" x14ac:dyDescent="0.25">
      <c r="A4775" t="s">
        <v>5400</v>
      </c>
      <c r="B4775" s="9">
        <v>0.05</v>
      </c>
    </row>
    <row r="4776" spans="1:2" x14ac:dyDescent="0.25">
      <c r="A4776" t="s">
        <v>5401</v>
      </c>
      <c r="B4776" s="9">
        <v>0.05</v>
      </c>
    </row>
    <row r="4777" spans="1:2" x14ac:dyDescent="0.25">
      <c r="A4777" t="s">
        <v>5402</v>
      </c>
      <c r="B4777" s="9">
        <v>0.05</v>
      </c>
    </row>
    <row r="4778" spans="1:2" x14ac:dyDescent="0.25">
      <c r="A4778" t="s">
        <v>5403</v>
      </c>
      <c r="B4778" s="9">
        <v>0.05</v>
      </c>
    </row>
    <row r="4779" spans="1:2" x14ac:dyDescent="0.25">
      <c r="A4779" t="s">
        <v>5404</v>
      </c>
      <c r="B4779" s="9">
        <v>0.05</v>
      </c>
    </row>
    <row r="4780" spans="1:2" x14ac:dyDescent="0.25">
      <c r="A4780" t="s">
        <v>5405</v>
      </c>
      <c r="B4780" s="9">
        <v>0.05</v>
      </c>
    </row>
    <row r="4781" spans="1:2" x14ac:dyDescent="0.25">
      <c r="A4781" t="s">
        <v>5406</v>
      </c>
      <c r="B4781" s="9">
        <v>0.05</v>
      </c>
    </row>
    <row r="4782" spans="1:2" x14ac:dyDescent="0.25">
      <c r="A4782" t="s">
        <v>5407</v>
      </c>
      <c r="B4782" s="9">
        <v>0.05</v>
      </c>
    </row>
    <row r="4783" spans="1:2" x14ac:dyDescent="0.25">
      <c r="A4783" t="s">
        <v>5408</v>
      </c>
      <c r="B4783" s="9">
        <v>0.05</v>
      </c>
    </row>
    <row r="4784" spans="1:2" x14ac:dyDescent="0.25">
      <c r="A4784" t="s">
        <v>5409</v>
      </c>
      <c r="B4784" s="9">
        <v>0.05</v>
      </c>
    </row>
    <row r="4785" spans="1:2" x14ac:dyDescent="0.25">
      <c r="A4785" t="s">
        <v>5410</v>
      </c>
      <c r="B4785" s="9">
        <v>0.05</v>
      </c>
    </row>
    <row r="4786" spans="1:2" x14ac:dyDescent="0.25">
      <c r="A4786" t="s">
        <v>5411</v>
      </c>
      <c r="B4786" s="9">
        <v>0.05</v>
      </c>
    </row>
    <row r="4787" spans="1:2" x14ac:dyDescent="0.25">
      <c r="A4787" t="s">
        <v>5412</v>
      </c>
      <c r="B4787" s="9">
        <v>0.05</v>
      </c>
    </row>
    <row r="4788" spans="1:2" x14ac:dyDescent="0.25">
      <c r="A4788" t="s">
        <v>5413</v>
      </c>
      <c r="B4788" s="9">
        <v>0.05</v>
      </c>
    </row>
    <row r="4789" spans="1:2" x14ac:dyDescent="0.25">
      <c r="A4789" t="s">
        <v>5414</v>
      </c>
      <c r="B4789" s="9">
        <v>0.05</v>
      </c>
    </row>
    <row r="4790" spans="1:2" x14ac:dyDescent="0.25">
      <c r="A4790" t="s">
        <v>5415</v>
      </c>
      <c r="B4790" s="9">
        <v>0</v>
      </c>
    </row>
    <row r="4791" spans="1:2" x14ac:dyDescent="0.25">
      <c r="A4791" t="s">
        <v>5416</v>
      </c>
      <c r="B4791" s="9">
        <v>0.05</v>
      </c>
    </row>
    <row r="4792" spans="1:2" x14ac:dyDescent="0.25">
      <c r="A4792" t="s">
        <v>5417</v>
      </c>
      <c r="B4792" s="9">
        <v>0.05</v>
      </c>
    </row>
    <row r="4793" spans="1:2" x14ac:dyDescent="0.25">
      <c r="A4793" t="s">
        <v>5418</v>
      </c>
      <c r="B4793" s="9">
        <v>0.05</v>
      </c>
    </row>
    <row r="4794" spans="1:2" x14ac:dyDescent="0.25">
      <c r="A4794" t="s">
        <v>5419</v>
      </c>
      <c r="B4794" s="9">
        <v>0.05</v>
      </c>
    </row>
    <row r="4795" spans="1:2" x14ac:dyDescent="0.25">
      <c r="A4795" t="s">
        <v>5420</v>
      </c>
      <c r="B4795" s="9">
        <v>0.05</v>
      </c>
    </row>
    <row r="4796" spans="1:2" x14ac:dyDescent="0.25">
      <c r="A4796" t="s">
        <v>5421</v>
      </c>
      <c r="B4796" s="9">
        <v>0.05</v>
      </c>
    </row>
    <row r="4797" spans="1:2" x14ac:dyDescent="0.25">
      <c r="A4797" t="s">
        <v>5422</v>
      </c>
      <c r="B4797" s="9">
        <v>0.05</v>
      </c>
    </row>
    <row r="4798" spans="1:2" x14ac:dyDescent="0.25">
      <c r="A4798" t="s">
        <v>5423</v>
      </c>
      <c r="B4798" s="9">
        <v>0.05</v>
      </c>
    </row>
    <row r="4799" spans="1:2" x14ac:dyDescent="0.25">
      <c r="A4799" t="s">
        <v>5424</v>
      </c>
      <c r="B4799" s="9">
        <v>0.05</v>
      </c>
    </row>
    <row r="4800" spans="1:2" x14ac:dyDescent="0.25">
      <c r="A4800" t="s">
        <v>5425</v>
      </c>
      <c r="B4800" s="9">
        <v>0.05</v>
      </c>
    </row>
    <row r="4801" spans="1:2" x14ac:dyDescent="0.25">
      <c r="A4801" t="s">
        <v>5426</v>
      </c>
      <c r="B4801" s="9">
        <v>0</v>
      </c>
    </row>
    <row r="4802" spans="1:2" x14ac:dyDescent="0.25">
      <c r="A4802" t="s">
        <v>5427</v>
      </c>
      <c r="B4802" s="9">
        <v>0.05</v>
      </c>
    </row>
    <row r="4803" spans="1:2" x14ac:dyDescent="0.25">
      <c r="A4803" t="s">
        <v>5428</v>
      </c>
      <c r="B4803" s="9">
        <v>0.05</v>
      </c>
    </row>
    <row r="4804" spans="1:2" x14ac:dyDescent="0.25">
      <c r="A4804" t="s">
        <v>5429</v>
      </c>
      <c r="B4804" s="9">
        <v>0.05</v>
      </c>
    </row>
    <row r="4805" spans="1:2" x14ac:dyDescent="0.25">
      <c r="A4805" t="s">
        <v>5430</v>
      </c>
      <c r="B4805" s="9">
        <v>0.05</v>
      </c>
    </row>
    <row r="4806" spans="1:2" x14ac:dyDescent="0.25">
      <c r="A4806" t="s">
        <v>5431</v>
      </c>
      <c r="B4806" s="9">
        <v>0.05</v>
      </c>
    </row>
    <row r="4807" spans="1:2" x14ac:dyDescent="0.25">
      <c r="A4807" t="s">
        <v>5432</v>
      </c>
      <c r="B4807" s="9">
        <v>0.05</v>
      </c>
    </row>
    <row r="4808" spans="1:2" x14ac:dyDescent="0.25">
      <c r="A4808" t="s">
        <v>5433</v>
      </c>
      <c r="B4808" s="9">
        <v>0.05</v>
      </c>
    </row>
    <row r="4809" spans="1:2" x14ac:dyDescent="0.25">
      <c r="A4809" t="s">
        <v>5434</v>
      </c>
      <c r="B4809" s="9">
        <v>0.05</v>
      </c>
    </row>
    <row r="4810" spans="1:2" x14ac:dyDescent="0.25">
      <c r="A4810" t="s">
        <v>5435</v>
      </c>
      <c r="B4810" s="9">
        <v>0</v>
      </c>
    </row>
    <row r="4811" spans="1:2" x14ac:dyDescent="0.25">
      <c r="A4811" t="s">
        <v>5436</v>
      </c>
      <c r="B4811" s="9">
        <v>0.05</v>
      </c>
    </row>
    <row r="4812" spans="1:2" x14ac:dyDescent="0.25">
      <c r="A4812" t="s">
        <v>5437</v>
      </c>
      <c r="B4812" s="9">
        <v>0.05</v>
      </c>
    </row>
    <row r="4813" spans="1:2" x14ac:dyDescent="0.25">
      <c r="A4813" t="s">
        <v>5438</v>
      </c>
      <c r="B4813" s="9">
        <v>0.05</v>
      </c>
    </row>
    <row r="4814" spans="1:2" x14ac:dyDescent="0.25">
      <c r="A4814" t="s">
        <v>5439</v>
      </c>
      <c r="B4814" s="9">
        <v>0.05</v>
      </c>
    </row>
    <row r="4815" spans="1:2" x14ac:dyDescent="0.25">
      <c r="A4815" t="s">
        <v>5440</v>
      </c>
      <c r="B4815" s="9">
        <v>0.05</v>
      </c>
    </row>
    <row r="4816" spans="1:2" x14ac:dyDescent="0.25">
      <c r="A4816" t="s">
        <v>5441</v>
      </c>
      <c r="B4816" s="9">
        <v>0.05</v>
      </c>
    </row>
    <row r="4817" spans="1:2" x14ac:dyDescent="0.25">
      <c r="A4817" t="s">
        <v>5442</v>
      </c>
      <c r="B4817" s="9">
        <v>0.05</v>
      </c>
    </row>
    <row r="4818" spans="1:2" x14ac:dyDescent="0.25">
      <c r="A4818" t="s">
        <v>5443</v>
      </c>
      <c r="B4818" s="9">
        <v>0.05</v>
      </c>
    </row>
    <row r="4819" spans="1:2" x14ac:dyDescent="0.25">
      <c r="A4819" t="s">
        <v>5444</v>
      </c>
      <c r="B4819" s="9">
        <v>0.05</v>
      </c>
    </row>
    <row r="4820" spans="1:2" x14ac:dyDescent="0.25">
      <c r="A4820" t="s">
        <v>5445</v>
      </c>
      <c r="B4820" s="9">
        <v>0.05</v>
      </c>
    </row>
    <row r="4821" spans="1:2" x14ac:dyDescent="0.25">
      <c r="A4821" t="s">
        <v>5446</v>
      </c>
      <c r="B4821" s="9">
        <v>0.05</v>
      </c>
    </row>
    <row r="4822" spans="1:2" x14ac:dyDescent="0.25">
      <c r="A4822" t="s">
        <v>5447</v>
      </c>
      <c r="B4822" s="9">
        <v>0.05</v>
      </c>
    </row>
    <row r="4823" spans="1:2" x14ac:dyDescent="0.25">
      <c r="A4823" t="s">
        <v>5448</v>
      </c>
      <c r="B4823" s="9">
        <v>0.05</v>
      </c>
    </row>
    <row r="4824" spans="1:2" x14ac:dyDescent="0.25">
      <c r="A4824" t="s">
        <v>5449</v>
      </c>
      <c r="B4824" s="9">
        <v>0.05</v>
      </c>
    </row>
    <row r="4825" spans="1:2" x14ac:dyDescent="0.25">
      <c r="A4825" t="s">
        <v>5450</v>
      </c>
      <c r="B4825" s="9">
        <v>0.05</v>
      </c>
    </row>
    <row r="4826" spans="1:2" x14ac:dyDescent="0.25">
      <c r="A4826" t="s">
        <v>5451</v>
      </c>
      <c r="B4826" s="9">
        <v>0.05</v>
      </c>
    </row>
    <row r="4827" spans="1:2" x14ac:dyDescent="0.25">
      <c r="A4827" t="s">
        <v>5452</v>
      </c>
      <c r="B4827" s="9">
        <v>0.05</v>
      </c>
    </row>
    <row r="4828" spans="1:2" x14ac:dyDescent="0.25">
      <c r="A4828" t="s">
        <v>5453</v>
      </c>
      <c r="B4828" s="9">
        <v>0.05</v>
      </c>
    </row>
    <row r="4829" spans="1:2" x14ac:dyDescent="0.25">
      <c r="A4829" t="s">
        <v>5454</v>
      </c>
      <c r="B4829" s="9">
        <v>0.05</v>
      </c>
    </row>
    <row r="4830" spans="1:2" x14ac:dyDescent="0.25">
      <c r="A4830" t="s">
        <v>5455</v>
      </c>
      <c r="B4830" s="9">
        <v>0.05</v>
      </c>
    </row>
    <row r="4831" spans="1:2" x14ac:dyDescent="0.25">
      <c r="A4831" t="s">
        <v>5456</v>
      </c>
      <c r="B4831" s="9">
        <v>0.05</v>
      </c>
    </row>
    <row r="4832" spans="1:2" x14ac:dyDescent="0.25">
      <c r="A4832" t="s">
        <v>5457</v>
      </c>
      <c r="B4832" s="9">
        <v>0.05</v>
      </c>
    </row>
    <row r="4833" spans="1:2" x14ac:dyDescent="0.25">
      <c r="A4833" t="s">
        <v>5458</v>
      </c>
      <c r="B4833" s="9">
        <v>0.05</v>
      </c>
    </row>
    <row r="4834" spans="1:2" x14ac:dyDescent="0.25">
      <c r="A4834" t="s">
        <v>5459</v>
      </c>
      <c r="B4834" s="9">
        <v>0.05</v>
      </c>
    </row>
    <row r="4835" spans="1:2" x14ac:dyDescent="0.25">
      <c r="A4835" t="s">
        <v>5460</v>
      </c>
      <c r="B4835" s="9">
        <v>0.05</v>
      </c>
    </row>
    <row r="4836" spans="1:2" x14ac:dyDescent="0.25">
      <c r="A4836" t="s">
        <v>5461</v>
      </c>
      <c r="B4836" s="9">
        <v>0.05</v>
      </c>
    </row>
    <row r="4837" spans="1:2" x14ac:dyDescent="0.25">
      <c r="A4837" t="s">
        <v>5462</v>
      </c>
      <c r="B4837" s="9">
        <v>0.05</v>
      </c>
    </row>
    <row r="4838" spans="1:2" x14ac:dyDescent="0.25">
      <c r="A4838" t="s">
        <v>5463</v>
      </c>
      <c r="B4838" s="9">
        <v>0.05</v>
      </c>
    </row>
    <row r="4839" spans="1:2" x14ac:dyDescent="0.25">
      <c r="A4839" t="s">
        <v>5464</v>
      </c>
      <c r="B4839" s="9">
        <v>0.05</v>
      </c>
    </row>
    <row r="4840" spans="1:2" x14ac:dyDescent="0.25">
      <c r="A4840" t="s">
        <v>5465</v>
      </c>
      <c r="B4840" s="9">
        <v>0.05</v>
      </c>
    </row>
    <row r="4841" spans="1:2" x14ac:dyDescent="0.25">
      <c r="A4841" t="s">
        <v>5466</v>
      </c>
      <c r="B4841" s="9">
        <v>0.05</v>
      </c>
    </row>
    <row r="4842" spans="1:2" x14ac:dyDescent="0.25">
      <c r="A4842" t="s">
        <v>5467</v>
      </c>
      <c r="B4842" s="9">
        <v>0.05</v>
      </c>
    </row>
    <row r="4843" spans="1:2" x14ac:dyDescent="0.25">
      <c r="A4843" t="s">
        <v>5468</v>
      </c>
      <c r="B4843" s="9">
        <v>0.05</v>
      </c>
    </row>
    <row r="4844" spans="1:2" x14ac:dyDescent="0.25">
      <c r="A4844" t="s">
        <v>5469</v>
      </c>
      <c r="B4844" s="9">
        <v>0.05</v>
      </c>
    </row>
    <row r="4845" spans="1:2" x14ac:dyDescent="0.25">
      <c r="A4845" t="s">
        <v>5470</v>
      </c>
      <c r="B4845" s="9">
        <v>0.05</v>
      </c>
    </row>
    <row r="4846" spans="1:2" x14ac:dyDescent="0.25">
      <c r="A4846" t="s">
        <v>5471</v>
      </c>
      <c r="B4846" s="9">
        <v>0.05</v>
      </c>
    </row>
    <row r="4847" spans="1:2" x14ac:dyDescent="0.25">
      <c r="A4847" t="s">
        <v>5472</v>
      </c>
      <c r="B4847" s="9">
        <v>0.05</v>
      </c>
    </row>
    <row r="4848" spans="1:2" x14ac:dyDescent="0.25">
      <c r="A4848" t="s">
        <v>5473</v>
      </c>
      <c r="B4848" s="9">
        <v>0.05</v>
      </c>
    </row>
    <row r="4849" spans="1:2" x14ac:dyDescent="0.25">
      <c r="A4849" t="s">
        <v>5474</v>
      </c>
      <c r="B4849" s="9">
        <v>0.05</v>
      </c>
    </row>
    <row r="4850" spans="1:2" x14ac:dyDescent="0.25">
      <c r="A4850" t="s">
        <v>5475</v>
      </c>
      <c r="B4850" s="9">
        <v>0.05</v>
      </c>
    </row>
    <row r="4851" spans="1:2" x14ac:dyDescent="0.25">
      <c r="A4851" t="s">
        <v>5476</v>
      </c>
      <c r="B4851" s="9">
        <v>0.05</v>
      </c>
    </row>
    <row r="4852" spans="1:2" x14ac:dyDescent="0.25">
      <c r="A4852" t="s">
        <v>5477</v>
      </c>
      <c r="B4852" s="9">
        <v>0.05</v>
      </c>
    </row>
    <row r="4853" spans="1:2" x14ac:dyDescent="0.25">
      <c r="A4853" t="s">
        <v>5478</v>
      </c>
      <c r="B4853" s="9">
        <v>0.05</v>
      </c>
    </row>
    <row r="4854" spans="1:2" x14ac:dyDescent="0.25">
      <c r="A4854" t="s">
        <v>5479</v>
      </c>
      <c r="B4854" s="9">
        <v>0.05</v>
      </c>
    </row>
    <row r="4855" spans="1:2" x14ac:dyDescent="0.25">
      <c r="A4855" t="s">
        <v>5480</v>
      </c>
      <c r="B4855" s="9">
        <v>0.05</v>
      </c>
    </row>
    <row r="4856" spans="1:2" x14ac:dyDescent="0.25">
      <c r="A4856" t="s">
        <v>5481</v>
      </c>
      <c r="B4856" s="9">
        <v>0.05</v>
      </c>
    </row>
    <row r="4857" spans="1:2" x14ac:dyDescent="0.25">
      <c r="A4857" t="s">
        <v>5482</v>
      </c>
      <c r="B4857" s="9">
        <v>0.05</v>
      </c>
    </row>
    <row r="4858" spans="1:2" x14ac:dyDescent="0.25">
      <c r="A4858" t="s">
        <v>5483</v>
      </c>
      <c r="B4858" s="9">
        <v>0.05</v>
      </c>
    </row>
    <row r="4859" spans="1:2" x14ac:dyDescent="0.25">
      <c r="A4859" t="s">
        <v>5484</v>
      </c>
      <c r="B4859" s="9">
        <v>0.05</v>
      </c>
    </row>
    <row r="4860" spans="1:2" x14ac:dyDescent="0.25">
      <c r="A4860" t="s">
        <v>5485</v>
      </c>
      <c r="B4860" s="9">
        <v>0.05</v>
      </c>
    </row>
    <row r="4861" spans="1:2" x14ac:dyDescent="0.25">
      <c r="A4861" t="s">
        <v>5486</v>
      </c>
      <c r="B4861" s="9">
        <v>0.05</v>
      </c>
    </row>
    <row r="4862" spans="1:2" x14ac:dyDescent="0.25">
      <c r="A4862" t="s">
        <v>5487</v>
      </c>
      <c r="B4862" s="9">
        <v>0.05</v>
      </c>
    </row>
    <row r="4863" spans="1:2" x14ac:dyDescent="0.25">
      <c r="A4863" t="s">
        <v>5488</v>
      </c>
      <c r="B4863" s="9">
        <v>0.05</v>
      </c>
    </row>
    <row r="4864" spans="1:2" x14ac:dyDescent="0.25">
      <c r="A4864" t="s">
        <v>5489</v>
      </c>
      <c r="B4864" s="9">
        <v>0.05</v>
      </c>
    </row>
    <row r="4865" spans="1:2" x14ac:dyDescent="0.25">
      <c r="A4865" t="s">
        <v>5490</v>
      </c>
      <c r="B4865" s="9">
        <v>0.05</v>
      </c>
    </row>
    <row r="4866" spans="1:2" x14ac:dyDescent="0.25">
      <c r="A4866" t="s">
        <v>5491</v>
      </c>
      <c r="B4866" s="9">
        <v>0.05</v>
      </c>
    </row>
    <row r="4867" spans="1:2" x14ac:dyDescent="0.25">
      <c r="A4867" t="s">
        <v>5492</v>
      </c>
      <c r="B4867" s="9">
        <v>0.05</v>
      </c>
    </row>
    <row r="4868" spans="1:2" x14ac:dyDescent="0.25">
      <c r="A4868" t="s">
        <v>5493</v>
      </c>
      <c r="B4868" s="9">
        <v>0.05</v>
      </c>
    </row>
    <row r="4869" spans="1:2" x14ac:dyDescent="0.25">
      <c r="A4869" t="s">
        <v>5494</v>
      </c>
      <c r="B4869" s="9">
        <v>0.05</v>
      </c>
    </row>
    <row r="4870" spans="1:2" x14ac:dyDescent="0.25">
      <c r="A4870" t="s">
        <v>5495</v>
      </c>
      <c r="B4870" s="9">
        <v>0.05</v>
      </c>
    </row>
    <row r="4871" spans="1:2" x14ac:dyDescent="0.25">
      <c r="A4871" t="s">
        <v>5496</v>
      </c>
      <c r="B4871" s="9">
        <v>0.05</v>
      </c>
    </row>
    <row r="4872" spans="1:2" x14ac:dyDescent="0.25">
      <c r="A4872" t="s">
        <v>5497</v>
      </c>
      <c r="B4872" s="9">
        <v>0.05</v>
      </c>
    </row>
    <row r="4873" spans="1:2" x14ac:dyDescent="0.25">
      <c r="A4873" t="s">
        <v>5498</v>
      </c>
      <c r="B4873" s="9">
        <v>0.05</v>
      </c>
    </row>
    <row r="4874" spans="1:2" x14ac:dyDescent="0.25">
      <c r="A4874" t="s">
        <v>5499</v>
      </c>
      <c r="B4874" s="9">
        <v>0.05</v>
      </c>
    </row>
    <row r="4875" spans="1:2" x14ac:dyDescent="0.25">
      <c r="A4875" t="s">
        <v>5500</v>
      </c>
      <c r="B4875" s="9">
        <v>0.05</v>
      </c>
    </row>
    <row r="4876" spans="1:2" x14ac:dyDescent="0.25">
      <c r="A4876" t="s">
        <v>5501</v>
      </c>
      <c r="B4876" s="9">
        <v>0.05</v>
      </c>
    </row>
    <row r="4877" spans="1:2" x14ac:dyDescent="0.25">
      <c r="A4877" t="s">
        <v>5502</v>
      </c>
      <c r="B4877" s="9">
        <v>0.05</v>
      </c>
    </row>
    <row r="4878" spans="1:2" x14ac:dyDescent="0.25">
      <c r="A4878" t="s">
        <v>5503</v>
      </c>
      <c r="B4878" s="9">
        <v>0.05</v>
      </c>
    </row>
    <row r="4879" spans="1:2" x14ac:dyDescent="0.25">
      <c r="A4879" t="s">
        <v>5504</v>
      </c>
      <c r="B4879" s="9">
        <v>0.05</v>
      </c>
    </row>
    <row r="4880" spans="1:2" x14ac:dyDescent="0.25">
      <c r="A4880" t="s">
        <v>5505</v>
      </c>
      <c r="B4880" s="9">
        <v>0.05</v>
      </c>
    </row>
    <row r="4881" spans="1:2" x14ac:dyDescent="0.25">
      <c r="A4881" t="s">
        <v>5506</v>
      </c>
      <c r="B4881" s="9">
        <v>0.05</v>
      </c>
    </row>
    <row r="4882" spans="1:2" x14ac:dyDescent="0.25">
      <c r="A4882" t="s">
        <v>5507</v>
      </c>
      <c r="B4882" s="9">
        <v>0.05</v>
      </c>
    </row>
    <row r="4883" spans="1:2" x14ac:dyDescent="0.25">
      <c r="A4883" t="s">
        <v>5508</v>
      </c>
      <c r="B4883" s="9">
        <v>0.05</v>
      </c>
    </row>
    <row r="4884" spans="1:2" x14ac:dyDescent="0.25">
      <c r="A4884" t="s">
        <v>5509</v>
      </c>
      <c r="B4884" s="9">
        <v>0.05</v>
      </c>
    </row>
    <row r="4885" spans="1:2" x14ac:dyDescent="0.25">
      <c r="A4885" t="s">
        <v>5510</v>
      </c>
      <c r="B4885" s="9">
        <v>0.05</v>
      </c>
    </row>
    <row r="4886" spans="1:2" x14ac:dyDescent="0.25">
      <c r="A4886" t="s">
        <v>5511</v>
      </c>
      <c r="B4886" s="9">
        <v>0.05</v>
      </c>
    </row>
    <row r="4887" spans="1:2" x14ac:dyDescent="0.25">
      <c r="A4887" t="s">
        <v>5512</v>
      </c>
      <c r="B4887" s="9">
        <v>0.05</v>
      </c>
    </row>
    <row r="4888" spans="1:2" x14ac:dyDescent="0.25">
      <c r="A4888" t="s">
        <v>5513</v>
      </c>
      <c r="B4888" s="9">
        <v>0.05</v>
      </c>
    </row>
    <row r="4889" spans="1:2" x14ac:dyDescent="0.25">
      <c r="A4889" t="s">
        <v>5514</v>
      </c>
      <c r="B4889" s="9">
        <v>0.05</v>
      </c>
    </row>
    <row r="4890" spans="1:2" x14ac:dyDescent="0.25">
      <c r="A4890" t="s">
        <v>5515</v>
      </c>
      <c r="B4890" s="9">
        <v>0.05</v>
      </c>
    </row>
    <row r="4891" spans="1:2" x14ac:dyDescent="0.25">
      <c r="A4891" t="s">
        <v>5516</v>
      </c>
      <c r="B4891" s="9">
        <v>0.05</v>
      </c>
    </row>
    <row r="4892" spans="1:2" x14ac:dyDescent="0.25">
      <c r="A4892" t="s">
        <v>5517</v>
      </c>
      <c r="B4892" s="9">
        <v>0.05</v>
      </c>
    </row>
    <row r="4893" spans="1:2" x14ac:dyDescent="0.25">
      <c r="A4893" t="s">
        <v>5518</v>
      </c>
      <c r="B4893" s="9">
        <v>0.05</v>
      </c>
    </row>
    <row r="4894" spans="1:2" x14ac:dyDescent="0.25">
      <c r="A4894" t="s">
        <v>5519</v>
      </c>
      <c r="B4894" s="9">
        <v>0.05</v>
      </c>
    </row>
    <row r="4895" spans="1:2" x14ac:dyDescent="0.25">
      <c r="A4895" t="s">
        <v>5520</v>
      </c>
      <c r="B4895" s="9">
        <v>0.05</v>
      </c>
    </row>
    <row r="4896" spans="1:2" x14ac:dyDescent="0.25">
      <c r="A4896" t="s">
        <v>5521</v>
      </c>
      <c r="B4896" s="9">
        <v>0.05</v>
      </c>
    </row>
    <row r="4897" spans="1:2" x14ac:dyDescent="0.25">
      <c r="A4897" t="s">
        <v>5522</v>
      </c>
      <c r="B4897" s="9">
        <v>0.05</v>
      </c>
    </row>
    <row r="4898" spans="1:2" x14ac:dyDescent="0.25">
      <c r="A4898" t="s">
        <v>5523</v>
      </c>
      <c r="B4898" s="9">
        <v>0.05</v>
      </c>
    </row>
    <row r="4899" spans="1:2" x14ac:dyDescent="0.25">
      <c r="A4899" t="s">
        <v>5524</v>
      </c>
      <c r="B4899" s="9">
        <v>0.05</v>
      </c>
    </row>
    <row r="4900" spans="1:2" x14ac:dyDescent="0.25">
      <c r="A4900" t="s">
        <v>5525</v>
      </c>
      <c r="B4900" s="9">
        <v>0.05</v>
      </c>
    </row>
    <row r="4901" spans="1:2" x14ac:dyDescent="0.25">
      <c r="A4901" t="s">
        <v>5526</v>
      </c>
      <c r="B4901" s="9">
        <v>0.05</v>
      </c>
    </row>
    <row r="4902" spans="1:2" x14ac:dyDescent="0.25">
      <c r="A4902" t="s">
        <v>5527</v>
      </c>
      <c r="B4902" s="9">
        <v>0.05</v>
      </c>
    </row>
    <row r="4903" spans="1:2" x14ac:dyDescent="0.25">
      <c r="A4903" t="s">
        <v>5528</v>
      </c>
      <c r="B4903" s="9">
        <v>0.05</v>
      </c>
    </row>
    <row r="4904" spans="1:2" x14ac:dyDescent="0.25">
      <c r="A4904" t="s">
        <v>5529</v>
      </c>
      <c r="B4904" s="9">
        <v>0.05</v>
      </c>
    </row>
    <row r="4905" spans="1:2" x14ac:dyDescent="0.25">
      <c r="A4905" t="s">
        <v>5530</v>
      </c>
      <c r="B4905" s="9">
        <v>0.05</v>
      </c>
    </row>
    <row r="4906" spans="1:2" x14ac:dyDescent="0.25">
      <c r="A4906" t="s">
        <v>5531</v>
      </c>
      <c r="B4906" s="9">
        <v>0.05</v>
      </c>
    </row>
    <row r="4907" spans="1:2" x14ac:dyDescent="0.25">
      <c r="A4907" t="s">
        <v>5532</v>
      </c>
      <c r="B4907" s="9">
        <v>0.05</v>
      </c>
    </row>
    <row r="4908" spans="1:2" x14ac:dyDescent="0.25">
      <c r="A4908" t="s">
        <v>5533</v>
      </c>
      <c r="B4908" s="9">
        <v>0.05</v>
      </c>
    </row>
    <row r="4909" spans="1:2" x14ac:dyDescent="0.25">
      <c r="A4909" t="s">
        <v>5534</v>
      </c>
      <c r="B4909" s="9">
        <v>0.05</v>
      </c>
    </row>
    <row r="4910" spans="1:2" x14ac:dyDescent="0.25">
      <c r="A4910" t="s">
        <v>5535</v>
      </c>
      <c r="B4910" s="9">
        <v>0.05</v>
      </c>
    </row>
    <row r="4911" spans="1:2" x14ac:dyDescent="0.25">
      <c r="A4911" t="s">
        <v>5536</v>
      </c>
      <c r="B4911" s="9">
        <v>0.05</v>
      </c>
    </row>
    <row r="4912" spans="1:2" x14ac:dyDescent="0.25">
      <c r="A4912" t="s">
        <v>5537</v>
      </c>
      <c r="B4912" s="9">
        <v>0.05</v>
      </c>
    </row>
    <row r="4913" spans="1:2" x14ac:dyDescent="0.25">
      <c r="A4913" t="s">
        <v>5538</v>
      </c>
      <c r="B4913" s="9">
        <v>0.05</v>
      </c>
    </row>
    <row r="4914" spans="1:2" x14ac:dyDescent="0.25">
      <c r="A4914" t="s">
        <v>5539</v>
      </c>
      <c r="B4914" s="9">
        <v>0.05</v>
      </c>
    </row>
    <row r="4915" spans="1:2" x14ac:dyDescent="0.25">
      <c r="A4915" t="s">
        <v>5540</v>
      </c>
      <c r="B4915" s="9">
        <v>0.05</v>
      </c>
    </row>
    <row r="4916" spans="1:2" x14ac:dyDescent="0.25">
      <c r="A4916" t="s">
        <v>5541</v>
      </c>
      <c r="B4916" s="9">
        <v>0.05</v>
      </c>
    </row>
    <row r="4917" spans="1:2" x14ac:dyDescent="0.25">
      <c r="A4917" t="s">
        <v>5542</v>
      </c>
      <c r="B4917" s="9">
        <v>0.05</v>
      </c>
    </row>
    <row r="4918" spans="1:2" x14ac:dyDescent="0.25">
      <c r="A4918" t="s">
        <v>5543</v>
      </c>
      <c r="B4918" s="9">
        <v>0.05</v>
      </c>
    </row>
    <row r="4919" spans="1:2" x14ac:dyDescent="0.25">
      <c r="A4919" t="s">
        <v>5544</v>
      </c>
      <c r="B4919" s="9">
        <v>0.05</v>
      </c>
    </row>
    <row r="4920" spans="1:2" x14ac:dyDescent="0.25">
      <c r="A4920" t="s">
        <v>5545</v>
      </c>
      <c r="B4920" s="9">
        <v>0.05</v>
      </c>
    </row>
    <row r="4921" spans="1:2" x14ac:dyDescent="0.25">
      <c r="A4921" t="s">
        <v>5546</v>
      </c>
      <c r="B4921" s="9">
        <v>0.05</v>
      </c>
    </row>
    <row r="4922" spans="1:2" x14ac:dyDescent="0.25">
      <c r="A4922" t="s">
        <v>5547</v>
      </c>
      <c r="B4922" s="9">
        <v>0.05</v>
      </c>
    </row>
    <row r="4923" spans="1:2" x14ac:dyDescent="0.25">
      <c r="A4923" t="s">
        <v>5548</v>
      </c>
      <c r="B4923" s="9">
        <v>0.05</v>
      </c>
    </row>
    <row r="4924" spans="1:2" x14ac:dyDescent="0.25">
      <c r="A4924" t="s">
        <v>5549</v>
      </c>
      <c r="B4924" s="9">
        <v>0.05</v>
      </c>
    </row>
    <row r="4925" spans="1:2" x14ac:dyDescent="0.25">
      <c r="A4925" t="s">
        <v>5550</v>
      </c>
      <c r="B4925" s="9">
        <v>0.05</v>
      </c>
    </row>
    <row r="4926" spans="1:2" x14ac:dyDescent="0.25">
      <c r="A4926" t="s">
        <v>5551</v>
      </c>
      <c r="B4926" s="9">
        <v>0.05</v>
      </c>
    </row>
    <row r="4927" spans="1:2" x14ac:dyDescent="0.25">
      <c r="A4927" t="s">
        <v>5552</v>
      </c>
      <c r="B4927" s="9">
        <v>0.05</v>
      </c>
    </row>
    <row r="4928" spans="1:2" x14ac:dyDescent="0.25">
      <c r="A4928" t="s">
        <v>5553</v>
      </c>
      <c r="B4928" s="9">
        <v>0.05</v>
      </c>
    </row>
    <row r="4929" spans="1:2" x14ac:dyDescent="0.25">
      <c r="A4929" t="s">
        <v>5554</v>
      </c>
      <c r="B4929" s="9">
        <v>0.05</v>
      </c>
    </row>
    <row r="4930" spans="1:2" x14ac:dyDescent="0.25">
      <c r="A4930" t="s">
        <v>5555</v>
      </c>
      <c r="B4930" s="9">
        <v>0.05</v>
      </c>
    </row>
    <row r="4931" spans="1:2" x14ac:dyDescent="0.25">
      <c r="A4931" t="s">
        <v>5556</v>
      </c>
      <c r="B4931" s="9">
        <v>0.05</v>
      </c>
    </row>
    <row r="4932" spans="1:2" x14ac:dyDescent="0.25">
      <c r="A4932" t="s">
        <v>5557</v>
      </c>
      <c r="B4932" s="9">
        <v>0.05</v>
      </c>
    </row>
    <row r="4933" spans="1:2" x14ac:dyDescent="0.25">
      <c r="A4933" t="s">
        <v>5558</v>
      </c>
      <c r="B4933" s="9">
        <v>0.05</v>
      </c>
    </row>
    <row r="4934" spans="1:2" x14ac:dyDescent="0.25">
      <c r="A4934" t="s">
        <v>5559</v>
      </c>
      <c r="B4934" s="9">
        <v>0.05</v>
      </c>
    </row>
    <row r="4935" spans="1:2" x14ac:dyDescent="0.25">
      <c r="A4935" t="s">
        <v>5560</v>
      </c>
      <c r="B4935" s="9">
        <v>0.05</v>
      </c>
    </row>
    <row r="4936" spans="1:2" x14ac:dyDescent="0.25">
      <c r="A4936" t="s">
        <v>5561</v>
      </c>
      <c r="B4936" s="9">
        <v>0.05</v>
      </c>
    </row>
    <row r="4937" spans="1:2" x14ac:dyDescent="0.25">
      <c r="A4937" t="s">
        <v>5562</v>
      </c>
      <c r="B4937" s="9">
        <v>0</v>
      </c>
    </row>
    <row r="4938" spans="1:2" x14ac:dyDescent="0.25">
      <c r="A4938" t="s">
        <v>5563</v>
      </c>
      <c r="B4938" s="9">
        <v>0</v>
      </c>
    </row>
    <row r="4939" spans="1:2" x14ac:dyDescent="0.25">
      <c r="A4939" t="s">
        <v>5564</v>
      </c>
      <c r="B4939" s="9">
        <v>0</v>
      </c>
    </row>
    <row r="4940" spans="1:2" x14ac:dyDescent="0.25">
      <c r="A4940" t="s">
        <v>5565</v>
      </c>
      <c r="B4940" s="9">
        <v>0</v>
      </c>
    </row>
    <row r="4941" spans="1:2" x14ac:dyDescent="0.25">
      <c r="A4941" t="s">
        <v>5566</v>
      </c>
      <c r="B4941" s="9">
        <v>0.1</v>
      </c>
    </row>
    <row r="4942" spans="1:2" x14ac:dyDescent="0.25">
      <c r="A4942" t="s">
        <v>5567</v>
      </c>
      <c r="B4942" s="9">
        <v>0.1</v>
      </c>
    </row>
    <row r="4943" spans="1:2" x14ac:dyDescent="0.25">
      <c r="A4943" t="s">
        <v>5568</v>
      </c>
      <c r="B4943" s="9">
        <v>0.05</v>
      </c>
    </row>
    <row r="4944" spans="1:2" x14ac:dyDescent="0.25">
      <c r="A4944" t="s">
        <v>5569</v>
      </c>
      <c r="B4944" s="9">
        <v>0.1</v>
      </c>
    </row>
    <row r="4945" spans="1:2" x14ac:dyDescent="0.25">
      <c r="A4945" t="s">
        <v>5570</v>
      </c>
      <c r="B4945" s="9">
        <v>0.1</v>
      </c>
    </row>
    <row r="4946" spans="1:2" x14ac:dyDescent="0.25">
      <c r="A4946" t="s">
        <v>5571</v>
      </c>
      <c r="B4946" s="9">
        <v>0.05</v>
      </c>
    </row>
    <row r="4947" spans="1:2" x14ac:dyDescent="0.25">
      <c r="A4947" t="s">
        <v>5572</v>
      </c>
      <c r="B4947" s="9">
        <v>0.05</v>
      </c>
    </row>
    <row r="4948" spans="1:2" x14ac:dyDescent="0.25">
      <c r="A4948" t="s">
        <v>5573</v>
      </c>
      <c r="B4948" s="9">
        <v>0.05</v>
      </c>
    </row>
    <row r="4949" spans="1:2" x14ac:dyDescent="0.25">
      <c r="A4949" t="s">
        <v>5574</v>
      </c>
      <c r="B4949" s="9">
        <v>0</v>
      </c>
    </row>
    <row r="4950" spans="1:2" x14ac:dyDescent="0.25">
      <c r="A4950" t="s">
        <v>5575</v>
      </c>
      <c r="B4950" s="9">
        <v>0</v>
      </c>
    </row>
    <row r="4951" spans="1:2" x14ac:dyDescent="0.25">
      <c r="A4951" t="s">
        <v>5576</v>
      </c>
      <c r="B4951" s="9">
        <v>0</v>
      </c>
    </row>
    <row r="4952" spans="1:2" x14ac:dyDescent="0.25">
      <c r="A4952" t="s">
        <v>5577</v>
      </c>
      <c r="B4952" s="9">
        <v>0</v>
      </c>
    </row>
    <row r="4953" spans="1:2" x14ac:dyDescent="0.25">
      <c r="A4953" t="s">
        <v>5578</v>
      </c>
      <c r="B4953" s="9">
        <v>0.05</v>
      </c>
    </row>
    <row r="4954" spans="1:2" x14ac:dyDescent="0.25">
      <c r="A4954" t="s">
        <v>5579</v>
      </c>
      <c r="B4954" s="9">
        <v>0.05</v>
      </c>
    </row>
    <row r="4955" spans="1:2" x14ac:dyDescent="0.25">
      <c r="A4955" t="s">
        <v>5580</v>
      </c>
      <c r="B4955" s="9">
        <v>0</v>
      </c>
    </row>
    <row r="4956" spans="1:2" x14ac:dyDescent="0.25">
      <c r="A4956" t="s">
        <v>5581</v>
      </c>
      <c r="B4956" s="9">
        <v>0.05</v>
      </c>
    </row>
    <row r="4957" spans="1:2" x14ac:dyDescent="0.25">
      <c r="A4957" t="s">
        <v>5582</v>
      </c>
      <c r="B4957" s="9">
        <v>0.05</v>
      </c>
    </row>
    <row r="4958" spans="1:2" x14ac:dyDescent="0.25">
      <c r="A4958" t="s">
        <v>5583</v>
      </c>
      <c r="B4958" s="9">
        <v>0.05</v>
      </c>
    </row>
    <row r="4959" spans="1:2" x14ac:dyDescent="0.25">
      <c r="A4959" t="s">
        <v>5584</v>
      </c>
      <c r="B4959" s="9">
        <v>0.05</v>
      </c>
    </row>
    <row r="4960" spans="1:2" x14ac:dyDescent="0.25">
      <c r="A4960" t="s">
        <v>5585</v>
      </c>
      <c r="B4960" s="9">
        <v>0.05</v>
      </c>
    </row>
    <row r="4961" spans="1:2" x14ac:dyDescent="0.25">
      <c r="A4961" t="s">
        <v>5586</v>
      </c>
      <c r="B4961" s="9">
        <v>0.05</v>
      </c>
    </row>
    <row r="4962" spans="1:2" x14ac:dyDescent="0.25">
      <c r="A4962" t="s">
        <v>5587</v>
      </c>
      <c r="B4962" s="9">
        <v>0.05</v>
      </c>
    </row>
    <row r="4963" spans="1:2" x14ac:dyDescent="0.25">
      <c r="A4963" t="s">
        <v>5588</v>
      </c>
      <c r="B4963" s="9">
        <v>0.05</v>
      </c>
    </row>
    <row r="4964" spans="1:2" x14ac:dyDescent="0.25">
      <c r="A4964" t="s">
        <v>5589</v>
      </c>
      <c r="B4964" s="9">
        <v>0</v>
      </c>
    </row>
    <row r="4965" spans="1:2" x14ac:dyDescent="0.25">
      <c r="A4965" t="s">
        <v>5590</v>
      </c>
      <c r="B4965" s="9">
        <v>0</v>
      </c>
    </row>
    <row r="4966" spans="1:2" x14ac:dyDescent="0.25">
      <c r="A4966" t="s">
        <v>5591</v>
      </c>
      <c r="B4966" s="9">
        <v>0</v>
      </c>
    </row>
    <row r="4967" spans="1:2" x14ac:dyDescent="0.25">
      <c r="A4967" t="s">
        <v>5592</v>
      </c>
      <c r="B4967" s="9">
        <v>0.05</v>
      </c>
    </row>
    <row r="4968" spans="1:2" x14ac:dyDescent="0.25">
      <c r="A4968" t="s">
        <v>5593</v>
      </c>
      <c r="B4968" s="9">
        <v>0.15</v>
      </c>
    </row>
    <row r="4969" spans="1:2" x14ac:dyDescent="0.25">
      <c r="A4969" t="s">
        <v>5594</v>
      </c>
      <c r="B4969" s="9">
        <v>0.15</v>
      </c>
    </row>
    <row r="4970" spans="1:2" x14ac:dyDescent="0.25">
      <c r="A4970" t="s">
        <v>5595</v>
      </c>
      <c r="B4970" s="9">
        <v>0.15</v>
      </c>
    </row>
    <row r="4971" spans="1:2" x14ac:dyDescent="0.25">
      <c r="A4971" t="s">
        <v>5596</v>
      </c>
      <c r="B4971" s="9">
        <v>0.15</v>
      </c>
    </row>
    <row r="4972" spans="1:2" x14ac:dyDescent="0.25">
      <c r="A4972" t="s">
        <v>5597</v>
      </c>
      <c r="B4972" s="9">
        <v>0.15</v>
      </c>
    </row>
    <row r="4973" spans="1:2" x14ac:dyDescent="0.25">
      <c r="A4973" t="s">
        <v>5598</v>
      </c>
      <c r="B4973" s="9">
        <v>0.15</v>
      </c>
    </row>
    <row r="4974" spans="1:2" x14ac:dyDescent="0.25">
      <c r="A4974" t="s">
        <v>5599</v>
      </c>
      <c r="B4974" s="9">
        <v>0.15</v>
      </c>
    </row>
    <row r="4975" spans="1:2" x14ac:dyDescent="0.25">
      <c r="A4975" t="s">
        <v>5600</v>
      </c>
      <c r="B4975" s="9">
        <v>0.15</v>
      </c>
    </row>
    <row r="4976" spans="1:2" x14ac:dyDescent="0.25">
      <c r="A4976" t="s">
        <v>5601</v>
      </c>
      <c r="B4976" s="9">
        <v>0.15</v>
      </c>
    </row>
    <row r="4977" spans="1:2" x14ac:dyDescent="0.25">
      <c r="A4977" t="s">
        <v>5602</v>
      </c>
      <c r="B4977" s="9">
        <v>0.15</v>
      </c>
    </row>
    <row r="4978" spans="1:2" x14ac:dyDescent="0.25">
      <c r="A4978" t="s">
        <v>5603</v>
      </c>
      <c r="B4978" s="9">
        <v>0.15</v>
      </c>
    </row>
    <row r="4979" spans="1:2" x14ac:dyDescent="0.25">
      <c r="A4979" t="s">
        <v>5604</v>
      </c>
      <c r="B4979" s="9">
        <v>0.15</v>
      </c>
    </row>
    <row r="4980" spans="1:2" x14ac:dyDescent="0.25">
      <c r="A4980" t="s">
        <v>5605</v>
      </c>
      <c r="B4980" s="9">
        <v>0</v>
      </c>
    </row>
    <row r="4981" spans="1:2" x14ac:dyDescent="0.25">
      <c r="A4981" t="s">
        <v>5606</v>
      </c>
      <c r="B4981" s="9">
        <v>0.15</v>
      </c>
    </row>
    <row r="4982" spans="1:2" x14ac:dyDescent="0.25">
      <c r="A4982" t="s">
        <v>5607</v>
      </c>
      <c r="B4982" s="9">
        <v>0.15</v>
      </c>
    </row>
    <row r="4983" spans="1:2" x14ac:dyDescent="0.25">
      <c r="A4983" t="s">
        <v>5608</v>
      </c>
      <c r="B4983" s="9">
        <v>0.05</v>
      </c>
    </row>
    <row r="4984" spans="1:2" x14ac:dyDescent="0.25">
      <c r="A4984" t="s">
        <v>5609</v>
      </c>
      <c r="B4984" s="9">
        <v>0.15</v>
      </c>
    </row>
    <row r="4985" spans="1:2" x14ac:dyDescent="0.25">
      <c r="A4985" t="s">
        <v>5610</v>
      </c>
      <c r="B4985" s="9">
        <v>0.15</v>
      </c>
    </row>
    <row r="4986" spans="1:2" x14ac:dyDescent="0.25">
      <c r="A4986" t="s">
        <v>5611</v>
      </c>
      <c r="B4986" s="9">
        <v>0.15</v>
      </c>
    </row>
    <row r="4987" spans="1:2" x14ac:dyDescent="0.25">
      <c r="A4987" t="s">
        <v>5612</v>
      </c>
      <c r="B4987" s="9">
        <v>0.05</v>
      </c>
    </row>
    <row r="4988" spans="1:2" x14ac:dyDescent="0.25">
      <c r="A4988" t="s">
        <v>5613</v>
      </c>
      <c r="B4988" s="9">
        <v>0.15</v>
      </c>
    </row>
    <row r="4989" spans="1:2" x14ac:dyDescent="0.25">
      <c r="A4989" t="s">
        <v>5614</v>
      </c>
      <c r="B4989" s="9">
        <v>0.15</v>
      </c>
    </row>
    <row r="4990" spans="1:2" x14ac:dyDescent="0.25">
      <c r="A4990" t="s">
        <v>5615</v>
      </c>
      <c r="B4990" s="9">
        <v>0.15</v>
      </c>
    </row>
    <row r="4991" spans="1:2" x14ac:dyDescent="0.25">
      <c r="A4991" t="s">
        <v>5616</v>
      </c>
      <c r="B4991" s="9">
        <v>0.15</v>
      </c>
    </row>
    <row r="4992" spans="1:2" x14ac:dyDescent="0.25">
      <c r="A4992" t="s">
        <v>5617</v>
      </c>
      <c r="B4992" s="9">
        <v>0.15</v>
      </c>
    </row>
    <row r="4993" spans="1:2" x14ac:dyDescent="0.25">
      <c r="A4993" t="s">
        <v>5618</v>
      </c>
      <c r="B4993" s="9">
        <v>0.15</v>
      </c>
    </row>
    <row r="4994" spans="1:2" x14ac:dyDescent="0.25">
      <c r="A4994" t="s">
        <v>5619</v>
      </c>
      <c r="B4994" s="9">
        <v>0.15</v>
      </c>
    </row>
    <row r="4995" spans="1:2" x14ac:dyDescent="0.25">
      <c r="A4995" t="s">
        <v>5620</v>
      </c>
      <c r="B4995" s="9">
        <v>0.05</v>
      </c>
    </row>
    <row r="4996" spans="1:2" x14ac:dyDescent="0.25">
      <c r="A4996" t="s">
        <v>5621</v>
      </c>
      <c r="B4996" s="9">
        <v>0.15</v>
      </c>
    </row>
    <row r="4997" spans="1:2" x14ac:dyDescent="0.25">
      <c r="A4997" t="s">
        <v>5622</v>
      </c>
      <c r="B4997" s="9">
        <v>0.15</v>
      </c>
    </row>
    <row r="4998" spans="1:2" x14ac:dyDescent="0.25">
      <c r="A4998" t="s">
        <v>5623</v>
      </c>
      <c r="B4998" s="9">
        <v>0.15</v>
      </c>
    </row>
    <row r="4999" spans="1:2" x14ac:dyDescent="0.25">
      <c r="A4999" t="s">
        <v>5624</v>
      </c>
      <c r="B4999" s="9">
        <v>0.15</v>
      </c>
    </row>
    <row r="5000" spans="1:2" x14ac:dyDescent="0.25">
      <c r="A5000" t="s">
        <v>5625</v>
      </c>
      <c r="B5000" s="9">
        <v>0.15</v>
      </c>
    </row>
    <row r="5001" spans="1:2" x14ac:dyDescent="0.25">
      <c r="A5001" t="s">
        <v>5626</v>
      </c>
      <c r="B5001" s="9">
        <v>0.15</v>
      </c>
    </row>
    <row r="5002" spans="1:2" x14ac:dyDescent="0.25">
      <c r="A5002" t="s">
        <v>5627</v>
      </c>
      <c r="B5002" s="9">
        <v>0.15</v>
      </c>
    </row>
    <row r="5003" spans="1:2" x14ac:dyDescent="0.25">
      <c r="A5003" t="s">
        <v>5628</v>
      </c>
      <c r="B5003" s="9">
        <v>0.15</v>
      </c>
    </row>
    <row r="5004" spans="1:2" x14ac:dyDescent="0.25">
      <c r="A5004" t="s">
        <v>5629</v>
      </c>
      <c r="B5004" s="9">
        <v>0.15</v>
      </c>
    </row>
    <row r="5005" spans="1:2" x14ac:dyDescent="0.25">
      <c r="A5005" t="s">
        <v>5630</v>
      </c>
      <c r="B5005" s="9">
        <v>0.15</v>
      </c>
    </row>
    <row r="5006" spans="1:2" x14ac:dyDescent="0.25">
      <c r="A5006" t="s">
        <v>5631</v>
      </c>
      <c r="B5006" s="9">
        <v>0.15</v>
      </c>
    </row>
    <row r="5007" spans="1:2" x14ac:dyDescent="0.25">
      <c r="A5007" t="s">
        <v>5632</v>
      </c>
      <c r="B5007" s="9">
        <v>0.15</v>
      </c>
    </row>
    <row r="5008" spans="1:2" x14ac:dyDescent="0.25">
      <c r="A5008" t="s">
        <v>5633</v>
      </c>
      <c r="B5008" s="9">
        <v>0.15</v>
      </c>
    </row>
    <row r="5009" spans="1:2" x14ac:dyDescent="0.25">
      <c r="A5009" t="s">
        <v>5634</v>
      </c>
      <c r="B5009" s="9">
        <v>0.15</v>
      </c>
    </row>
    <row r="5010" spans="1:2" x14ac:dyDescent="0.25">
      <c r="A5010" t="s">
        <v>5635</v>
      </c>
      <c r="B5010" s="9">
        <v>0.15</v>
      </c>
    </row>
    <row r="5011" spans="1:2" x14ac:dyDescent="0.25">
      <c r="A5011" t="s">
        <v>5636</v>
      </c>
      <c r="B5011" s="9">
        <v>0.15</v>
      </c>
    </row>
    <row r="5012" spans="1:2" x14ac:dyDescent="0.25">
      <c r="A5012" t="s">
        <v>5637</v>
      </c>
      <c r="B5012" s="9">
        <v>0.15</v>
      </c>
    </row>
    <row r="5013" spans="1:2" x14ac:dyDescent="0.25">
      <c r="A5013" t="s">
        <v>5638</v>
      </c>
      <c r="B5013" s="9">
        <v>0.15</v>
      </c>
    </row>
    <row r="5014" spans="1:2" x14ac:dyDescent="0.25">
      <c r="A5014" t="s">
        <v>5639</v>
      </c>
      <c r="B5014" s="9">
        <v>0.15</v>
      </c>
    </row>
    <row r="5015" spans="1:2" x14ac:dyDescent="0.25">
      <c r="A5015" t="s">
        <v>5640</v>
      </c>
      <c r="B5015" s="9">
        <v>0.15</v>
      </c>
    </row>
    <row r="5016" spans="1:2" x14ac:dyDescent="0.25">
      <c r="A5016" t="s">
        <v>5641</v>
      </c>
      <c r="B5016" s="9">
        <v>0.15</v>
      </c>
    </row>
    <row r="5017" spans="1:2" x14ac:dyDescent="0.25">
      <c r="A5017" t="s">
        <v>5642</v>
      </c>
      <c r="B5017" s="9">
        <v>0.15</v>
      </c>
    </row>
    <row r="5018" spans="1:2" x14ac:dyDescent="0.25">
      <c r="A5018" t="s">
        <v>5643</v>
      </c>
      <c r="B5018" s="9">
        <v>0.15</v>
      </c>
    </row>
    <row r="5019" spans="1:2" x14ac:dyDescent="0.25">
      <c r="A5019" t="s">
        <v>5644</v>
      </c>
      <c r="B5019" s="9">
        <v>0.05</v>
      </c>
    </row>
    <row r="5020" spans="1:2" x14ac:dyDescent="0.25">
      <c r="A5020" t="s">
        <v>5645</v>
      </c>
      <c r="B5020" s="9">
        <v>0.15</v>
      </c>
    </row>
    <row r="5021" spans="1:2" x14ac:dyDescent="0.25">
      <c r="A5021" t="s">
        <v>5646</v>
      </c>
      <c r="B5021" s="9">
        <v>0.15</v>
      </c>
    </row>
    <row r="5022" spans="1:2" x14ac:dyDescent="0.25">
      <c r="A5022" t="s">
        <v>5647</v>
      </c>
      <c r="B5022" s="9">
        <v>0.15</v>
      </c>
    </row>
    <row r="5023" spans="1:2" x14ac:dyDescent="0.25">
      <c r="A5023" t="s">
        <v>5648</v>
      </c>
      <c r="B5023" s="9">
        <v>0.15</v>
      </c>
    </row>
    <row r="5024" spans="1:2" x14ac:dyDescent="0.25">
      <c r="A5024" t="s">
        <v>5649</v>
      </c>
      <c r="B5024" s="9">
        <v>0.15</v>
      </c>
    </row>
    <row r="5025" spans="1:3" x14ac:dyDescent="0.25">
      <c r="A5025" t="s">
        <v>5650</v>
      </c>
      <c r="B5025" s="9">
        <v>0</v>
      </c>
    </row>
    <row r="5026" spans="1:3" x14ac:dyDescent="0.25">
      <c r="A5026" t="s">
        <v>5651</v>
      </c>
      <c r="B5026" s="9">
        <v>0</v>
      </c>
    </row>
    <row r="5027" spans="1:3" x14ac:dyDescent="0.25">
      <c r="A5027" t="s">
        <v>5652</v>
      </c>
      <c r="B5027" s="9">
        <v>0</v>
      </c>
    </row>
    <row r="5028" spans="1:3" x14ac:dyDescent="0.25">
      <c r="A5028" t="s">
        <v>5653</v>
      </c>
      <c r="B5028" s="9">
        <v>0.15</v>
      </c>
    </row>
    <row r="5029" spans="1:3" x14ac:dyDescent="0.25">
      <c r="A5029" t="s">
        <v>5654</v>
      </c>
      <c r="B5029" s="9">
        <v>0.15</v>
      </c>
    </row>
    <row r="5030" spans="1:3" x14ac:dyDescent="0.25">
      <c r="A5030" t="s">
        <v>5655</v>
      </c>
      <c r="B5030" s="9">
        <v>0.15</v>
      </c>
    </row>
    <row r="5031" spans="1:3" x14ac:dyDescent="0.25">
      <c r="A5031" t="s">
        <v>5656</v>
      </c>
      <c r="B5031" s="9">
        <v>0.15</v>
      </c>
    </row>
    <row r="5032" spans="1:3" x14ac:dyDescent="0.25">
      <c r="A5032" t="s">
        <v>5657</v>
      </c>
      <c r="B5032" s="9">
        <v>0.15</v>
      </c>
    </row>
    <row r="5033" spans="1:3" x14ac:dyDescent="0.25">
      <c r="A5033" t="s">
        <v>5658</v>
      </c>
      <c r="B5033" s="9">
        <v>0.15</v>
      </c>
    </row>
    <row r="5034" spans="1:3" x14ac:dyDescent="0.25">
      <c r="A5034" t="s">
        <v>1</v>
      </c>
      <c r="B5034" s="9">
        <v>0.15</v>
      </c>
      <c r="C5034" t="s">
        <v>1</v>
      </c>
    </row>
    <row r="5035" spans="1:3" x14ac:dyDescent="0.25">
      <c r="A5035" t="s">
        <v>5659</v>
      </c>
      <c r="B5035" s="9">
        <v>0</v>
      </c>
    </row>
    <row r="5036" spans="1:3" x14ac:dyDescent="0.25">
      <c r="A5036" t="s">
        <v>5660</v>
      </c>
      <c r="B5036" s="9">
        <v>0.1</v>
      </c>
    </row>
    <row r="5037" spans="1:3" x14ac:dyDescent="0.25">
      <c r="A5037" t="s">
        <v>5661</v>
      </c>
      <c r="B5037" s="9">
        <v>0.05</v>
      </c>
    </row>
    <row r="5038" spans="1:3" x14ac:dyDescent="0.25">
      <c r="A5038" t="s">
        <v>5662</v>
      </c>
      <c r="B5038" s="9">
        <v>0.15</v>
      </c>
    </row>
    <row r="5039" spans="1:3" x14ac:dyDescent="0.25">
      <c r="A5039" t="s">
        <v>5663</v>
      </c>
      <c r="B5039" s="9">
        <v>0.1</v>
      </c>
    </row>
    <row r="5040" spans="1:3" x14ac:dyDescent="0.25">
      <c r="A5040" t="s">
        <v>5664</v>
      </c>
      <c r="B5040" s="9">
        <v>0.1</v>
      </c>
    </row>
    <row r="5041" spans="1:2" x14ac:dyDescent="0.25">
      <c r="A5041" t="s">
        <v>5665</v>
      </c>
      <c r="B5041" s="9">
        <v>0</v>
      </c>
    </row>
    <row r="5042" spans="1:2" x14ac:dyDescent="0.25">
      <c r="A5042" t="s">
        <v>5666</v>
      </c>
      <c r="B5042" s="9">
        <v>0</v>
      </c>
    </row>
    <row r="5043" spans="1:2" x14ac:dyDescent="0.25">
      <c r="A5043" t="s">
        <v>5667</v>
      </c>
      <c r="B5043" s="9">
        <v>0.05</v>
      </c>
    </row>
    <row r="5044" spans="1:2" x14ac:dyDescent="0.25">
      <c r="A5044" t="s">
        <v>5668</v>
      </c>
      <c r="B5044" s="9">
        <v>0.05</v>
      </c>
    </row>
    <row r="5045" spans="1:2" x14ac:dyDescent="0.25">
      <c r="A5045" t="s">
        <v>5669</v>
      </c>
      <c r="B5045" s="9">
        <v>0.05</v>
      </c>
    </row>
    <row r="5046" spans="1:2" x14ac:dyDescent="0.25">
      <c r="A5046" t="s">
        <v>5670</v>
      </c>
      <c r="B5046" s="9">
        <v>0.15</v>
      </c>
    </row>
    <row r="5047" spans="1:2" x14ac:dyDescent="0.25">
      <c r="A5047" t="s">
        <v>5671</v>
      </c>
      <c r="B5047" s="9">
        <v>0.05</v>
      </c>
    </row>
    <row r="5048" spans="1:2" x14ac:dyDescent="0.25">
      <c r="A5048" t="s">
        <v>5672</v>
      </c>
      <c r="B5048" s="9">
        <v>0.1</v>
      </c>
    </row>
    <row r="5049" spans="1:2" x14ac:dyDescent="0.25">
      <c r="A5049" t="s">
        <v>5673</v>
      </c>
      <c r="B5049" s="9">
        <v>0.05</v>
      </c>
    </row>
    <row r="5050" spans="1:2" x14ac:dyDescent="0.25">
      <c r="A5050" t="s">
        <v>5674</v>
      </c>
      <c r="B5050" s="9">
        <v>0.2</v>
      </c>
    </row>
    <row r="5051" spans="1:2" x14ac:dyDescent="0.25">
      <c r="A5051" t="s">
        <v>5675</v>
      </c>
      <c r="B5051" s="9">
        <v>0.1</v>
      </c>
    </row>
    <row r="5052" spans="1:2" x14ac:dyDescent="0.25">
      <c r="A5052" t="s">
        <v>623</v>
      </c>
      <c r="B5052" s="9">
        <v>0.1</v>
      </c>
    </row>
    <row r="5053" spans="1:2" x14ac:dyDescent="0.25">
      <c r="A5053" t="s">
        <v>5676</v>
      </c>
      <c r="B5053" s="9">
        <v>0.1</v>
      </c>
    </row>
    <row r="5054" spans="1:2" x14ac:dyDescent="0.25">
      <c r="A5054" t="s">
        <v>5677</v>
      </c>
      <c r="B5054" s="9">
        <v>0</v>
      </c>
    </row>
    <row r="5055" spans="1:2" x14ac:dyDescent="0.25">
      <c r="A5055" t="s">
        <v>5678</v>
      </c>
      <c r="B5055" s="9">
        <v>0</v>
      </c>
    </row>
    <row r="5056" spans="1:2" x14ac:dyDescent="0.25">
      <c r="A5056" t="s">
        <v>5679</v>
      </c>
      <c r="B5056" s="9">
        <v>0.15</v>
      </c>
    </row>
    <row r="5057" spans="1:2" x14ac:dyDescent="0.25">
      <c r="A5057" t="s">
        <v>5680</v>
      </c>
      <c r="B5057" s="9">
        <v>0.15</v>
      </c>
    </row>
    <row r="5058" spans="1:2" x14ac:dyDescent="0.25">
      <c r="A5058" t="s">
        <v>5681</v>
      </c>
      <c r="B5058" s="9">
        <v>0.15</v>
      </c>
    </row>
    <row r="5059" spans="1:2" x14ac:dyDescent="0.25">
      <c r="A5059" t="s">
        <v>5682</v>
      </c>
      <c r="B5059" s="9">
        <v>0.15</v>
      </c>
    </row>
    <row r="5060" spans="1:2" x14ac:dyDescent="0.25">
      <c r="A5060" t="s">
        <v>5683</v>
      </c>
      <c r="B5060" s="9">
        <v>0</v>
      </c>
    </row>
    <row r="5061" spans="1:2" x14ac:dyDescent="0.25">
      <c r="A5061" t="s">
        <v>5684</v>
      </c>
      <c r="B5061" s="9">
        <v>0</v>
      </c>
    </row>
    <row r="5062" spans="1:2" x14ac:dyDescent="0.25">
      <c r="A5062" t="s">
        <v>5685</v>
      </c>
      <c r="B5062" s="9">
        <v>0.08</v>
      </c>
    </row>
    <row r="5063" spans="1:2" x14ac:dyDescent="0.25">
      <c r="A5063" t="s">
        <v>5686</v>
      </c>
      <c r="B5063" s="9">
        <v>0.1</v>
      </c>
    </row>
    <row r="5064" spans="1:2" x14ac:dyDescent="0.25">
      <c r="A5064" t="s">
        <v>5687</v>
      </c>
      <c r="B5064" s="9">
        <v>0.1</v>
      </c>
    </row>
    <row r="5065" spans="1:2" x14ac:dyDescent="0.25">
      <c r="A5065" t="s">
        <v>5688</v>
      </c>
      <c r="B5065" s="9">
        <v>0.1</v>
      </c>
    </row>
    <row r="5066" spans="1:2" x14ac:dyDescent="0.25">
      <c r="A5066" t="s">
        <v>5689</v>
      </c>
      <c r="B5066" s="9">
        <v>0.1</v>
      </c>
    </row>
    <row r="5067" spans="1:2" x14ac:dyDescent="0.25">
      <c r="A5067" t="s">
        <v>5690</v>
      </c>
      <c r="B5067" s="9">
        <v>0.2</v>
      </c>
    </row>
    <row r="5068" spans="1:2" x14ac:dyDescent="0.25">
      <c r="A5068" t="s">
        <v>5691</v>
      </c>
      <c r="B5068" s="9">
        <v>0.2</v>
      </c>
    </row>
    <row r="5069" spans="1:2" x14ac:dyDescent="0.25">
      <c r="A5069" t="s">
        <v>5692</v>
      </c>
      <c r="B5069" s="9">
        <v>0</v>
      </c>
    </row>
    <row r="5070" spans="1:2" x14ac:dyDescent="0.25">
      <c r="A5070" t="s">
        <v>5693</v>
      </c>
      <c r="B5070" s="9">
        <v>0</v>
      </c>
    </row>
    <row r="5071" spans="1:2" x14ac:dyDescent="0.25">
      <c r="A5071" t="s">
        <v>5694</v>
      </c>
      <c r="B5071" s="9">
        <v>0</v>
      </c>
    </row>
    <row r="5072" spans="1:2" x14ac:dyDescent="0.25">
      <c r="A5072" t="s">
        <v>5695</v>
      </c>
      <c r="B5072" s="9">
        <v>0</v>
      </c>
    </row>
    <row r="5073" spans="1:2" x14ac:dyDescent="0.25">
      <c r="A5073" t="s">
        <v>5696</v>
      </c>
      <c r="B5073" s="9">
        <v>0</v>
      </c>
    </row>
    <row r="5074" spans="1:2" x14ac:dyDescent="0.25">
      <c r="A5074" t="s">
        <v>5697</v>
      </c>
      <c r="B5074" s="9">
        <v>0</v>
      </c>
    </row>
    <row r="5075" spans="1:2" x14ac:dyDescent="0.25">
      <c r="A5075" t="s">
        <v>5698</v>
      </c>
      <c r="B5075" s="9">
        <v>0</v>
      </c>
    </row>
    <row r="5076" spans="1:2" x14ac:dyDescent="0.25">
      <c r="A5076" t="s">
        <v>5699</v>
      </c>
      <c r="B5076" s="9">
        <v>0</v>
      </c>
    </row>
    <row r="5077" spans="1:2" x14ac:dyDescent="0.25">
      <c r="A5077" t="s">
        <v>5700</v>
      </c>
      <c r="B5077" s="9">
        <v>0</v>
      </c>
    </row>
    <row r="5078" spans="1:2" x14ac:dyDescent="0.25">
      <c r="A5078" t="s">
        <v>5701</v>
      </c>
      <c r="B5078" s="9">
        <v>0.05</v>
      </c>
    </row>
    <row r="5079" spans="1:2" x14ac:dyDescent="0.25">
      <c r="A5079" t="s">
        <v>5702</v>
      </c>
      <c r="B5079" s="9">
        <v>0.05</v>
      </c>
    </row>
    <row r="5080" spans="1:2" x14ac:dyDescent="0.25">
      <c r="A5080" t="s">
        <v>5703</v>
      </c>
      <c r="B5080" s="9">
        <v>0.05</v>
      </c>
    </row>
    <row r="5081" spans="1:2" x14ac:dyDescent="0.25">
      <c r="A5081" t="s">
        <v>5704</v>
      </c>
      <c r="B5081" s="9">
        <v>0.05</v>
      </c>
    </row>
    <row r="5082" spans="1:2" x14ac:dyDescent="0.25">
      <c r="A5082" t="s">
        <v>5705</v>
      </c>
      <c r="B5082" s="9">
        <v>0.05</v>
      </c>
    </row>
    <row r="5083" spans="1:2" x14ac:dyDescent="0.25">
      <c r="A5083" t="s">
        <v>5706</v>
      </c>
      <c r="B5083" s="9">
        <v>0.05</v>
      </c>
    </row>
    <row r="5084" spans="1:2" x14ac:dyDescent="0.25">
      <c r="A5084" t="s">
        <v>5707</v>
      </c>
      <c r="B5084" s="9">
        <v>0.05</v>
      </c>
    </row>
    <row r="5085" spans="1:2" x14ac:dyDescent="0.25">
      <c r="A5085" t="s">
        <v>5708</v>
      </c>
      <c r="B5085" s="9">
        <v>0.05</v>
      </c>
    </row>
    <row r="5086" spans="1:2" x14ac:dyDescent="0.25">
      <c r="A5086" t="s">
        <v>5709</v>
      </c>
      <c r="B5086" s="9">
        <v>0.05</v>
      </c>
    </row>
    <row r="5087" spans="1:2" x14ac:dyDescent="0.25">
      <c r="A5087" t="s">
        <v>5710</v>
      </c>
      <c r="B5087" s="9">
        <v>0.05</v>
      </c>
    </row>
    <row r="5088" spans="1:2" x14ac:dyDescent="0.25">
      <c r="A5088" t="s">
        <v>5711</v>
      </c>
      <c r="B5088" s="9">
        <v>0.05</v>
      </c>
    </row>
    <row r="5089" spans="1:2" x14ac:dyDescent="0.25">
      <c r="A5089" t="s">
        <v>5712</v>
      </c>
      <c r="B5089" s="9">
        <v>0.05</v>
      </c>
    </row>
    <row r="5090" spans="1:2" x14ac:dyDescent="0.25">
      <c r="A5090" t="s">
        <v>5713</v>
      </c>
      <c r="B5090" s="9">
        <v>0.05</v>
      </c>
    </row>
    <row r="5091" spans="1:2" x14ac:dyDescent="0.25">
      <c r="A5091" t="s">
        <v>5714</v>
      </c>
      <c r="B5091" s="9">
        <v>0.05</v>
      </c>
    </row>
    <row r="5092" spans="1:2" x14ac:dyDescent="0.25">
      <c r="A5092" t="s">
        <v>5715</v>
      </c>
      <c r="B5092" s="9">
        <v>0.05</v>
      </c>
    </row>
    <row r="5093" spans="1:2" x14ac:dyDescent="0.25">
      <c r="A5093" t="s">
        <v>5716</v>
      </c>
      <c r="B5093" s="9">
        <v>0.05</v>
      </c>
    </row>
    <row r="5094" spans="1:2" x14ac:dyDescent="0.25">
      <c r="A5094" t="s">
        <v>5717</v>
      </c>
      <c r="B5094" s="9">
        <v>0.05</v>
      </c>
    </row>
    <row r="5095" spans="1:2" x14ac:dyDescent="0.25">
      <c r="A5095" t="s">
        <v>5718</v>
      </c>
      <c r="B5095" s="9">
        <v>0.05</v>
      </c>
    </row>
    <row r="5096" spans="1:2" x14ac:dyDescent="0.25">
      <c r="A5096" t="s">
        <v>5719</v>
      </c>
      <c r="B5096" s="9">
        <v>0.05</v>
      </c>
    </row>
    <row r="5097" spans="1:2" x14ac:dyDescent="0.25">
      <c r="A5097" t="s">
        <v>5720</v>
      </c>
      <c r="B5097" s="9">
        <v>0.05</v>
      </c>
    </row>
    <row r="5098" spans="1:2" x14ac:dyDescent="0.25">
      <c r="A5098" t="s">
        <v>5721</v>
      </c>
      <c r="B5098" s="9">
        <v>0.05</v>
      </c>
    </row>
    <row r="5099" spans="1:2" x14ac:dyDescent="0.25">
      <c r="A5099" t="s">
        <v>5722</v>
      </c>
      <c r="B5099" s="9">
        <v>0.05</v>
      </c>
    </row>
    <row r="5100" spans="1:2" x14ac:dyDescent="0.25">
      <c r="A5100" t="s">
        <v>5723</v>
      </c>
      <c r="B5100" s="9">
        <v>0.05</v>
      </c>
    </row>
    <row r="5101" spans="1:2" x14ac:dyDescent="0.25">
      <c r="A5101" t="s">
        <v>5724</v>
      </c>
      <c r="B5101" s="9">
        <v>0</v>
      </c>
    </row>
    <row r="5102" spans="1:2" x14ac:dyDescent="0.25">
      <c r="A5102" t="s">
        <v>5725</v>
      </c>
      <c r="B5102" s="9">
        <v>0.05</v>
      </c>
    </row>
    <row r="5103" spans="1:2" x14ac:dyDescent="0.25">
      <c r="A5103" t="s">
        <v>5726</v>
      </c>
      <c r="B5103" s="9">
        <v>0.05</v>
      </c>
    </row>
    <row r="5104" spans="1:2" x14ac:dyDescent="0.25">
      <c r="A5104" t="s">
        <v>5727</v>
      </c>
      <c r="B5104" s="9">
        <v>0.05</v>
      </c>
    </row>
    <row r="5105" spans="1:3" x14ac:dyDescent="0.25">
      <c r="A5105" t="s">
        <v>5728</v>
      </c>
      <c r="B5105" s="9">
        <v>0.05</v>
      </c>
    </row>
    <row r="5106" spans="1:3" x14ac:dyDescent="0.25">
      <c r="A5106" t="s">
        <v>5729</v>
      </c>
      <c r="B5106" s="9">
        <v>0.05</v>
      </c>
    </row>
    <row r="5107" spans="1:3" x14ac:dyDescent="0.25">
      <c r="A5107" t="s">
        <v>5730</v>
      </c>
      <c r="B5107" s="9">
        <v>0.05</v>
      </c>
    </row>
    <row r="5108" spans="1:3" x14ac:dyDescent="0.25">
      <c r="A5108" t="s">
        <v>5731</v>
      </c>
      <c r="B5108" s="9">
        <v>0.05</v>
      </c>
    </row>
    <row r="5109" spans="1:3" x14ac:dyDescent="0.25">
      <c r="A5109" t="s">
        <v>5732</v>
      </c>
      <c r="B5109" s="9">
        <v>0.05</v>
      </c>
    </row>
    <row r="5110" spans="1:3" x14ac:dyDescent="0.25">
      <c r="A5110" t="s">
        <v>5733</v>
      </c>
      <c r="B5110" s="9">
        <v>0.05</v>
      </c>
    </row>
    <row r="5111" spans="1:3" x14ac:dyDescent="0.25">
      <c r="A5111" t="s">
        <v>5734</v>
      </c>
      <c r="B5111" s="9">
        <v>0</v>
      </c>
    </row>
    <row r="5112" spans="1:3" x14ac:dyDescent="0.25">
      <c r="A5112" t="s">
        <v>5735</v>
      </c>
      <c r="B5112" s="9">
        <v>0</v>
      </c>
    </row>
    <row r="5113" spans="1:3" x14ac:dyDescent="0.25">
      <c r="A5113" t="s">
        <v>5736</v>
      </c>
      <c r="B5113" s="9">
        <v>0</v>
      </c>
    </row>
    <row r="5114" spans="1:3" x14ac:dyDescent="0.25">
      <c r="A5114" t="s">
        <v>5737</v>
      </c>
      <c r="B5114" s="9">
        <v>0.1</v>
      </c>
    </row>
    <row r="5115" spans="1:3" x14ac:dyDescent="0.25">
      <c r="A5115" t="s">
        <v>5738</v>
      </c>
      <c r="B5115" s="9">
        <v>0.1</v>
      </c>
    </row>
    <row r="5116" spans="1:3" x14ac:dyDescent="0.25">
      <c r="A5116" t="s">
        <v>5739</v>
      </c>
      <c r="B5116" s="9">
        <v>0.1</v>
      </c>
    </row>
    <row r="5117" spans="1:3" x14ac:dyDescent="0.25">
      <c r="A5117" t="s">
        <v>5740</v>
      </c>
      <c r="B5117" s="9">
        <v>0.05</v>
      </c>
    </row>
    <row r="5118" spans="1:3" x14ac:dyDescent="0.25">
      <c r="A5118" t="s">
        <v>5741</v>
      </c>
      <c r="B5118" s="9">
        <v>0.1</v>
      </c>
    </row>
    <row r="5119" spans="1:3" x14ac:dyDescent="0.25">
      <c r="A5119" t="s">
        <v>5742</v>
      </c>
      <c r="B5119" s="9">
        <v>0.1</v>
      </c>
    </row>
    <row r="5120" spans="1:3" x14ac:dyDescent="0.25">
      <c r="A5120" t="s">
        <v>2</v>
      </c>
      <c r="B5120" s="9">
        <v>0.1</v>
      </c>
      <c r="C5120" t="s">
        <v>2</v>
      </c>
    </row>
    <row r="5121" spans="1:3" x14ac:dyDescent="0.25">
      <c r="A5121" t="s">
        <v>3</v>
      </c>
      <c r="B5121" s="9">
        <v>0.1</v>
      </c>
      <c r="C5121" t="s">
        <v>3</v>
      </c>
    </row>
    <row r="5122" spans="1:3" x14ac:dyDescent="0.25">
      <c r="A5122" t="s">
        <v>5743</v>
      </c>
      <c r="B5122" s="9">
        <v>0.1</v>
      </c>
    </row>
    <row r="5123" spans="1:3" x14ac:dyDescent="0.25">
      <c r="A5123" t="s">
        <v>5744</v>
      </c>
      <c r="B5123" s="9">
        <v>0.1</v>
      </c>
    </row>
    <row r="5124" spans="1:3" x14ac:dyDescent="0.25">
      <c r="A5124" t="s">
        <v>4</v>
      </c>
      <c r="B5124" s="9">
        <v>0.1</v>
      </c>
      <c r="C5124" t="s">
        <v>4</v>
      </c>
    </row>
    <row r="5125" spans="1:3" x14ac:dyDescent="0.25">
      <c r="A5125" t="s">
        <v>5</v>
      </c>
      <c r="B5125" s="9">
        <v>0.1</v>
      </c>
      <c r="C5125" t="s">
        <v>5</v>
      </c>
    </row>
    <row r="5126" spans="1:3" x14ac:dyDescent="0.25">
      <c r="A5126" t="s">
        <v>5745</v>
      </c>
      <c r="B5126" s="9">
        <v>0.1</v>
      </c>
    </row>
    <row r="5127" spans="1:3" x14ac:dyDescent="0.25">
      <c r="A5127" t="s">
        <v>6</v>
      </c>
      <c r="B5127" s="9">
        <v>0.1</v>
      </c>
      <c r="C5127" t="s">
        <v>6</v>
      </c>
    </row>
    <row r="5128" spans="1:3" x14ac:dyDescent="0.25">
      <c r="A5128" t="s">
        <v>7</v>
      </c>
      <c r="B5128" s="9">
        <v>0.1</v>
      </c>
      <c r="C5128" t="s">
        <v>7</v>
      </c>
    </row>
    <row r="5129" spans="1:3" x14ac:dyDescent="0.25">
      <c r="A5129" t="s">
        <v>5746</v>
      </c>
      <c r="B5129" s="9">
        <v>0.1</v>
      </c>
    </row>
    <row r="5130" spans="1:3" x14ac:dyDescent="0.25">
      <c r="A5130" t="s">
        <v>8</v>
      </c>
      <c r="B5130" s="9">
        <v>0.1</v>
      </c>
      <c r="C5130" t="s">
        <v>8</v>
      </c>
    </row>
    <row r="5131" spans="1:3" x14ac:dyDescent="0.25">
      <c r="A5131" t="s">
        <v>9</v>
      </c>
      <c r="B5131" s="9">
        <v>0.1</v>
      </c>
      <c r="C5131" t="s">
        <v>9</v>
      </c>
    </row>
    <row r="5132" spans="1:3" x14ac:dyDescent="0.25">
      <c r="A5132" t="s">
        <v>5747</v>
      </c>
      <c r="B5132" s="9">
        <v>0.1</v>
      </c>
    </row>
    <row r="5133" spans="1:3" x14ac:dyDescent="0.25">
      <c r="A5133" t="s">
        <v>5748</v>
      </c>
      <c r="B5133" s="9">
        <v>0.1</v>
      </c>
    </row>
    <row r="5134" spans="1:3" x14ac:dyDescent="0.25">
      <c r="A5134" t="s">
        <v>5749</v>
      </c>
      <c r="B5134" s="9">
        <v>0.1</v>
      </c>
    </row>
    <row r="5135" spans="1:3" x14ac:dyDescent="0.25">
      <c r="A5135" t="s">
        <v>311</v>
      </c>
      <c r="B5135" s="9">
        <v>0.1</v>
      </c>
    </row>
    <row r="5136" spans="1:3" x14ac:dyDescent="0.25">
      <c r="A5136" t="s">
        <v>319</v>
      </c>
      <c r="B5136" s="9">
        <v>0.1</v>
      </c>
    </row>
    <row r="5137" spans="1:2" x14ac:dyDescent="0.25">
      <c r="A5137" t="s">
        <v>375</v>
      </c>
      <c r="B5137" s="9">
        <v>0.1</v>
      </c>
    </row>
    <row r="5138" spans="1:2" x14ac:dyDescent="0.25">
      <c r="A5138" t="s">
        <v>368</v>
      </c>
      <c r="B5138" s="9">
        <v>0.1</v>
      </c>
    </row>
    <row r="5139" spans="1:2" x14ac:dyDescent="0.25">
      <c r="A5139" t="s">
        <v>5750</v>
      </c>
      <c r="B5139" s="9">
        <v>0.1</v>
      </c>
    </row>
    <row r="5140" spans="1:2" x14ac:dyDescent="0.25">
      <c r="A5140" t="s">
        <v>5751</v>
      </c>
      <c r="B5140" s="9">
        <v>0.1</v>
      </c>
    </row>
    <row r="5141" spans="1:2" x14ac:dyDescent="0.25">
      <c r="A5141" t="s">
        <v>298</v>
      </c>
      <c r="B5141" s="9">
        <v>0.1</v>
      </c>
    </row>
    <row r="5142" spans="1:2" x14ac:dyDescent="0.25">
      <c r="A5142" t="s">
        <v>5752</v>
      </c>
      <c r="B5142" s="9">
        <v>0.15</v>
      </c>
    </row>
    <row r="5143" spans="1:2" x14ac:dyDescent="0.25">
      <c r="A5143" t="s">
        <v>5753</v>
      </c>
      <c r="B5143" s="9">
        <v>0.02</v>
      </c>
    </row>
    <row r="5144" spans="1:2" x14ac:dyDescent="0.25">
      <c r="A5144" t="s">
        <v>5754</v>
      </c>
      <c r="B5144" s="9">
        <v>0.02</v>
      </c>
    </row>
    <row r="5145" spans="1:2" x14ac:dyDescent="0.25">
      <c r="A5145" t="s">
        <v>5755</v>
      </c>
      <c r="B5145" s="9">
        <v>0</v>
      </c>
    </row>
    <row r="5146" spans="1:2" x14ac:dyDescent="0.25">
      <c r="A5146" t="s">
        <v>5756</v>
      </c>
      <c r="B5146" s="9">
        <v>0.15</v>
      </c>
    </row>
    <row r="5147" spans="1:2" x14ac:dyDescent="0.25">
      <c r="A5147" t="s">
        <v>5757</v>
      </c>
      <c r="B5147" s="9">
        <v>0.15</v>
      </c>
    </row>
    <row r="5148" spans="1:2" x14ac:dyDescent="0.25">
      <c r="A5148" t="s">
        <v>5758</v>
      </c>
      <c r="B5148" s="9">
        <v>0.15</v>
      </c>
    </row>
    <row r="5149" spans="1:2" x14ac:dyDescent="0.25">
      <c r="A5149" t="s">
        <v>5759</v>
      </c>
      <c r="B5149" s="9">
        <v>0.02</v>
      </c>
    </row>
    <row r="5150" spans="1:2" x14ac:dyDescent="0.25">
      <c r="A5150" t="s">
        <v>5760</v>
      </c>
      <c r="B5150" s="9">
        <v>0.15</v>
      </c>
    </row>
    <row r="5151" spans="1:2" x14ac:dyDescent="0.25">
      <c r="A5151" t="s">
        <v>5761</v>
      </c>
      <c r="B5151" s="9">
        <v>0.02</v>
      </c>
    </row>
    <row r="5152" spans="1:2" x14ac:dyDescent="0.25">
      <c r="A5152" t="s">
        <v>5762</v>
      </c>
      <c r="B5152" s="9">
        <v>0.15</v>
      </c>
    </row>
    <row r="5153" spans="1:2" x14ac:dyDescent="0.25">
      <c r="A5153" t="s">
        <v>5763</v>
      </c>
      <c r="B5153" s="9">
        <v>0.15</v>
      </c>
    </row>
    <row r="5154" spans="1:2" x14ac:dyDescent="0.25">
      <c r="A5154" t="s">
        <v>5764</v>
      </c>
      <c r="B5154" s="9">
        <v>0.15</v>
      </c>
    </row>
    <row r="5155" spans="1:2" x14ac:dyDescent="0.25">
      <c r="A5155" t="s">
        <v>5765</v>
      </c>
      <c r="B5155" s="9">
        <v>0.15</v>
      </c>
    </row>
    <row r="5156" spans="1:2" x14ac:dyDescent="0.25">
      <c r="A5156" t="s">
        <v>5766</v>
      </c>
      <c r="B5156" s="9">
        <v>0.15</v>
      </c>
    </row>
    <row r="5157" spans="1:2" x14ac:dyDescent="0.25">
      <c r="A5157" t="s">
        <v>5767</v>
      </c>
      <c r="B5157" s="9">
        <v>0</v>
      </c>
    </row>
    <row r="5158" spans="1:2" x14ac:dyDescent="0.25">
      <c r="A5158" t="s">
        <v>5768</v>
      </c>
      <c r="B5158" s="9">
        <v>0.15</v>
      </c>
    </row>
    <row r="5159" spans="1:2" x14ac:dyDescent="0.25">
      <c r="A5159" t="s">
        <v>5769</v>
      </c>
      <c r="B5159" s="9">
        <v>0</v>
      </c>
    </row>
    <row r="5160" spans="1:2" x14ac:dyDescent="0.25">
      <c r="A5160" t="s">
        <v>5770</v>
      </c>
      <c r="B5160" s="9">
        <v>0.02</v>
      </c>
    </row>
    <row r="5161" spans="1:2" x14ac:dyDescent="0.25">
      <c r="A5161" t="s">
        <v>5771</v>
      </c>
      <c r="B5161" s="9">
        <v>0</v>
      </c>
    </row>
    <row r="5162" spans="1:2" x14ac:dyDescent="0.25">
      <c r="A5162" t="s">
        <v>5772</v>
      </c>
      <c r="B5162" s="9">
        <v>0</v>
      </c>
    </row>
    <row r="5163" spans="1:2" x14ac:dyDescent="0.25">
      <c r="A5163" t="s">
        <v>5773</v>
      </c>
      <c r="B5163" s="9">
        <v>0.15</v>
      </c>
    </row>
    <row r="5164" spans="1:2" x14ac:dyDescent="0.25">
      <c r="A5164" t="s">
        <v>5774</v>
      </c>
      <c r="B5164" s="9">
        <v>0.02</v>
      </c>
    </row>
    <row r="5165" spans="1:2" x14ac:dyDescent="0.25">
      <c r="A5165" t="s">
        <v>5775</v>
      </c>
      <c r="B5165" s="9">
        <v>0</v>
      </c>
    </row>
    <row r="5166" spans="1:2" x14ac:dyDescent="0.25">
      <c r="A5166" t="s">
        <v>5776</v>
      </c>
      <c r="B5166" s="9">
        <v>0</v>
      </c>
    </row>
    <row r="5167" spans="1:2" x14ac:dyDescent="0.25">
      <c r="A5167" t="s">
        <v>5777</v>
      </c>
      <c r="B5167" s="9">
        <v>0</v>
      </c>
    </row>
    <row r="5168" spans="1:2" x14ac:dyDescent="0.25">
      <c r="A5168" t="s">
        <v>5778</v>
      </c>
      <c r="B5168" s="9">
        <v>0.02</v>
      </c>
    </row>
    <row r="5169" spans="1:3" x14ac:dyDescent="0.25">
      <c r="A5169" t="s">
        <v>5779</v>
      </c>
      <c r="B5169" s="9">
        <v>0.15</v>
      </c>
    </row>
    <row r="5170" spans="1:3" x14ac:dyDescent="0.25">
      <c r="A5170" t="s">
        <v>5780</v>
      </c>
      <c r="B5170" s="9">
        <v>0.02</v>
      </c>
    </row>
    <row r="5171" spans="1:3" x14ac:dyDescent="0.25">
      <c r="A5171" t="s">
        <v>5781</v>
      </c>
      <c r="B5171" s="9">
        <v>0.15</v>
      </c>
    </row>
    <row r="5172" spans="1:3" x14ac:dyDescent="0.25">
      <c r="A5172" t="s">
        <v>5782</v>
      </c>
      <c r="B5172" s="9">
        <v>0.15</v>
      </c>
    </row>
    <row r="5173" spans="1:3" x14ac:dyDescent="0.25">
      <c r="A5173" t="s">
        <v>5783</v>
      </c>
      <c r="B5173" s="9">
        <v>0.02</v>
      </c>
    </row>
    <row r="5174" spans="1:3" x14ac:dyDescent="0.25">
      <c r="A5174" t="s">
        <v>5784</v>
      </c>
      <c r="B5174" s="9">
        <v>0</v>
      </c>
    </row>
    <row r="5175" spans="1:3" x14ac:dyDescent="0.25">
      <c r="A5175" t="s">
        <v>5785</v>
      </c>
      <c r="B5175" s="9">
        <v>0.15</v>
      </c>
    </row>
    <row r="5176" spans="1:3" x14ac:dyDescent="0.25">
      <c r="A5176" t="s">
        <v>5786</v>
      </c>
      <c r="B5176" s="9">
        <v>0.15</v>
      </c>
    </row>
    <row r="5177" spans="1:3" x14ac:dyDescent="0.25">
      <c r="A5177" t="s">
        <v>5787</v>
      </c>
      <c r="B5177" s="9">
        <v>0</v>
      </c>
    </row>
    <row r="5178" spans="1:3" x14ac:dyDescent="0.25">
      <c r="A5178" t="s">
        <v>5788</v>
      </c>
      <c r="B5178" s="9">
        <v>0</v>
      </c>
    </row>
    <row r="5179" spans="1:3" x14ac:dyDescent="0.25">
      <c r="A5179" t="s">
        <v>5789</v>
      </c>
      <c r="B5179" s="9">
        <v>0.15</v>
      </c>
    </row>
    <row r="5180" spans="1:3" x14ac:dyDescent="0.25">
      <c r="A5180" t="s">
        <v>5790</v>
      </c>
      <c r="B5180" s="9">
        <v>0.15</v>
      </c>
    </row>
    <row r="5181" spans="1:3" x14ac:dyDescent="0.25">
      <c r="A5181" t="s">
        <v>5791</v>
      </c>
      <c r="B5181" s="9">
        <v>0</v>
      </c>
    </row>
    <row r="5182" spans="1:3" x14ac:dyDescent="0.25">
      <c r="A5182" t="s">
        <v>10</v>
      </c>
      <c r="B5182" s="9">
        <v>0.18</v>
      </c>
      <c r="C5182" t="s">
        <v>10</v>
      </c>
    </row>
    <row r="5183" spans="1:3" x14ac:dyDescent="0.25">
      <c r="A5183" t="s">
        <v>5792</v>
      </c>
      <c r="B5183" s="9">
        <v>0.18</v>
      </c>
    </row>
    <row r="5184" spans="1:3" x14ac:dyDescent="0.25">
      <c r="A5184" t="s">
        <v>5793</v>
      </c>
      <c r="B5184" s="9">
        <v>0.1</v>
      </c>
    </row>
    <row r="5185" spans="1:3" x14ac:dyDescent="0.25">
      <c r="A5185" t="s">
        <v>5794</v>
      </c>
      <c r="B5185" s="9">
        <v>0</v>
      </c>
    </row>
    <row r="5186" spans="1:3" x14ac:dyDescent="0.25">
      <c r="A5186" t="s">
        <v>5795</v>
      </c>
      <c r="B5186" s="9">
        <v>0.08</v>
      </c>
    </row>
    <row r="5187" spans="1:3" x14ac:dyDescent="0.25">
      <c r="A5187" t="s">
        <v>5796</v>
      </c>
      <c r="B5187" s="9">
        <v>0.08</v>
      </c>
    </row>
    <row r="5188" spans="1:3" x14ac:dyDescent="0.25">
      <c r="A5188" t="s">
        <v>5797</v>
      </c>
      <c r="B5188" s="9">
        <v>0.15</v>
      </c>
    </row>
    <row r="5189" spans="1:3" x14ac:dyDescent="0.25">
      <c r="A5189" t="s">
        <v>5798</v>
      </c>
      <c r="B5189" s="9">
        <v>0.15</v>
      </c>
    </row>
    <row r="5190" spans="1:3" x14ac:dyDescent="0.25">
      <c r="A5190" t="s">
        <v>5799</v>
      </c>
      <c r="B5190" s="9">
        <v>0.18</v>
      </c>
    </row>
    <row r="5191" spans="1:3" x14ac:dyDescent="0.25">
      <c r="A5191" t="s">
        <v>11</v>
      </c>
      <c r="B5191" s="9">
        <v>0.18</v>
      </c>
      <c r="C5191" t="s">
        <v>11</v>
      </c>
    </row>
    <row r="5192" spans="1:3" x14ac:dyDescent="0.25">
      <c r="A5192" t="s">
        <v>5800</v>
      </c>
      <c r="B5192" s="9">
        <v>0</v>
      </c>
    </row>
    <row r="5193" spans="1:3" x14ac:dyDescent="0.25">
      <c r="A5193" t="s">
        <v>5801</v>
      </c>
      <c r="B5193" s="9">
        <v>0</v>
      </c>
    </row>
    <row r="5194" spans="1:3" x14ac:dyDescent="0.25">
      <c r="A5194" t="s">
        <v>5802</v>
      </c>
      <c r="B5194" s="9">
        <v>0.03</v>
      </c>
    </row>
    <row r="5195" spans="1:3" x14ac:dyDescent="0.25">
      <c r="A5195" t="s">
        <v>5803</v>
      </c>
      <c r="B5195" s="9">
        <v>0.05</v>
      </c>
    </row>
    <row r="5196" spans="1:3" x14ac:dyDescent="0.25">
      <c r="A5196" t="s">
        <v>5804</v>
      </c>
      <c r="B5196" s="9">
        <v>0.15</v>
      </c>
    </row>
    <row r="5197" spans="1:3" x14ac:dyDescent="0.25">
      <c r="A5197" t="s">
        <v>5805</v>
      </c>
      <c r="B5197" s="9">
        <v>0.18</v>
      </c>
    </row>
    <row r="5198" spans="1:3" x14ac:dyDescent="0.25">
      <c r="A5198" t="s">
        <v>5806</v>
      </c>
      <c r="B5198" s="9">
        <v>0.04</v>
      </c>
    </row>
    <row r="5199" spans="1:3" x14ac:dyDescent="0.25">
      <c r="A5199" t="s">
        <v>5807</v>
      </c>
      <c r="B5199" s="9">
        <v>0.04</v>
      </c>
    </row>
    <row r="5200" spans="1:3" x14ac:dyDescent="0.25">
      <c r="A5200" t="s">
        <v>5808</v>
      </c>
      <c r="B5200" s="9">
        <v>0.15</v>
      </c>
    </row>
    <row r="5201" spans="1:2" x14ac:dyDescent="0.25">
      <c r="A5201" t="s">
        <v>5809</v>
      </c>
      <c r="B5201" s="9">
        <v>0</v>
      </c>
    </row>
    <row r="5202" spans="1:2" x14ac:dyDescent="0.25">
      <c r="A5202" t="s">
        <v>5810</v>
      </c>
      <c r="B5202" s="9">
        <v>0</v>
      </c>
    </row>
    <row r="5203" spans="1:2" x14ac:dyDescent="0.25">
      <c r="A5203" t="s">
        <v>5811</v>
      </c>
      <c r="B5203" s="9">
        <v>0</v>
      </c>
    </row>
    <row r="5204" spans="1:2" x14ac:dyDescent="0.25">
      <c r="A5204" t="s">
        <v>5812</v>
      </c>
      <c r="B5204" s="9">
        <v>0</v>
      </c>
    </row>
    <row r="5205" spans="1:2" x14ac:dyDescent="0.25">
      <c r="A5205" t="s">
        <v>5813</v>
      </c>
      <c r="B5205" s="9">
        <v>0</v>
      </c>
    </row>
    <row r="5206" spans="1:2" x14ac:dyDescent="0.25">
      <c r="A5206" t="s">
        <v>5814</v>
      </c>
      <c r="B5206" s="9">
        <v>0</v>
      </c>
    </row>
    <row r="5207" spans="1:2" x14ac:dyDescent="0.25">
      <c r="A5207" t="s">
        <v>5815</v>
      </c>
      <c r="B5207" s="9">
        <v>0</v>
      </c>
    </row>
    <row r="5208" spans="1:2" x14ac:dyDescent="0.25">
      <c r="A5208" t="s">
        <v>5816</v>
      </c>
      <c r="B5208" s="9">
        <v>0</v>
      </c>
    </row>
    <row r="5209" spans="1:2" x14ac:dyDescent="0.25">
      <c r="A5209" t="s">
        <v>5817</v>
      </c>
      <c r="B5209" s="9">
        <v>0</v>
      </c>
    </row>
    <row r="5210" spans="1:2" x14ac:dyDescent="0.25">
      <c r="A5210" t="s">
        <v>5818</v>
      </c>
      <c r="B5210" s="9">
        <v>0</v>
      </c>
    </row>
    <row r="5211" spans="1:2" x14ac:dyDescent="0.25">
      <c r="A5211" t="s">
        <v>5819</v>
      </c>
      <c r="B5211" s="9">
        <v>0</v>
      </c>
    </row>
    <row r="5212" spans="1:2" x14ac:dyDescent="0.25">
      <c r="A5212" t="s">
        <v>5820</v>
      </c>
      <c r="B5212" s="9">
        <v>0</v>
      </c>
    </row>
    <row r="5213" spans="1:2" x14ac:dyDescent="0.25">
      <c r="A5213" t="s">
        <v>5821</v>
      </c>
      <c r="B5213" s="9">
        <v>0</v>
      </c>
    </row>
    <row r="5214" spans="1:2" x14ac:dyDescent="0.25">
      <c r="A5214" t="s">
        <v>5822</v>
      </c>
      <c r="B5214" s="9">
        <v>0</v>
      </c>
    </row>
    <row r="5215" spans="1:2" x14ac:dyDescent="0.25">
      <c r="A5215" t="s">
        <v>5823</v>
      </c>
      <c r="B5215" s="9">
        <v>0</v>
      </c>
    </row>
    <row r="5216" spans="1:2" x14ac:dyDescent="0.25">
      <c r="A5216" t="s">
        <v>5824</v>
      </c>
      <c r="B5216" s="9">
        <v>0</v>
      </c>
    </row>
    <row r="5217" spans="1:2" x14ac:dyDescent="0.25">
      <c r="A5217" t="s">
        <v>5825</v>
      </c>
      <c r="B5217" s="9">
        <v>0</v>
      </c>
    </row>
    <row r="5218" spans="1:2" x14ac:dyDescent="0.25">
      <c r="A5218" t="s">
        <v>5826</v>
      </c>
      <c r="B5218" s="9">
        <v>0</v>
      </c>
    </row>
    <row r="5219" spans="1:2" x14ac:dyDescent="0.25">
      <c r="A5219" t="s">
        <v>5827</v>
      </c>
      <c r="B5219" s="9">
        <v>0</v>
      </c>
    </row>
    <row r="5220" spans="1:2" x14ac:dyDescent="0.25">
      <c r="A5220" t="s">
        <v>5828</v>
      </c>
      <c r="B5220" s="9">
        <v>0</v>
      </c>
    </row>
    <row r="5221" spans="1:2" x14ac:dyDescent="0.25">
      <c r="A5221" t="s">
        <v>5829</v>
      </c>
      <c r="B5221" s="9">
        <v>0</v>
      </c>
    </row>
    <row r="5222" spans="1:2" x14ac:dyDescent="0.25">
      <c r="A5222" t="s">
        <v>5830</v>
      </c>
      <c r="B5222" s="9">
        <v>0</v>
      </c>
    </row>
    <row r="5223" spans="1:2" x14ac:dyDescent="0.25">
      <c r="A5223" t="s">
        <v>5831</v>
      </c>
      <c r="B5223" s="9">
        <v>0</v>
      </c>
    </row>
    <row r="5224" spans="1:2" x14ac:dyDescent="0.25">
      <c r="A5224" t="s">
        <v>5832</v>
      </c>
      <c r="B5224" s="9">
        <v>0</v>
      </c>
    </row>
    <row r="5225" spans="1:2" x14ac:dyDescent="0.25">
      <c r="A5225" t="s">
        <v>5833</v>
      </c>
      <c r="B5225" s="9">
        <v>0</v>
      </c>
    </row>
    <row r="5226" spans="1:2" x14ac:dyDescent="0.25">
      <c r="A5226" t="s">
        <v>5834</v>
      </c>
      <c r="B5226" s="9">
        <v>0</v>
      </c>
    </row>
    <row r="5227" spans="1:2" x14ac:dyDescent="0.25">
      <c r="A5227" t="s">
        <v>5835</v>
      </c>
      <c r="B5227" s="9">
        <v>0</v>
      </c>
    </row>
    <row r="5228" spans="1:2" x14ac:dyDescent="0.25">
      <c r="A5228" t="s">
        <v>5836</v>
      </c>
      <c r="B5228" s="9">
        <v>0</v>
      </c>
    </row>
    <row r="5229" spans="1:2" x14ac:dyDescent="0.25">
      <c r="A5229" t="s">
        <v>5837</v>
      </c>
      <c r="B5229" s="9">
        <v>0</v>
      </c>
    </row>
    <row r="5230" spans="1:2" x14ac:dyDescent="0.25">
      <c r="A5230" t="s">
        <v>5838</v>
      </c>
      <c r="B5230" s="9">
        <v>0</v>
      </c>
    </row>
    <row r="5231" spans="1:2" x14ac:dyDescent="0.25">
      <c r="A5231" t="s">
        <v>5839</v>
      </c>
      <c r="B5231" s="9">
        <v>0</v>
      </c>
    </row>
    <row r="5232" spans="1:2" x14ac:dyDescent="0.25">
      <c r="A5232" t="s">
        <v>5840</v>
      </c>
      <c r="B5232" s="9">
        <v>0</v>
      </c>
    </row>
    <row r="5233" spans="1:2" x14ac:dyDescent="0.25">
      <c r="A5233" t="s">
        <v>5841</v>
      </c>
      <c r="B5233" s="9">
        <v>0</v>
      </c>
    </row>
    <row r="5234" spans="1:2" x14ac:dyDescent="0.25">
      <c r="A5234" t="s">
        <v>5842</v>
      </c>
      <c r="B5234" s="9">
        <v>0</v>
      </c>
    </row>
    <row r="5235" spans="1:2" x14ac:dyDescent="0.25">
      <c r="A5235" t="s">
        <v>5843</v>
      </c>
      <c r="B5235" s="9">
        <v>0</v>
      </c>
    </row>
    <row r="5236" spans="1:2" x14ac:dyDescent="0.25">
      <c r="A5236" t="s">
        <v>5844</v>
      </c>
      <c r="B5236" s="9">
        <v>0</v>
      </c>
    </row>
    <row r="5237" spans="1:2" x14ac:dyDescent="0.25">
      <c r="A5237" t="s">
        <v>5845</v>
      </c>
      <c r="B5237" s="9">
        <v>0</v>
      </c>
    </row>
    <row r="5238" spans="1:2" x14ac:dyDescent="0.25">
      <c r="A5238" t="s">
        <v>5846</v>
      </c>
      <c r="B5238" s="9">
        <v>0</v>
      </c>
    </row>
    <row r="5239" spans="1:2" x14ac:dyDescent="0.25">
      <c r="A5239" t="s">
        <v>5847</v>
      </c>
      <c r="B5239" s="9">
        <v>0</v>
      </c>
    </row>
    <row r="5240" spans="1:2" x14ac:dyDescent="0.25">
      <c r="A5240" t="s">
        <v>5848</v>
      </c>
      <c r="B5240" s="9">
        <v>0</v>
      </c>
    </row>
    <row r="5241" spans="1:2" x14ac:dyDescent="0.25">
      <c r="A5241" t="s">
        <v>5849</v>
      </c>
      <c r="B5241" s="9">
        <v>0</v>
      </c>
    </row>
    <row r="5242" spans="1:2" x14ac:dyDescent="0.25">
      <c r="A5242" t="s">
        <v>5850</v>
      </c>
      <c r="B5242" s="9">
        <v>0</v>
      </c>
    </row>
    <row r="5243" spans="1:2" x14ac:dyDescent="0.25">
      <c r="A5243" t="s">
        <v>5851</v>
      </c>
      <c r="B5243" s="9">
        <v>0</v>
      </c>
    </row>
    <row r="5244" spans="1:2" x14ac:dyDescent="0.25">
      <c r="A5244" t="s">
        <v>5852</v>
      </c>
      <c r="B5244" s="9">
        <v>0</v>
      </c>
    </row>
    <row r="5245" spans="1:2" x14ac:dyDescent="0.25">
      <c r="A5245" t="s">
        <v>5853</v>
      </c>
      <c r="B5245" s="9">
        <v>0</v>
      </c>
    </row>
    <row r="5246" spans="1:2" x14ac:dyDescent="0.25">
      <c r="A5246" t="s">
        <v>5854</v>
      </c>
      <c r="B5246" s="9">
        <v>0</v>
      </c>
    </row>
    <row r="5247" spans="1:2" x14ac:dyDescent="0.25">
      <c r="A5247" t="s">
        <v>5855</v>
      </c>
      <c r="B5247" s="9">
        <v>0</v>
      </c>
    </row>
    <row r="5248" spans="1:2" x14ac:dyDescent="0.25">
      <c r="A5248" t="s">
        <v>5856</v>
      </c>
      <c r="B5248" s="9">
        <v>0</v>
      </c>
    </row>
    <row r="5249" spans="1:2" x14ac:dyDescent="0.25">
      <c r="A5249" t="s">
        <v>5857</v>
      </c>
      <c r="B5249" s="9">
        <v>0</v>
      </c>
    </row>
    <row r="5250" spans="1:2" x14ac:dyDescent="0.25">
      <c r="A5250" t="s">
        <v>5858</v>
      </c>
      <c r="B5250" s="9">
        <v>0</v>
      </c>
    </row>
    <row r="5251" spans="1:2" x14ac:dyDescent="0.25">
      <c r="A5251" t="s">
        <v>5859</v>
      </c>
      <c r="B5251" s="9">
        <v>0</v>
      </c>
    </row>
    <row r="5252" spans="1:2" x14ac:dyDescent="0.25">
      <c r="A5252" t="s">
        <v>5860</v>
      </c>
      <c r="B5252" s="9">
        <v>0</v>
      </c>
    </row>
    <row r="5253" spans="1:2" x14ac:dyDescent="0.25">
      <c r="A5253" t="s">
        <v>5861</v>
      </c>
      <c r="B5253" s="9">
        <v>0</v>
      </c>
    </row>
    <row r="5254" spans="1:2" x14ac:dyDescent="0.25">
      <c r="A5254" t="s">
        <v>5862</v>
      </c>
      <c r="B5254" s="9">
        <v>0</v>
      </c>
    </row>
    <row r="5255" spans="1:2" x14ac:dyDescent="0.25">
      <c r="A5255" t="s">
        <v>5863</v>
      </c>
      <c r="B5255" s="9">
        <v>0</v>
      </c>
    </row>
    <row r="5256" spans="1:2" x14ac:dyDescent="0.25">
      <c r="A5256" t="s">
        <v>5864</v>
      </c>
      <c r="B5256" s="9">
        <v>0</v>
      </c>
    </row>
    <row r="5257" spans="1:2" x14ac:dyDescent="0.25">
      <c r="A5257" t="s">
        <v>5865</v>
      </c>
      <c r="B5257" s="9">
        <v>0</v>
      </c>
    </row>
    <row r="5258" spans="1:2" x14ac:dyDescent="0.25">
      <c r="A5258" t="s">
        <v>5866</v>
      </c>
      <c r="B5258" s="9">
        <v>0</v>
      </c>
    </row>
    <row r="5259" spans="1:2" x14ac:dyDescent="0.25">
      <c r="A5259" t="s">
        <v>5867</v>
      </c>
      <c r="B5259" s="9">
        <v>0</v>
      </c>
    </row>
    <row r="5260" spans="1:2" x14ac:dyDescent="0.25">
      <c r="A5260" t="s">
        <v>5868</v>
      </c>
      <c r="B5260" s="9">
        <v>0</v>
      </c>
    </row>
    <row r="5261" spans="1:2" x14ac:dyDescent="0.25">
      <c r="A5261" t="s">
        <v>5869</v>
      </c>
      <c r="B5261" s="9">
        <v>0</v>
      </c>
    </row>
    <row r="5262" spans="1:2" x14ac:dyDescent="0.25">
      <c r="A5262" t="s">
        <v>5870</v>
      </c>
      <c r="B5262" s="9">
        <v>0</v>
      </c>
    </row>
    <row r="5263" spans="1:2" x14ac:dyDescent="0.25">
      <c r="A5263" t="s">
        <v>5871</v>
      </c>
      <c r="B5263" s="9">
        <v>0</v>
      </c>
    </row>
    <row r="5264" spans="1:2" x14ac:dyDescent="0.25">
      <c r="A5264" t="s">
        <v>5872</v>
      </c>
      <c r="B5264" s="9">
        <v>0</v>
      </c>
    </row>
    <row r="5265" spans="1:2" x14ac:dyDescent="0.25">
      <c r="A5265" t="s">
        <v>5873</v>
      </c>
      <c r="B5265" s="9">
        <v>0</v>
      </c>
    </row>
    <row r="5266" spans="1:2" x14ac:dyDescent="0.25">
      <c r="A5266" t="s">
        <v>5874</v>
      </c>
      <c r="B5266" s="9">
        <v>0</v>
      </c>
    </row>
    <row r="5267" spans="1:2" x14ac:dyDescent="0.25">
      <c r="A5267" t="s">
        <v>5875</v>
      </c>
      <c r="B5267" s="9">
        <v>0</v>
      </c>
    </row>
    <row r="5268" spans="1:2" x14ac:dyDescent="0.25">
      <c r="A5268" t="s">
        <v>5876</v>
      </c>
      <c r="B5268" s="9">
        <v>0</v>
      </c>
    </row>
    <row r="5269" spans="1:2" x14ac:dyDescent="0.25">
      <c r="A5269" t="s">
        <v>5877</v>
      </c>
      <c r="B5269" s="9">
        <v>0</v>
      </c>
    </row>
    <row r="5270" spans="1:2" x14ac:dyDescent="0.25">
      <c r="A5270" t="s">
        <v>5878</v>
      </c>
      <c r="B5270" s="9">
        <v>0</v>
      </c>
    </row>
    <row r="5271" spans="1:2" x14ac:dyDescent="0.25">
      <c r="A5271" t="s">
        <v>5879</v>
      </c>
      <c r="B5271" s="9">
        <v>0</v>
      </c>
    </row>
    <row r="5272" spans="1:2" x14ac:dyDescent="0.25">
      <c r="A5272" t="s">
        <v>5880</v>
      </c>
      <c r="B5272" s="9">
        <v>0</v>
      </c>
    </row>
    <row r="5273" spans="1:2" x14ac:dyDescent="0.25">
      <c r="A5273" t="s">
        <v>5881</v>
      </c>
      <c r="B5273" s="9">
        <v>0</v>
      </c>
    </row>
    <row r="5274" spans="1:2" x14ac:dyDescent="0.25">
      <c r="A5274" t="s">
        <v>5882</v>
      </c>
      <c r="B5274" s="9">
        <v>0</v>
      </c>
    </row>
    <row r="5275" spans="1:2" x14ac:dyDescent="0.25">
      <c r="A5275" t="s">
        <v>5883</v>
      </c>
      <c r="B5275" s="9">
        <v>0</v>
      </c>
    </row>
    <row r="5276" spans="1:2" x14ac:dyDescent="0.25">
      <c r="A5276" t="s">
        <v>5884</v>
      </c>
      <c r="B5276" s="9">
        <v>0</v>
      </c>
    </row>
    <row r="5277" spans="1:2" x14ac:dyDescent="0.25">
      <c r="A5277" t="s">
        <v>5885</v>
      </c>
      <c r="B5277" s="9">
        <v>0</v>
      </c>
    </row>
    <row r="5278" spans="1:2" x14ac:dyDescent="0.25">
      <c r="A5278" t="s">
        <v>5886</v>
      </c>
      <c r="B5278" s="9">
        <v>0</v>
      </c>
    </row>
    <row r="5279" spans="1:2" x14ac:dyDescent="0.25">
      <c r="A5279" t="s">
        <v>5887</v>
      </c>
      <c r="B5279" s="9">
        <v>0</v>
      </c>
    </row>
    <row r="5280" spans="1:2" x14ac:dyDescent="0.25">
      <c r="A5280" t="s">
        <v>5888</v>
      </c>
      <c r="B5280" s="9">
        <v>0.1</v>
      </c>
    </row>
    <row r="5281" spans="1:3" x14ac:dyDescent="0.25">
      <c r="A5281" t="s">
        <v>12</v>
      </c>
      <c r="B5281" s="9">
        <v>0.1</v>
      </c>
      <c r="C5281" t="s">
        <v>12</v>
      </c>
    </row>
    <row r="5282" spans="1:3" x14ac:dyDescent="0.25">
      <c r="A5282" t="s">
        <v>5889</v>
      </c>
      <c r="B5282" s="9">
        <v>0.1</v>
      </c>
    </row>
    <row r="5283" spans="1:3" x14ac:dyDescent="0.25">
      <c r="A5283" t="s">
        <v>5890</v>
      </c>
      <c r="B5283" s="9">
        <v>0.1</v>
      </c>
    </row>
    <row r="5284" spans="1:3" x14ac:dyDescent="0.25">
      <c r="A5284" t="s">
        <v>5891</v>
      </c>
      <c r="B5284" s="9">
        <v>0.1</v>
      </c>
    </row>
    <row r="5285" spans="1:3" x14ac:dyDescent="0.25">
      <c r="A5285" t="s">
        <v>5892</v>
      </c>
      <c r="B5285" s="9">
        <v>0.1</v>
      </c>
    </row>
    <row r="5286" spans="1:3" x14ac:dyDescent="0.25">
      <c r="A5286" t="s">
        <v>5893</v>
      </c>
      <c r="B5286" s="9">
        <v>0.1</v>
      </c>
    </row>
    <row r="5287" spans="1:3" x14ac:dyDescent="0.25">
      <c r="A5287" t="s">
        <v>5894</v>
      </c>
      <c r="B5287" s="9">
        <v>0.1</v>
      </c>
    </row>
    <row r="5288" spans="1:3" x14ac:dyDescent="0.25">
      <c r="A5288" t="s">
        <v>5895</v>
      </c>
      <c r="B5288" s="9">
        <v>0.1</v>
      </c>
    </row>
    <row r="5289" spans="1:3" x14ac:dyDescent="0.25">
      <c r="A5289" t="s">
        <v>5896</v>
      </c>
      <c r="B5289" s="9">
        <v>0.1</v>
      </c>
    </row>
    <row r="5290" spans="1:3" x14ac:dyDescent="0.25">
      <c r="A5290" t="s">
        <v>5897</v>
      </c>
      <c r="B5290" s="9">
        <v>0.1</v>
      </c>
    </row>
    <row r="5291" spans="1:3" x14ac:dyDescent="0.25">
      <c r="A5291" t="s">
        <v>5898</v>
      </c>
      <c r="B5291" s="9">
        <v>0.1</v>
      </c>
    </row>
    <row r="5292" spans="1:3" x14ac:dyDescent="0.25">
      <c r="A5292" t="s">
        <v>5899</v>
      </c>
      <c r="B5292" s="9">
        <v>0.1</v>
      </c>
    </row>
    <row r="5293" spans="1:3" x14ac:dyDescent="0.25">
      <c r="A5293" t="s">
        <v>5900</v>
      </c>
      <c r="B5293" s="9">
        <v>0.1</v>
      </c>
    </row>
    <row r="5294" spans="1:3" x14ac:dyDescent="0.25">
      <c r="A5294" t="s">
        <v>5901</v>
      </c>
      <c r="B5294" s="9">
        <v>0.1</v>
      </c>
    </row>
    <row r="5295" spans="1:3" x14ac:dyDescent="0.25">
      <c r="A5295" t="s">
        <v>5902</v>
      </c>
      <c r="B5295" s="9">
        <v>0.1</v>
      </c>
    </row>
    <row r="5296" spans="1:3" x14ac:dyDescent="0.25">
      <c r="A5296" t="s">
        <v>5903</v>
      </c>
      <c r="B5296" s="9">
        <v>0.1</v>
      </c>
    </row>
    <row r="5297" spans="1:2" x14ac:dyDescent="0.25">
      <c r="A5297" t="s">
        <v>5904</v>
      </c>
      <c r="B5297" s="9">
        <v>0</v>
      </c>
    </row>
    <row r="5298" spans="1:2" x14ac:dyDescent="0.25">
      <c r="A5298" t="s">
        <v>5905</v>
      </c>
      <c r="B5298" s="9">
        <v>0.1</v>
      </c>
    </row>
    <row r="5299" spans="1:2" x14ac:dyDescent="0.25">
      <c r="A5299" t="s">
        <v>5906</v>
      </c>
      <c r="B5299" s="9">
        <v>0.1</v>
      </c>
    </row>
    <row r="5300" spans="1:2" x14ac:dyDescent="0.25">
      <c r="A5300" t="s">
        <v>5907</v>
      </c>
      <c r="B5300" s="9">
        <v>0.1</v>
      </c>
    </row>
    <row r="5301" spans="1:2" x14ac:dyDescent="0.25">
      <c r="A5301" t="s">
        <v>5908</v>
      </c>
      <c r="B5301" s="9">
        <v>0.1</v>
      </c>
    </row>
    <row r="5302" spans="1:2" x14ac:dyDescent="0.25">
      <c r="A5302" t="s">
        <v>5909</v>
      </c>
      <c r="B5302" s="9">
        <v>0</v>
      </c>
    </row>
    <row r="5303" spans="1:2" x14ac:dyDescent="0.25">
      <c r="A5303" t="s">
        <v>5910</v>
      </c>
      <c r="B5303" s="9">
        <v>0</v>
      </c>
    </row>
    <row r="5304" spans="1:2" x14ac:dyDescent="0.25">
      <c r="A5304" t="s">
        <v>5911</v>
      </c>
      <c r="B5304" s="9">
        <v>0</v>
      </c>
    </row>
    <row r="5305" spans="1:2" x14ac:dyDescent="0.25">
      <c r="A5305" t="s">
        <v>5912</v>
      </c>
      <c r="B5305" s="9">
        <v>0</v>
      </c>
    </row>
    <row r="5306" spans="1:2" x14ac:dyDescent="0.25">
      <c r="A5306" t="s">
        <v>5913</v>
      </c>
      <c r="B5306" s="9">
        <v>0</v>
      </c>
    </row>
    <row r="5307" spans="1:2" x14ac:dyDescent="0.25">
      <c r="A5307" t="s">
        <v>5914</v>
      </c>
      <c r="B5307" s="9">
        <v>0</v>
      </c>
    </row>
    <row r="5308" spans="1:2" x14ac:dyDescent="0.25">
      <c r="A5308" t="s">
        <v>5915</v>
      </c>
      <c r="B5308" s="9">
        <v>0.6</v>
      </c>
    </row>
    <row r="5309" spans="1:2" x14ac:dyDescent="0.25">
      <c r="A5309" t="s">
        <v>5916</v>
      </c>
      <c r="B5309" s="9">
        <v>0.1</v>
      </c>
    </row>
    <row r="5310" spans="1:2" x14ac:dyDescent="0.25">
      <c r="A5310" t="s">
        <v>5917</v>
      </c>
      <c r="B5310" s="9">
        <v>0.1</v>
      </c>
    </row>
    <row r="5311" spans="1:2" x14ac:dyDescent="0.25">
      <c r="A5311" t="s">
        <v>5918</v>
      </c>
      <c r="B5311" s="9">
        <v>0.6</v>
      </c>
    </row>
    <row r="5312" spans="1:2" x14ac:dyDescent="0.25">
      <c r="A5312" t="s">
        <v>5919</v>
      </c>
      <c r="B5312" s="9">
        <v>0.1</v>
      </c>
    </row>
    <row r="5313" spans="1:3" x14ac:dyDescent="0.25">
      <c r="A5313" t="s">
        <v>5920</v>
      </c>
      <c r="B5313" s="9">
        <v>0.1</v>
      </c>
    </row>
    <row r="5314" spans="1:3" x14ac:dyDescent="0.25">
      <c r="A5314" t="s">
        <v>5921</v>
      </c>
      <c r="B5314" s="9">
        <v>0.6</v>
      </c>
    </row>
    <row r="5315" spans="1:3" x14ac:dyDescent="0.25">
      <c r="A5315" t="s">
        <v>5922</v>
      </c>
      <c r="B5315" s="9">
        <v>0.1</v>
      </c>
    </row>
    <row r="5316" spans="1:3" x14ac:dyDescent="0.25">
      <c r="A5316" t="s">
        <v>5923</v>
      </c>
      <c r="B5316" s="9">
        <v>0.4</v>
      </c>
    </row>
    <row r="5317" spans="1:3" x14ac:dyDescent="0.25">
      <c r="A5317" t="s">
        <v>5924</v>
      </c>
      <c r="B5317" s="9">
        <v>0.4</v>
      </c>
    </row>
    <row r="5318" spans="1:3" x14ac:dyDescent="0.25">
      <c r="A5318" t="s">
        <v>5925</v>
      </c>
      <c r="B5318" s="9">
        <v>0.1</v>
      </c>
    </row>
    <row r="5319" spans="1:3" x14ac:dyDescent="0.25">
      <c r="A5319" t="s">
        <v>5926</v>
      </c>
      <c r="B5319" s="9">
        <v>0.4</v>
      </c>
    </row>
    <row r="5320" spans="1:3" x14ac:dyDescent="0.25">
      <c r="A5320" t="s">
        <v>5927</v>
      </c>
      <c r="B5320" s="9">
        <v>0.1</v>
      </c>
    </row>
    <row r="5321" spans="1:3" x14ac:dyDescent="0.25">
      <c r="A5321" t="s">
        <v>5928</v>
      </c>
      <c r="B5321" s="9">
        <v>0.1</v>
      </c>
    </row>
    <row r="5322" spans="1:3" x14ac:dyDescent="0.25">
      <c r="A5322" t="s">
        <v>5929</v>
      </c>
      <c r="B5322" s="9">
        <v>0</v>
      </c>
    </row>
    <row r="5323" spans="1:3" x14ac:dyDescent="0.25">
      <c r="A5323" t="s">
        <v>5930</v>
      </c>
      <c r="B5323" s="9">
        <v>0</v>
      </c>
    </row>
    <row r="5324" spans="1:3" x14ac:dyDescent="0.25">
      <c r="A5324" t="s">
        <v>5931</v>
      </c>
      <c r="B5324" s="9">
        <v>0</v>
      </c>
    </row>
    <row r="5325" spans="1:3" x14ac:dyDescent="0.25">
      <c r="A5325" t="s">
        <v>5932</v>
      </c>
      <c r="B5325" s="9">
        <v>0</v>
      </c>
    </row>
    <row r="5326" spans="1:3" x14ac:dyDescent="0.25">
      <c r="A5326" t="s">
        <v>5933</v>
      </c>
      <c r="B5326" s="9">
        <v>0</v>
      </c>
    </row>
    <row r="5327" spans="1:3" x14ac:dyDescent="0.25">
      <c r="A5327" t="s">
        <v>14</v>
      </c>
      <c r="B5327" s="9">
        <v>0</v>
      </c>
      <c r="C5327" t="s">
        <v>14</v>
      </c>
    </row>
    <row r="5328" spans="1:3" x14ac:dyDescent="0.25">
      <c r="A5328" t="s">
        <v>5934</v>
      </c>
      <c r="B5328" s="9">
        <v>0</v>
      </c>
    </row>
    <row r="5329" spans="1:2" x14ac:dyDescent="0.25">
      <c r="A5329" t="s">
        <v>5935</v>
      </c>
      <c r="B5329" s="9">
        <v>0</v>
      </c>
    </row>
    <row r="5330" spans="1:2" x14ac:dyDescent="0.25">
      <c r="A5330" t="s">
        <v>5936</v>
      </c>
      <c r="B5330" s="9">
        <v>0</v>
      </c>
    </row>
    <row r="5331" spans="1:2" x14ac:dyDescent="0.25">
      <c r="A5331" t="s">
        <v>5937</v>
      </c>
      <c r="B5331" s="9">
        <v>0</v>
      </c>
    </row>
    <row r="5332" spans="1:2" x14ac:dyDescent="0.25">
      <c r="A5332" t="s">
        <v>5938</v>
      </c>
      <c r="B5332" s="9">
        <v>0</v>
      </c>
    </row>
    <row r="5333" spans="1:2" x14ac:dyDescent="0.25">
      <c r="A5333" t="s">
        <v>5939</v>
      </c>
      <c r="B5333" s="9">
        <v>0</v>
      </c>
    </row>
    <row r="5334" spans="1:2" x14ac:dyDescent="0.25">
      <c r="A5334" t="s">
        <v>5940</v>
      </c>
      <c r="B5334" s="9">
        <v>0</v>
      </c>
    </row>
    <row r="5335" spans="1:2" x14ac:dyDescent="0.25">
      <c r="A5335" t="s">
        <v>5941</v>
      </c>
      <c r="B5335" s="9">
        <v>0</v>
      </c>
    </row>
    <row r="5336" spans="1:2" x14ac:dyDescent="0.25">
      <c r="A5336" t="s">
        <v>5942</v>
      </c>
      <c r="B5336" s="9">
        <v>0</v>
      </c>
    </row>
    <row r="5337" spans="1:2" x14ac:dyDescent="0.25">
      <c r="A5337" t="s">
        <v>5943</v>
      </c>
      <c r="B5337" s="9">
        <v>0</v>
      </c>
    </row>
    <row r="5338" spans="1:2" x14ac:dyDescent="0.25">
      <c r="A5338" t="s">
        <v>5944</v>
      </c>
      <c r="B5338" s="9">
        <v>0</v>
      </c>
    </row>
    <row r="5339" spans="1:2" x14ac:dyDescent="0.25">
      <c r="A5339" t="s">
        <v>5945</v>
      </c>
      <c r="B5339" s="9">
        <v>0</v>
      </c>
    </row>
    <row r="5340" spans="1:2" x14ac:dyDescent="0.25">
      <c r="A5340" t="s">
        <v>5946</v>
      </c>
      <c r="B5340" s="9">
        <v>0</v>
      </c>
    </row>
    <row r="5341" spans="1:2" x14ac:dyDescent="0.25">
      <c r="A5341" t="s">
        <v>5947</v>
      </c>
      <c r="B5341" s="9">
        <v>0</v>
      </c>
    </row>
    <row r="5342" spans="1:2" x14ac:dyDescent="0.25">
      <c r="A5342" t="s">
        <v>5948</v>
      </c>
      <c r="B5342" s="9">
        <v>0</v>
      </c>
    </row>
    <row r="5343" spans="1:2" x14ac:dyDescent="0.25">
      <c r="A5343" t="s">
        <v>5949</v>
      </c>
      <c r="B5343" s="9">
        <v>0</v>
      </c>
    </row>
    <row r="5344" spans="1:2" x14ac:dyDescent="0.25">
      <c r="A5344" t="s">
        <v>5950</v>
      </c>
      <c r="B5344" s="9">
        <v>0</v>
      </c>
    </row>
    <row r="5345" spans="1:2" x14ac:dyDescent="0.25">
      <c r="A5345" t="s">
        <v>5951</v>
      </c>
      <c r="B5345" s="9">
        <v>0</v>
      </c>
    </row>
    <row r="5346" spans="1:2" x14ac:dyDescent="0.25">
      <c r="A5346" t="s">
        <v>5952</v>
      </c>
      <c r="B5346" s="9">
        <v>0</v>
      </c>
    </row>
    <row r="5347" spans="1:2" x14ac:dyDescent="0.25">
      <c r="A5347" t="s">
        <v>5953</v>
      </c>
      <c r="B5347" s="9">
        <v>0</v>
      </c>
    </row>
    <row r="5348" spans="1:2" x14ac:dyDescent="0.25">
      <c r="A5348" t="s">
        <v>5954</v>
      </c>
      <c r="B5348" s="9">
        <v>0</v>
      </c>
    </row>
    <row r="5349" spans="1:2" x14ac:dyDescent="0.25">
      <c r="A5349" t="s">
        <v>5955</v>
      </c>
      <c r="B5349" s="9">
        <v>0</v>
      </c>
    </row>
    <row r="5350" spans="1:2" x14ac:dyDescent="0.25">
      <c r="A5350" t="s">
        <v>5956</v>
      </c>
      <c r="B5350" s="9">
        <v>0</v>
      </c>
    </row>
    <row r="5351" spans="1:2" x14ac:dyDescent="0.25">
      <c r="A5351" t="s">
        <v>5957</v>
      </c>
      <c r="B5351" s="9">
        <v>0</v>
      </c>
    </row>
    <row r="5352" spans="1:2" x14ac:dyDescent="0.25">
      <c r="A5352" t="s">
        <v>5958</v>
      </c>
      <c r="B5352" s="9">
        <v>0</v>
      </c>
    </row>
    <row r="5353" spans="1:2" x14ac:dyDescent="0.25">
      <c r="A5353" t="s">
        <v>5959</v>
      </c>
      <c r="B5353" s="9">
        <v>0</v>
      </c>
    </row>
    <row r="5354" spans="1:2" x14ac:dyDescent="0.25">
      <c r="A5354" t="s">
        <v>5960</v>
      </c>
      <c r="B5354" s="9">
        <v>0</v>
      </c>
    </row>
    <row r="5355" spans="1:2" x14ac:dyDescent="0.25">
      <c r="A5355" t="s">
        <v>5961</v>
      </c>
      <c r="B5355" s="9">
        <v>0</v>
      </c>
    </row>
    <row r="5356" spans="1:2" x14ac:dyDescent="0.25">
      <c r="A5356" t="s">
        <v>5962</v>
      </c>
      <c r="B5356" s="9">
        <v>0</v>
      </c>
    </row>
    <row r="5357" spans="1:2" x14ac:dyDescent="0.25">
      <c r="A5357" t="s">
        <v>5963</v>
      </c>
      <c r="B5357" s="9">
        <v>0</v>
      </c>
    </row>
    <row r="5358" spans="1:2" x14ac:dyDescent="0.25">
      <c r="A5358" t="s">
        <v>5964</v>
      </c>
      <c r="B5358" s="9">
        <v>0</v>
      </c>
    </row>
    <row r="5359" spans="1:2" x14ac:dyDescent="0.25">
      <c r="A5359" t="s">
        <v>5965</v>
      </c>
      <c r="B5359" s="9">
        <v>0</v>
      </c>
    </row>
    <row r="5360" spans="1:2" x14ac:dyDescent="0.25">
      <c r="A5360" t="s">
        <v>5966</v>
      </c>
      <c r="B5360" s="9">
        <v>0</v>
      </c>
    </row>
    <row r="5361" spans="1:2" x14ac:dyDescent="0.25">
      <c r="A5361" t="s">
        <v>5967</v>
      </c>
      <c r="B5361" s="9">
        <v>0</v>
      </c>
    </row>
    <row r="5362" spans="1:2" x14ac:dyDescent="0.25">
      <c r="A5362" t="s">
        <v>5968</v>
      </c>
      <c r="B5362" s="9">
        <v>0</v>
      </c>
    </row>
    <row r="5363" spans="1:2" x14ac:dyDescent="0.25">
      <c r="A5363" t="s">
        <v>5969</v>
      </c>
      <c r="B5363" s="9">
        <v>0</v>
      </c>
    </row>
    <row r="5364" spans="1:2" x14ac:dyDescent="0.25">
      <c r="A5364" t="s">
        <v>5970</v>
      </c>
      <c r="B5364" s="9">
        <v>0</v>
      </c>
    </row>
    <row r="5365" spans="1:2" x14ac:dyDescent="0.25">
      <c r="A5365" t="s">
        <v>5971</v>
      </c>
      <c r="B5365" s="9">
        <v>0</v>
      </c>
    </row>
    <row r="5366" spans="1:2" x14ac:dyDescent="0.25">
      <c r="A5366" t="s">
        <v>5972</v>
      </c>
      <c r="B5366" s="9">
        <v>0</v>
      </c>
    </row>
    <row r="5367" spans="1:2" x14ac:dyDescent="0.25">
      <c r="A5367" t="s">
        <v>5973</v>
      </c>
      <c r="B5367" s="9">
        <v>0</v>
      </c>
    </row>
    <row r="5368" spans="1:2" x14ac:dyDescent="0.25">
      <c r="A5368" t="s">
        <v>5974</v>
      </c>
      <c r="B5368" s="9">
        <v>0</v>
      </c>
    </row>
    <row r="5369" spans="1:2" x14ac:dyDescent="0.25">
      <c r="A5369" t="s">
        <v>5975</v>
      </c>
      <c r="B5369" s="9">
        <v>0</v>
      </c>
    </row>
    <row r="5370" spans="1:2" x14ac:dyDescent="0.25">
      <c r="A5370" t="s">
        <v>5976</v>
      </c>
      <c r="B5370" s="9">
        <v>0</v>
      </c>
    </row>
    <row r="5371" spans="1:2" x14ac:dyDescent="0.25">
      <c r="A5371" t="s">
        <v>5977</v>
      </c>
      <c r="B5371" s="9">
        <v>0</v>
      </c>
    </row>
    <row r="5372" spans="1:2" x14ac:dyDescent="0.25">
      <c r="A5372" t="s">
        <v>5978</v>
      </c>
      <c r="B5372" s="9">
        <v>0</v>
      </c>
    </row>
    <row r="5373" spans="1:2" x14ac:dyDescent="0.25">
      <c r="A5373" t="s">
        <v>5979</v>
      </c>
      <c r="B5373" s="9">
        <v>0</v>
      </c>
    </row>
    <row r="5374" spans="1:2" x14ac:dyDescent="0.25">
      <c r="A5374" t="s">
        <v>5980</v>
      </c>
      <c r="B5374" s="9">
        <v>0</v>
      </c>
    </row>
    <row r="5375" spans="1:2" x14ac:dyDescent="0.25">
      <c r="A5375" t="s">
        <v>5981</v>
      </c>
      <c r="B5375" s="9">
        <v>0</v>
      </c>
    </row>
    <row r="5376" spans="1:2" x14ac:dyDescent="0.25">
      <c r="A5376" t="s">
        <v>5982</v>
      </c>
      <c r="B5376" s="9">
        <v>0</v>
      </c>
    </row>
    <row r="5377" spans="1:2" x14ac:dyDescent="0.25">
      <c r="A5377" t="s">
        <v>5983</v>
      </c>
      <c r="B5377" s="9">
        <v>0</v>
      </c>
    </row>
    <row r="5378" spans="1:2" x14ac:dyDescent="0.25">
      <c r="A5378" t="s">
        <v>5984</v>
      </c>
      <c r="B5378" s="9">
        <v>0</v>
      </c>
    </row>
    <row r="5379" spans="1:2" x14ac:dyDescent="0.25">
      <c r="A5379" t="s">
        <v>5985</v>
      </c>
      <c r="B5379" s="9">
        <v>0</v>
      </c>
    </row>
    <row r="5380" spans="1:2" x14ac:dyDescent="0.25">
      <c r="A5380" t="s">
        <v>5986</v>
      </c>
      <c r="B5380" s="9">
        <v>0</v>
      </c>
    </row>
    <row r="5381" spans="1:2" x14ac:dyDescent="0.25">
      <c r="A5381" t="s">
        <v>5987</v>
      </c>
      <c r="B5381" s="9">
        <v>0</v>
      </c>
    </row>
    <row r="5382" spans="1:2" x14ac:dyDescent="0.25">
      <c r="A5382" t="s">
        <v>5988</v>
      </c>
      <c r="B5382" s="9">
        <v>0</v>
      </c>
    </row>
    <row r="5383" spans="1:2" x14ac:dyDescent="0.25">
      <c r="A5383" t="s">
        <v>5989</v>
      </c>
      <c r="B5383" s="9">
        <v>0</v>
      </c>
    </row>
    <row r="5384" spans="1:2" x14ac:dyDescent="0.25">
      <c r="A5384" t="s">
        <v>5990</v>
      </c>
      <c r="B5384" s="9">
        <v>0</v>
      </c>
    </row>
    <row r="5385" spans="1:2" x14ac:dyDescent="0.25">
      <c r="A5385" t="s">
        <v>5991</v>
      </c>
      <c r="B5385" s="9">
        <v>0</v>
      </c>
    </row>
    <row r="5386" spans="1:2" x14ac:dyDescent="0.25">
      <c r="A5386" t="s">
        <v>5992</v>
      </c>
      <c r="B5386" s="9">
        <v>0</v>
      </c>
    </row>
    <row r="5387" spans="1:2" x14ac:dyDescent="0.25">
      <c r="A5387" t="s">
        <v>5993</v>
      </c>
      <c r="B5387" s="9">
        <v>0</v>
      </c>
    </row>
    <row r="5388" spans="1:2" x14ac:dyDescent="0.25">
      <c r="A5388" t="s">
        <v>5994</v>
      </c>
      <c r="B5388" s="9">
        <v>0</v>
      </c>
    </row>
    <row r="5389" spans="1:2" x14ac:dyDescent="0.25">
      <c r="A5389" t="s">
        <v>5995</v>
      </c>
      <c r="B5389" s="9">
        <v>0</v>
      </c>
    </row>
    <row r="5390" spans="1:2" x14ac:dyDescent="0.25">
      <c r="A5390" t="s">
        <v>5996</v>
      </c>
      <c r="B5390" s="9">
        <v>0</v>
      </c>
    </row>
    <row r="5391" spans="1:2" x14ac:dyDescent="0.25">
      <c r="A5391" t="s">
        <v>5997</v>
      </c>
      <c r="B5391" s="9">
        <v>0</v>
      </c>
    </row>
    <row r="5392" spans="1:2" x14ac:dyDescent="0.25">
      <c r="A5392" t="s">
        <v>5998</v>
      </c>
      <c r="B5392" s="9">
        <v>0</v>
      </c>
    </row>
    <row r="5393" spans="1:2" x14ac:dyDescent="0.25">
      <c r="A5393" t="s">
        <v>5999</v>
      </c>
      <c r="B5393" s="9">
        <v>0</v>
      </c>
    </row>
    <row r="5394" spans="1:2" x14ac:dyDescent="0.25">
      <c r="A5394" t="s">
        <v>6000</v>
      </c>
      <c r="B5394" s="9">
        <v>0</v>
      </c>
    </row>
    <row r="5395" spans="1:2" x14ac:dyDescent="0.25">
      <c r="A5395" t="s">
        <v>6001</v>
      </c>
      <c r="B5395" s="9">
        <v>0</v>
      </c>
    </row>
    <row r="5396" spans="1:2" x14ac:dyDescent="0.25">
      <c r="A5396" t="s">
        <v>6002</v>
      </c>
      <c r="B5396" s="9">
        <v>0</v>
      </c>
    </row>
    <row r="5397" spans="1:2" x14ac:dyDescent="0.25">
      <c r="A5397" t="s">
        <v>6003</v>
      </c>
      <c r="B5397" s="9">
        <v>0</v>
      </c>
    </row>
    <row r="5398" spans="1:2" x14ac:dyDescent="0.25">
      <c r="A5398" t="s">
        <v>6004</v>
      </c>
      <c r="B5398" s="9">
        <v>0</v>
      </c>
    </row>
    <row r="5399" spans="1:2" x14ac:dyDescent="0.25">
      <c r="A5399" t="s">
        <v>6005</v>
      </c>
      <c r="B5399" s="9">
        <v>0</v>
      </c>
    </row>
    <row r="5400" spans="1:2" x14ac:dyDescent="0.25">
      <c r="A5400" t="s">
        <v>6006</v>
      </c>
      <c r="B5400" s="9">
        <v>0</v>
      </c>
    </row>
    <row r="5401" spans="1:2" x14ac:dyDescent="0.25">
      <c r="A5401" t="s">
        <v>6007</v>
      </c>
      <c r="B5401" s="9">
        <v>0</v>
      </c>
    </row>
    <row r="5402" spans="1:2" x14ac:dyDescent="0.25">
      <c r="A5402" t="s">
        <v>6008</v>
      </c>
      <c r="B5402" s="9">
        <v>0</v>
      </c>
    </row>
    <row r="5403" spans="1:2" x14ac:dyDescent="0.25">
      <c r="A5403" t="s">
        <v>6009</v>
      </c>
      <c r="B5403" s="9">
        <v>0.1</v>
      </c>
    </row>
    <row r="5404" spans="1:2" x14ac:dyDescent="0.25">
      <c r="A5404" t="s">
        <v>6010</v>
      </c>
      <c r="B5404" s="9">
        <v>0.05</v>
      </c>
    </row>
    <row r="5405" spans="1:2" x14ac:dyDescent="0.25">
      <c r="A5405" t="s">
        <v>6011</v>
      </c>
      <c r="B5405" s="9">
        <v>0.05</v>
      </c>
    </row>
    <row r="5406" spans="1:2" x14ac:dyDescent="0.25">
      <c r="A5406" t="s">
        <v>6012</v>
      </c>
      <c r="B5406" s="9">
        <v>0.1</v>
      </c>
    </row>
    <row r="5407" spans="1:2" x14ac:dyDescent="0.25">
      <c r="A5407" t="s">
        <v>6013</v>
      </c>
      <c r="B5407" s="9">
        <v>0.05</v>
      </c>
    </row>
    <row r="5408" spans="1:2" x14ac:dyDescent="0.25">
      <c r="A5408" t="s">
        <v>6014</v>
      </c>
      <c r="B5408" s="9">
        <v>0.1</v>
      </c>
    </row>
    <row r="5409" spans="1:2" x14ac:dyDescent="0.25">
      <c r="A5409" t="s">
        <v>6015</v>
      </c>
      <c r="B5409" s="9">
        <v>0.05</v>
      </c>
    </row>
    <row r="5410" spans="1:2" x14ac:dyDescent="0.25">
      <c r="A5410" t="s">
        <v>6016</v>
      </c>
      <c r="B5410" s="9">
        <v>0.05</v>
      </c>
    </row>
    <row r="5411" spans="1:2" x14ac:dyDescent="0.25">
      <c r="A5411" t="s">
        <v>6017</v>
      </c>
      <c r="B5411" s="9">
        <v>0.05</v>
      </c>
    </row>
    <row r="5412" spans="1:2" x14ac:dyDescent="0.25">
      <c r="A5412" t="s">
        <v>6018</v>
      </c>
      <c r="B5412" s="9">
        <v>0.1</v>
      </c>
    </row>
    <row r="5413" spans="1:2" x14ac:dyDescent="0.25">
      <c r="A5413" t="s">
        <v>6019</v>
      </c>
      <c r="B5413" s="9">
        <v>0.05</v>
      </c>
    </row>
    <row r="5414" spans="1:2" x14ac:dyDescent="0.25">
      <c r="A5414" t="s">
        <v>6020</v>
      </c>
      <c r="B5414" s="9">
        <v>0.1</v>
      </c>
    </row>
    <row r="5415" spans="1:2" x14ac:dyDescent="0.25">
      <c r="A5415" t="s">
        <v>6021</v>
      </c>
      <c r="B5415" s="9">
        <v>0.1</v>
      </c>
    </row>
    <row r="5416" spans="1:2" x14ac:dyDescent="0.25">
      <c r="A5416" t="s">
        <v>6022</v>
      </c>
      <c r="B5416" s="9">
        <v>0.1</v>
      </c>
    </row>
    <row r="5417" spans="1:2" x14ac:dyDescent="0.25">
      <c r="A5417" t="s">
        <v>6023</v>
      </c>
      <c r="B5417" s="9">
        <v>0.1</v>
      </c>
    </row>
    <row r="5418" spans="1:2" x14ac:dyDescent="0.25">
      <c r="A5418" t="s">
        <v>6024</v>
      </c>
      <c r="B5418" s="9">
        <v>0.05</v>
      </c>
    </row>
    <row r="5419" spans="1:2" x14ac:dyDescent="0.25">
      <c r="A5419" t="s">
        <v>6025</v>
      </c>
      <c r="B5419" s="9">
        <v>0</v>
      </c>
    </row>
    <row r="5420" spans="1:2" x14ac:dyDescent="0.25">
      <c r="A5420" t="s">
        <v>6026</v>
      </c>
      <c r="B5420" s="9">
        <v>0.05</v>
      </c>
    </row>
    <row r="5421" spans="1:2" x14ac:dyDescent="0.25">
      <c r="A5421" t="s">
        <v>6027</v>
      </c>
      <c r="B5421" s="9">
        <v>0.05</v>
      </c>
    </row>
    <row r="5422" spans="1:2" x14ac:dyDescent="0.25">
      <c r="A5422" t="s">
        <v>6028</v>
      </c>
      <c r="B5422" s="9">
        <v>0.05</v>
      </c>
    </row>
    <row r="5423" spans="1:2" x14ac:dyDescent="0.25">
      <c r="A5423" t="s">
        <v>6029</v>
      </c>
      <c r="B5423" s="9">
        <v>0.05</v>
      </c>
    </row>
    <row r="5424" spans="1:2" x14ac:dyDescent="0.25">
      <c r="A5424" t="s">
        <v>6030</v>
      </c>
      <c r="B5424" s="9">
        <v>0.05</v>
      </c>
    </row>
    <row r="5425" spans="1:2" x14ac:dyDescent="0.25">
      <c r="A5425" t="s">
        <v>6031</v>
      </c>
      <c r="B5425" s="9">
        <v>0.05</v>
      </c>
    </row>
    <row r="5426" spans="1:2" x14ac:dyDescent="0.25">
      <c r="A5426" t="s">
        <v>6032</v>
      </c>
      <c r="B5426" s="9">
        <v>0.05</v>
      </c>
    </row>
    <row r="5427" spans="1:2" x14ac:dyDescent="0.25">
      <c r="A5427" t="s">
        <v>6033</v>
      </c>
      <c r="B5427" s="9">
        <v>0.05</v>
      </c>
    </row>
    <row r="5428" spans="1:2" x14ac:dyDescent="0.25">
      <c r="A5428" t="s">
        <v>6034</v>
      </c>
      <c r="B5428" s="9">
        <v>0.05</v>
      </c>
    </row>
    <row r="5429" spans="1:2" x14ac:dyDescent="0.25">
      <c r="A5429" t="s">
        <v>6035</v>
      </c>
      <c r="B5429" s="9">
        <v>0.05</v>
      </c>
    </row>
    <row r="5430" spans="1:2" x14ac:dyDescent="0.25">
      <c r="A5430" t="s">
        <v>6036</v>
      </c>
      <c r="B5430" s="9">
        <v>0.05</v>
      </c>
    </row>
    <row r="5431" spans="1:2" x14ac:dyDescent="0.25">
      <c r="A5431" t="s">
        <v>6037</v>
      </c>
      <c r="B5431" s="9">
        <v>0.05</v>
      </c>
    </row>
    <row r="5432" spans="1:2" x14ac:dyDescent="0.25">
      <c r="A5432" t="s">
        <v>6038</v>
      </c>
      <c r="B5432" s="9">
        <v>0.05</v>
      </c>
    </row>
    <row r="5433" spans="1:2" x14ac:dyDescent="0.25">
      <c r="A5433" t="s">
        <v>6039</v>
      </c>
      <c r="B5433" s="9">
        <v>0</v>
      </c>
    </row>
    <row r="5434" spans="1:2" x14ac:dyDescent="0.25">
      <c r="A5434" t="s">
        <v>6040</v>
      </c>
      <c r="B5434" s="9">
        <v>0.05</v>
      </c>
    </row>
    <row r="5435" spans="1:2" x14ac:dyDescent="0.25">
      <c r="A5435" t="s">
        <v>6041</v>
      </c>
      <c r="B5435" s="9">
        <v>0.05</v>
      </c>
    </row>
    <row r="5436" spans="1:2" x14ac:dyDescent="0.25">
      <c r="A5436" t="s">
        <v>6042</v>
      </c>
      <c r="B5436" s="9">
        <v>0.05</v>
      </c>
    </row>
    <row r="5437" spans="1:2" x14ac:dyDescent="0.25">
      <c r="A5437" t="s">
        <v>6043</v>
      </c>
      <c r="B5437" s="9">
        <v>0.05</v>
      </c>
    </row>
    <row r="5438" spans="1:2" x14ac:dyDescent="0.25">
      <c r="A5438" t="s">
        <v>6044</v>
      </c>
      <c r="B5438" s="9">
        <v>0.05</v>
      </c>
    </row>
    <row r="5439" spans="1:2" x14ac:dyDescent="0.25">
      <c r="A5439" t="s">
        <v>6045</v>
      </c>
      <c r="B5439" s="9">
        <v>0.05</v>
      </c>
    </row>
    <row r="5440" spans="1:2" x14ac:dyDescent="0.25">
      <c r="A5440" t="s">
        <v>6046</v>
      </c>
      <c r="B5440" s="9">
        <v>0.05</v>
      </c>
    </row>
    <row r="5441" spans="1:2" x14ac:dyDescent="0.25">
      <c r="A5441" t="s">
        <v>6047</v>
      </c>
      <c r="B5441" s="9">
        <v>0.05</v>
      </c>
    </row>
    <row r="5442" spans="1:2" x14ac:dyDescent="0.25">
      <c r="A5442" t="s">
        <v>6048</v>
      </c>
      <c r="B5442" s="9">
        <v>0.05</v>
      </c>
    </row>
    <row r="5443" spans="1:2" x14ac:dyDescent="0.25">
      <c r="A5443" t="s">
        <v>6049</v>
      </c>
      <c r="B5443" s="9">
        <v>0.05</v>
      </c>
    </row>
    <row r="5444" spans="1:2" x14ac:dyDescent="0.25">
      <c r="A5444" t="s">
        <v>6050</v>
      </c>
      <c r="B5444" s="9">
        <v>0.05</v>
      </c>
    </row>
    <row r="5445" spans="1:2" x14ac:dyDescent="0.25">
      <c r="A5445" t="s">
        <v>6051</v>
      </c>
      <c r="B5445" s="9">
        <v>0.05</v>
      </c>
    </row>
    <row r="5446" spans="1:2" x14ac:dyDescent="0.25">
      <c r="A5446" t="s">
        <v>6052</v>
      </c>
      <c r="B5446" s="9">
        <v>0.05</v>
      </c>
    </row>
    <row r="5447" spans="1:2" x14ac:dyDescent="0.25">
      <c r="A5447" t="s">
        <v>6053</v>
      </c>
      <c r="B5447" s="9">
        <v>0.05</v>
      </c>
    </row>
    <row r="5448" spans="1:2" x14ac:dyDescent="0.25">
      <c r="A5448" t="s">
        <v>6054</v>
      </c>
      <c r="B5448" s="9">
        <v>0.05</v>
      </c>
    </row>
    <row r="5449" spans="1:2" x14ac:dyDescent="0.25">
      <c r="A5449" t="s">
        <v>6055</v>
      </c>
      <c r="B5449" s="9">
        <v>0.05</v>
      </c>
    </row>
    <row r="5450" spans="1:2" x14ac:dyDescent="0.25">
      <c r="A5450" t="s">
        <v>6056</v>
      </c>
      <c r="B5450" s="9">
        <v>0.1</v>
      </c>
    </row>
    <row r="5451" spans="1:2" x14ac:dyDescent="0.25">
      <c r="A5451" t="s">
        <v>6057</v>
      </c>
      <c r="B5451" s="9">
        <v>0.1</v>
      </c>
    </row>
    <row r="5452" spans="1:2" x14ac:dyDescent="0.25">
      <c r="A5452" t="s">
        <v>6058</v>
      </c>
      <c r="B5452" s="9">
        <v>0</v>
      </c>
    </row>
    <row r="5453" spans="1:2" x14ac:dyDescent="0.25">
      <c r="A5453" t="s">
        <v>6059</v>
      </c>
      <c r="B5453" s="9">
        <v>0</v>
      </c>
    </row>
    <row r="5454" spans="1:2" x14ac:dyDescent="0.25">
      <c r="A5454" t="s">
        <v>6060</v>
      </c>
      <c r="B5454" s="9">
        <v>0</v>
      </c>
    </row>
    <row r="5455" spans="1:2" x14ac:dyDescent="0.25">
      <c r="A5455" t="s">
        <v>6061</v>
      </c>
      <c r="B5455" s="9">
        <v>0</v>
      </c>
    </row>
    <row r="5456" spans="1:2" x14ac:dyDescent="0.25">
      <c r="A5456" t="s">
        <v>6062</v>
      </c>
      <c r="B5456" s="9">
        <v>0</v>
      </c>
    </row>
    <row r="5457" spans="1:2" x14ac:dyDescent="0.25">
      <c r="A5457" t="s">
        <v>6063</v>
      </c>
      <c r="B5457" s="9">
        <v>0</v>
      </c>
    </row>
    <row r="5458" spans="1:2" x14ac:dyDescent="0.25">
      <c r="A5458" t="s">
        <v>6064</v>
      </c>
      <c r="B5458" s="9">
        <v>0</v>
      </c>
    </row>
    <row r="5459" spans="1:2" x14ac:dyDescent="0.25">
      <c r="A5459" t="s">
        <v>6065</v>
      </c>
      <c r="B5459" s="9">
        <v>0</v>
      </c>
    </row>
    <row r="5460" spans="1:2" x14ac:dyDescent="0.25">
      <c r="A5460" t="s">
        <v>6066</v>
      </c>
      <c r="B5460" s="9">
        <v>0</v>
      </c>
    </row>
    <row r="5461" spans="1:2" x14ac:dyDescent="0.25">
      <c r="A5461" t="s">
        <v>6067</v>
      </c>
      <c r="B5461" s="9">
        <v>0.05</v>
      </c>
    </row>
    <row r="5462" spans="1:2" x14ac:dyDescent="0.25">
      <c r="A5462" t="s">
        <v>6068</v>
      </c>
      <c r="B5462" s="9">
        <v>0.05</v>
      </c>
    </row>
    <row r="5463" spans="1:2" x14ac:dyDescent="0.25">
      <c r="A5463" t="s">
        <v>6069</v>
      </c>
      <c r="B5463" s="9">
        <v>0.05</v>
      </c>
    </row>
    <row r="5464" spans="1:2" x14ac:dyDescent="0.25">
      <c r="A5464" t="s">
        <v>6070</v>
      </c>
      <c r="B5464" s="9">
        <v>0</v>
      </c>
    </row>
    <row r="5465" spans="1:2" x14ac:dyDescent="0.25">
      <c r="A5465" t="s">
        <v>6071</v>
      </c>
      <c r="B5465" s="9">
        <v>0</v>
      </c>
    </row>
    <row r="5466" spans="1:2" x14ac:dyDescent="0.25">
      <c r="A5466" t="s">
        <v>6072</v>
      </c>
      <c r="B5466" s="9">
        <v>0</v>
      </c>
    </row>
    <row r="5467" spans="1:2" x14ac:dyDescent="0.25">
      <c r="A5467" t="s">
        <v>6073</v>
      </c>
      <c r="B5467" s="9">
        <v>0</v>
      </c>
    </row>
    <row r="5468" spans="1:2" x14ac:dyDescent="0.25">
      <c r="A5468" t="s">
        <v>6074</v>
      </c>
      <c r="B5468" s="9">
        <v>0.05</v>
      </c>
    </row>
    <row r="5469" spans="1:2" x14ac:dyDescent="0.25">
      <c r="A5469" t="s">
        <v>6075</v>
      </c>
      <c r="B5469" s="9">
        <v>0.05</v>
      </c>
    </row>
    <row r="5470" spans="1:2" x14ac:dyDescent="0.25">
      <c r="A5470" t="s">
        <v>6076</v>
      </c>
      <c r="B5470" s="9">
        <v>0</v>
      </c>
    </row>
    <row r="5471" spans="1:2" x14ac:dyDescent="0.25">
      <c r="A5471" t="s">
        <v>6077</v>
      </c>
      <c r="B5471" s="9">
        <v>0</v>
      </c>
    </row>
    <row r="5472" spans="1:2" x14ac:dyDescent="0.25">
      <c r="A5472" t="s">
        <v>6078</v>
      </c>
      <c r="B5472" s="9">
        <v>0</v>
      </c>
    </row>
    <row r="5473" spans="1:2" x14ac:dyDescent="0.25">
      <c r="A5473" t="s">
        <v>6079</v>
      </c>
      <c r="B5473" s="9">
        <v>0</v>
      </c>
    </row>
    <row r="5474" spans="1:2" x14ac:dyDescent="0.25">
      <c r="A5474" t="s">
        <v>6080</v>
      </c>
      <c r="B5474" s="9">
        <v>0</v>
      </c>
    </row>
    <row r="5475" spans="1:2" x14ac:dyDescent="0.25">
      <c r="A5475" t="s">
        <v>6081</v>
      </c>
      <c r="B5475" s="9">
        <v>0</v>
      </c>
    </row>
    <row r="5476" spans="1:2" x14ac:dyDescent="0.25">
      <c r="A5476" t="s">
        <v>6082</v>
      </c>
      <c r="B5476" s="9">
        <v>0</v>
      </c>
    </row>
    <row r="5477" spans="1:2" x14ac:dyDescent="0.25">
      <c r="A5477" t="s">
        <v>6083</v>
      </c>
      <c r="B5477" s="9">
        <v>0</v>
      </c>
    </row>
    <row r="5478" spans="1:2" x14ac:dyDescent="0.25">
      <c r="A5478" t="s">
        <v>6084</v>
      </c>
      <c r="B5478" s="9">
        <v>0</v>
      </c>
    </row>
    <row r="5479" spans="1:2" x14ac:dyDescent="0.25">
      <c r="A5479" t="s">
        <v>6085</v>
      </c>
      <c r="B5479" s="9">
        <v>0</v>
      </c>
    </row>
    <row r="5480" spans="1:2" x14ac:dyDescent="0.25">
      <c r="A5480" t="s">
        <v>6086</v>
      </c>
      <c r="B5480" s="9">
        <v>0</v>
      </c>
    </row>
    <row r="5481" spans="1:2" x14ac:dyDescent="0.25">
      <c r="A5481" t="s">
        <v>6087</v>
      </c>
      <c r="B5481" s="9">
        <v>0</v>
      </c>
    </row>
    <row r="5482" spans="1:2" x14ac:dyDescent="0.25">
      <c r="A5482" t="s">
        <v>6088</v>
      </c>
      <c r="B5482" s="9">
        <v>0</v>
      </c>
    </row>
    <row r="5483" spans="1:2" x14ac:dyDescent="0.25">
      <c r="A5483" t="s">
        <v>6089</v>
      </c>
      <c r="B5483" s="9">
        <v>0</v>
      </c>
    </row>
    <row r="5484" spans="1:2" x14ac:dyDescent="0.25">
      <c r="A5484" t="s">
        <v>6090</v>
      </c>
      <c r="B5484" s="9">
        <v>0</v>
      </c>
    </row>
    <row r="5485" spans="1:2" x14ac:dyDescent="0.25">
      <c r="A5485" t="s">
        <v>6091</v>
      </c>
      <c r="B5485" s="9">
        <v>0</v>
      </c>
    </row>
    <row r="5486" spans="1:2" x14ac:dyDescent="0.25">
      <c r="A5486" t="s">
        <v>6092</v>
      </c>
      <c r="B5486" s="9">
        <v>0</v>
      </c>
    </row>
    <row r="5487" spans="1:2" x14ac:dyDescent="0.25">
      <c r="A5487" t="s">
        <v>6093</v>
      </c>
      <c r="B5487" s="9">
        <v>0</v>
      </c>
    </row>
    <row r="5488" spans="1:2" x14ac:dyDescent="0.25">
      <c r="A5488" t="s">
        <v>6094</v>
      </c>
      <c r="B5488" s="9">
        <v>0</v>
      </c>
    </row>
    <row r="5489" spans="1:2" x14ac:dyDescent="0.25">
      <c r="A5489" t="s">
        <v>6095</v>
      </c>
      <c r="B5489" s="9">
        <v>0</v>
      </c>
    </row>
    <row r="5490" spans="1:2" x14ac:dyDescent="0.25">
      <c r="A5490" t="s">
        <v>6096</v>
      </c>
      <c r="B5490" s="9">
        <v>0</v>
      </c>
    </row>
    <row r="5491" spans="1:2" x14ac:dyDescent="0.25">
      <c r="A5491" t="s">
        <v>6097</v>
      </c>
      <c r="B5491" s="9">
        <v>0</v>
      </c>
    </row>
    <row r="5492" spans="1:2" x14ac:dyDescent="0.25">
      <c r="A5492" t="s">
        <v>6098</v>
      </c>
      <c r="B5492" s="9">
        <v>0</v>
      </c>
    </row>
    <row r="5493" spans="1:2" x14ac:dyDescent="0.25">
      <c r="A5493" t="s">
        <v>6099</v>
      </c>
      <c r="B5493" s="9">
        <v>0</v>
      </c>
    </row>
    <row r="5494" spans="1:2" x14ac:dyDescent="0.25">
      <c r="A5494" t="s">
        <v>6100</v>
      </c>
      <c r="B5494" s="9">
        <v>0</v>
      </c>
    </row>
    <row r="5495" spans="1:2" x14ac:dyDescent="0.25">
      <c r="A5495" t="s">
        <v>6101</v>
      </c>
      <c r="B5495" s="9">
        <v>0</v>
      </c>
    </row>
    <row r="5496" spans="1:2" x14ac:dyDescent="0.25">
      <c r="A5496" t="s">
        <v>6102</v>
      </c>
      <c r="B5496" s="9">
        <v>0</v>
      </c>
    </row>
    <row r="5497" spans="1:2" x14ac:dyDescent="0.25">
      <c r="A5497" t="s">
        <v>6103</v>
      </c>
      <c r="B5497" s="9">
        <v>0</v>
      </c>
    </row>
    <row r="5498" spans="1:2" x14ac:dyDescent="0.25">
      <c r="A5498" t="s">
        <v>6104</v>
      </c>
      <c r="B5498" s="9">
        <v>0</v>
      </c>
    </row>
    <row r="5499" spans="1:2" x14ac:dyDescent="0.25">
      <c r="A5499" t="s">
        <v>6105</v>
      </c>
      <c r="B5499" s="9">
        <v>0</v>
      </c>
    </row>
    <row r="5500" spans="1:2" x14ac:dyDescent="0.25">
      <c r="A5500" t="s">
        <v>6106</v>
      </c>
      <c r="B5500" s="9">
        <v>0</v>
      </c>
    </row>
    <row r="5501" spans="1:2" x14ac:dyDescent="0.25">
      <c r="A5501" t="s">
        <v>6107</v>
      </c>
      <c r="B5501" s="9">
        <v>0</v>
      </c>
    </row>
    <row r="5502" spans="1:2" x14ac:dyDescent="0.25">
      <c r="A5502" t="s">
        <v>6108</v>
      </c>
      <c r="B5502" s="9">
        <v>0</v>
      </c>
    </row>
    <row r="5503" spans="1:2" x14ac:dyDescent="0.25">
      <c r="A5503" t="s">
        <v>6109</v>
      </c>
      <c r="B5503" s="9">
        <v>0</v>
      </c>
    </row>
    <row r="5504" spans="1:2" x14ac:dyDescent="0.25">
      <c r="A5504" t="s">
        <v>6110</v>
      </c>
      <c r="B5504" s="9">
        <v>0</v>
      </c>
    </row>
    <row r="5505" spans="1:2" x14ac:dyDescent="0.25">
      <c r="A5505" t="s">
        <v>6111</v>
      </c>
      <c r="B5505" s="9">
        <v>0</v>
      </c>
    </row>
    <row r="5506" spans="1:2" x14ac:dyDescent="0.25">
      <c r="A5506" t="s">
        <v>6112</v>
      </c>
      <c r="B5506" s="9">
        <v>0</v>
      </c>
    </row>
    <row r="5507" spans="1:2" x14ac:dyDescent="0.25">
      <c r="A5507" t="s">
        <v>6113</v>
      </c>
      <c r="B5507" s="9">
        <v>0</v>
      </c>
    </row>
    <row r="5508" spans="1:2" x14ac:dyDescent="0.25">
      <c r="A5508" t="s">
        <v>6114</v>
      </c>
      <c r="B5508" s="9">
        <v>0</v>
      </c>
    </row>
    <row r="5509" spans="1:2" x14ac:dyDescent="0.25">
      <c r="A5509" t="s">
        <v>6115</v>
      </c>
      <c r="B5509" s="9">
        <v>0</v>
      </c>
    </row>
    <row r="5510" spans="1:2" x14ac:dyDescent="0.25">
      <c r="A5510" t="s">
        <v>6116</v>
      </c>
      <c r="B5510" s="9">
        <v>0</v>
      </c>
    </row>
    <row r="5511" spans="1:2" x14ac:dyDescent="0.25">
      <c r="A5511" t="s">
        <v>6117</v>
      </c>
      <c r="B5511" s="9">
        <v>0</v>
      </c>
    </row>
    <row r="5512" spans="1:2" x14ac:dyDescent="0.25">
      <c r="A5512" t="s">
        <v>6118</v>
      </c>
      <c r="B5512" s="9">
        <v>0</v>
      </c>
    </row>
    <row r="5513" spans="1:2" x14ac:dyDescent="0.25">
      <c r="A5513" t="s">
        <v>6119</v>
      </c>
      <c r="B5513" s="9">
        <v>0</v>
      </c>
    </row>
    <row r="5514" spans="1:2" x14ac:dyDescent="0.25">
      <c r="A5514" t="s">
        <v>6120</v>
      </c>
      <c r="B5514" s="9">
        <v>0</v>
      </c>
    </row>
    <row r="5515" spans="1:2" x14ac:dyDescent="0.25">
      <c r="A5515" t="s">
        <v>6121</v>
      </c>
      <c r="B5515" s="9">
        <v>0</v>
      </c>
    </row>
    <row r="5516" spans="1:2" x14ac:dyDescent="0.25">
      <c r="A5516" t="s">
        <v>6122</v>
      </c>
      <c r="B5516" s="9">
        <v>0</v>
      </c>
    </row>
    <row r="5517" spans="1:2" x14ac:dyDescent="0.25">
      <c r="A5517" t="s">
        <v>6123</v>
      </c>
      <c r="B5517" s="9">
        <v>0</v>
      </c>
    </row>
    <row r="5518" spans="1:2" x14ac:dyDescent="0.25">
      <c r="A5518" t="s">
        <v>6124</v>
      </c>
      <c r="B5518" s="9">
        <v>0</v>
      </c>
    </row>
    <row r="5519" spans="1:2" x14ac:dyDescent="0.25">
      <c r="A5519" t="s">
        <v>6125</v>
      </c>
      <c r="B5519" s="9">
        <v>0.05</v>
      </c>
    </row>
    <row r="5520" spans="1:2" x14ac:dyDescent="0.25">
      <c r="A5520" t="s">
        <v>6126</v>
      </c>
      <c r="B5520" s="9">
        <v>0.15</v>
      </c>
    </row>
    <row r="5521" spans="1:2" x14ac:dyDescent="0.25">
      <c r="A5521" t="s">
        <v>6127</v>
      </c>
      <c r="B5521" s="9">
        <v>0.05</v>
      </c>
    </row>
    <row r="5522" spans="1:2" x14ac:dyDescent="0.25">
      <c r="A5522" t="s">
        <v>6128</v>
      </c>
      <c r="B5522" s="9">
        <v>0.15</v>
      </c>
    </row>
    <row r="5523" spans="1:2" x14ac:dyDescent="0.25">
      <c r="A5523" t="s">
        <v>6129</v>
      </c>
      <c r="B5523" s="9">
        <v>0.05</v>
      </c>
    </row>
    <row r="5524" spans="1:2" x14ac:dyDescent="0.25">
      <c r="A5524" t="s">
        <v>6130</v>
      </c>
      <c r="B5524" s="9">
        <v>0.05</v>
      </c>
    </row>
    <row r="5525" spans="1:2" x14ac:dyDescent="0.25">
      <c r="A5525" t="s">
        <v>6131</v>
      </c>
      <c r="B5525" s="9">
        <v>0.05</v>
      </c>
    </row>
    <row r="5526" spans="1:2" x14ac:dyDescent="0.25">
      <c r="A5526" t="s">
        <v>6132</v>
      </c>
      <c r="B5526" s="9">
        <v>0.05</v>
      </c>
    </row>
    <row r="5527" spans="1:2" x14ac:dyDescent="0.25">
      <c r="A5527" t="s">
        <v>6133</v>
      </c>
      <c r="B5527" s="9">
        <v>0.05</v>
      </c>
    </row>
    <row r="5528" spans="1:2" x14ac:dyDescent="0.25">
      <c r="A5528" t="s">
        <v>6134</v>
      </c>
      <c r="B5528" s="9">
        <v>0.05</v>
      </c>
    </row>
    <row r="5529" spans="1:2" x14ac:dyDescent="0.25">
      <c r="A5529" t="s">
        <v>6135</v>
      </c>
      <c r="B5529" s="9">
        <v>0.05</v>
      </c>
    </row>
    <row r="5530" spans="1:2" x14ac:dyDescent="0.25">
      <c r="A5530" t="s">
        <v>6136</v>
      </c>
      <c r="B5530" s="9">
        <v>0.05</v>
      </c>
    </row>
    <row r="5531" spans="1:2" x14ac:dyDescent="0.25">
      <c r="A5531" t="s">
        <v>6137</v>
      </c>
      <c r="B5531" s="9">
        <v>0.05</v>
      </c>
    </row>
    <row r="5532" spans="1:2" x14ac:dyDescent="0.25">
      <c r="A5532" t="s">
        <v>6138</v>
      </c>
      <c r="B5532" s="9">
        <v>0.05</v>
      </c>
    </row>
    <row r="5533" spans="1:2" x14ac:dyDescent="0.25">
      <c r="A5533" t="s">
        <v>6139</v>
      </c>
      <c r="B5533" s="9">
        <v>0.05</v>
      </c>
    </row>
    <row r="5534" spans="1:2" x14ac:dyDescent="0.25">
      <c r="A5534" t="s">
        <v>6140</v>
      </c>
      <c r="B5534" s="9">
        <v>0.05</v>
      </c>
    </row>
    <row r="5535" spans="1:2" x14ac:dyDescent="0.25">
      <c r="A5535" t="s">
        <v>6141</v>
      </c>
      <c r="B5535" s="9">
        <v>0.05</v>
      </c>
    </row>
    <row r="5536" spans="1:2" x14ac:dyDescent="0.25">
      <c r="A5536" t="s">
        <v>6142</v>
      </c>
      <c r="B5536" s="9">
        <v>0.05</v>
      </c>
    </row>
    <row r="5537" spans="1:2" x14ac:dyDescent="0.25">
      <c r="A5537" t="s">
        <v>6143</v>
      </c>
      <c r="B5537" s="9">
        <v>0</v>
      </c>
    </row>
    <row r="5538" spans="1:2" x14ac:dyDescent="0.25">
      <c r="A5538" t="s">
        <v>6144</v>
      </c>
      <c r="B5538" s="9">
        <v>0.05</v>
      </c>
    </row>
    <row r="5539" spans="1:2" x14ac:dyDescent="0.25">
      <c r="A5539" t="s">
        <v>6145</v>
      </c>
      <c r="B5539" s="9">
        <v>0.05</v>
      </c>
    </row>
    <row r="5540" spans="1:2" x14ac:dyDescent="0.25">
      <c r="A5540" t="s">
        <v>6146</v>
      </c>
      <c r="B5540" s="9">
        <v>0.05</v>
      </c>
    </row>
    <row r="5541" spans="1:2" x14ac:dyDescent="0.25">
      <c r="A5541" t="s">
        <v>6147</v>
      </c>
      <c r="B5541" s="9">
        <v>0.05</v>
      </c>
    </row>
    <row r="5542" spans="1:2" x14ac:dyDescent="0.25">
      <c r="A5542" t="s">
        <v>6148</v>
      </c>
      <c r="B5542" s="9">
        <v>0</v>
      </c>
    </row>
    <row r="5543" spans="1:2" x14ac:dyDescent="0.25">
      <c r="A5543" t="s">
        <v>6149</v>
      </c>
      <c r="B5543" s="9">
        <v>0.05</v>
      </c>
    </row>
    <row r="5544" spans="1:2" x14ac:dyDescent="0.25">
      <c r="A5544" t="s">
        <v>6150</v>
      </c>
      <c r="B5544" s="9">
        <v>0.05</v>
      </c>
    </row>
    <row r="5545" spans="1:2" x14ac:dyDescent="0.25">
      <c r="A5545" t="s">
        <v>6151</v>
      </c>
      <c r="B5545" s="9">
        <v>0.05</v>
      </c>
    </row>
    <row r="5546" spans="1:2" x14ac:dyDescent="0.25">
      <c r="A5546" t="s">
        <v>6152</v>
      </c>
      <c r="B5546" s="9">
        <v>0.05</v>
      </c>
    </row>
    <row r="5547" spans="1:2" x14ac:dyDescent="0.25">
      <c r="A5547" t="s">
        <v>6153</v>
      </c>
      <c r="B5547" s="9">
        <v>0.05</v>
      </c>
    </row>
    <row r="5548" spans="1:2" x14ac:dyDescent="0.25">
      <c r="A5548" t="s">
        <v>6154</v>
      </c>
      <c r="B5548" s="9">
        <v>0.05</v>
      </c>
    </row>
    <row r="5549" spans="1:2" x14ac:dyDescent="0.25">
      <c r="A5549" t="s">
        <v>6155</v>
      </c>
      <c r="B5549" s="9">
        <v>0.05</v>
      </c>
    </row>
    <row r="5550" spans="1:2" x14ac:dyDescent="0.25">
      <c r="A5550" t="s">
        <v>6156</v>
      </c>
      <c r="B5550" s="9">
        <v>0.05</v>
      </c>
    </row>
    <row r="5551" spans="1:2" x14ac:dyDescent="0.25">
      <c r="A5551" t="s">
        <v>6157</v>
      </c>
      <c r="B5551" s="9">
        <v>0.05</v>
      </c>
    </row>
    <row r="5552" spans="1:2" x14ac:dyDescent="0.25">
      <c r="A5552" t="s">
        <v>6158</v>
      </c>
      <c r="B5552" s="9">
        <v>0.05</v>
      </c>
    </row>
    <row r="5553" spans="1:2" x14ac:dyDescent="0.25">
      <c r="A5553" t="s">
        <v>6159</v>
      </c>
      <c r="B5553" s="9">
        <v>0.05</v>
      </c>
    </row>
    <row r="5554" spans="1:2" x14ac:dyDescent="0.25">
      <c r="A5554" t="s">
        <v>6160</v>
      </c>
      <c r="B5554" s="9">
        <v>0.05</v>
      </c>
    </row>
    <row r="5555" spans="1:2" x14ac:dyDescent="0.25">
      <c r="A5555" t="s">
        <v>6161</v>
      </c>
      <c r="B5555" s="9">
        <v>0.05</v>
      </c>
    </row>
    <row r="5556" spans="1:2" x14ac:dyDescent="0.25">
      <c r="A5556" t="s">
        <v>6162</v>
      </c>
      <c r="B5556" s="9">
        <v>0.05</v>
      </c>
    </row>
    <row r="5557" spans="1:2" x14ac:dyDescent="0.25">
      <c r="A5557" t="s">
        <v>6163</v>
      </c>
      <c r="B5557" s="9">
        <v>0.05</v>
      </c>
    </row>
    <row r="5558" spans="1:2" x14ac:dyDescent="0.25">
      <c r="A5558" t="s">
        <v>6164</v>
      </c>
      <c r="B5558" s="9">
        <v>0.05</v>
      </c>
    </row>
    <row r="5559" spans="1:2" x14ac:dyDescent="0.25">
      <c r="A5559" t="s">
        <v>6165</v>
      </c>
      <c r="B5559" s="9">
        <v>0.05</v>
      </c>
    </row>
    <row r="5560" spans="1:2" x14ac:dyDescent="0.25">
      <c r="A5560" t="s">
        <v>6166</v>
      </c>
      <c r="B5560" s="9">
        <v>0.05</v>
      </c>
    </row>
    <row r="5561" spans="1:2" x14ac:dyDescent="0.25">
      <c r="A5561" t="s">
        <v>6167</v>
      </c>
      <c r="B5561" s="9">
        <v>0.05</v>
      </c>
    </row>
    <row r="5562" spans="1:2" x14ac:dyDescent="0.25">
      <c r="A5562" t="s">
        <v>6168</v>
      </c>
      <c r="B5562" s="9">
        <v>0.05</v>
      </c>
    </row>
    <row r="5563" spans="1:2" x14ac:dyDescent="0.25">
      <c r="A5563" t="s">
        <v>6169</v>
      </c>
      <c r="B5563" s="9">
        <v>0.05</v>
      </c>
    </row>
    <row r="5564" spans="1:2" x14ac:dyDescent="0.25">
      <c r="A5564" t="s">
        <v>6170</v>
      </c>
      <c r="B5564" s="9">
        <v>0.05</v>
      </c>
    </row>
    <row r="5565" spans="1:2" x14ac:dyDescent="0.25">
      <c r="A5565" t="s">
        <v>6171</v>
      </c>
      <c r="B5565" s="9">
        <v>0.05</v>
      </c>
    </row>
    <row r="5566" spans="1:2" x14ac:dyDescent="0.25">
      <c r="A5566" t="s">
        <v>6172</v>
      </c>
      <c r="B5566" s="9">
        <v>0.05</v>
      </c>
    </row>
    <row r="5567" spans="1:2" x14ac:dyDescent="0.25">
      <c r="A5567" t="s">
        <v>6173</v>
      </c>
      <c r="B5567" s="9">
        <v>0.05</v>
      </c>
    </row>
    <row r="5568" spans="1:2" x14ac:dyDescent="0.25">
      <c r="A5568" t="s">
        <v>6174</v>
      </c>
      <c r="B5568" s="9">
        <v>0.05</v>
      </c>
    </row>
    <row r="5569" spans="1:2" x14ac:dyDescent="0.25">
      <c r="A5569" t="s">
        <v>6175</v>
      </c>
      <c r="B5569" s="9">
        <v>0.05</v>
      </c>
    </row>
    <row r="5570" spans="1:2" x14ac:dyDescent="0.25">
      <c r="A5570" t="s">
        <v>6176</v>
      </c>
      <c r="B5570" s="9">
        <v>0.05</v>
      </c>
    </row>
    <row r="5571" spans="1:2" x14ac:dyDescent="0.25">
      <c r="A5571" t="s">
        <v>6177</v>
      </c>
      <c r="B5571" s="9">
        <v>0.05</v>
      </c>
    </row>
    <row r="5572" spans="1:2" x14ac:dyDescent="0.25">
      <c r="A5572" t="s">
        <v>6178</v>
      </c>
      <c r="B5572" s="9">
        <v>0.05</v>
      </c>
    </row>
    <row r="5573" spans="1:2" x14ac:dyDescent="0.25">
      <c r="A5573" t="s">
        <v>6179</v>
      </c>
      <c r="B5573" s="9">
        <v>0.05</v>
      </c>
    </row>
    <row r="5574" spans="1:2" x14ac:dyDescent="0.25">
      <c r="A5574" t="s">
        <v>6180</v>
      </c>
      <c r="B5574" s="9">
        <v>0.05</v>
      </c>
    </row>
    <row r="5575" spans="1:2" x14ac:dyDescent="0.25">
      <c r="A5575" t="s">
        <v>6181</v>
      </c>
      <c r="B5575" s="9">
        <v>0.05</v>
      </c>
    </row>
    <row r="5576" spans="1:2" x14ac:dyDescent="0.25">
      <c r="A5576" t="s">
        <v>6182</v>
      </c>
      <c r="B5576" s="9">
        <v>0.05</v>
      </c>
    </row>
    <row r="5577" spans="1:2" x14ac:dyDescent="0.25">
      <c r="A5577" t="s">
        <v>6183</v>
      </c>
      <c r="B5577" s="9">
        <v>0.05</v>
      </c>
    </row>
    <row r="5578" spans="1:2" x14ac:dyDescent="0.25">
      <c r="A5578" t="s">
        <v>6184</v>
      </c>
      <c r="B5578" s="9">
        <v>0.05</v>
      </c>
    </row>
    <row r="5579" spans="1:2" x14ac:dyDescent="0.25">
      <c r="A5579" t="s">
        <v>6185</v>
      </c>
      <c r="B5579" s="9">
        <v>0.05</v>
      </c>
    </row>
    <row r="5580" spans="1:2" x14ac:dyDescent="0.25">
      <c r="A5580" t="s">
        <v>6186</v>
      </c>
      <c r="B5580" s="9">
        <v>0.05</v>
      </c>
    </row>
    <row r="5581" spans="1:2" x14ac:dyDescent="0.25">
      <c r="A5581" t="s">
        <v>6187</v>
      </c>
      <c r="B5581" s="9">
        <v>0.05</v>
      </c>
    </row>
    <row r="5582" spans="1:2" x14ac:dyDescent="0.25">
      <c r="A5582" t="s">
        <v>6188</v>
      </c>
      <c r="B5582" s="9">
        <v>0.05</v>
      </c>
    </row>
    <row r="5583" spans="1:2" x14ac:dyDescent="0.25">
      <c r="A5583" t="s">
        <v>6189</v>
      </c>
      <c r="B5583" s="9">
        <v>0.05</v>
      </c>
    </row>
    <row r="5584" spans="1:2" x14ac:dyDescent="0.25">
      <c r="A5584" t="s">
        <v>6190</v>
      </c>
      <c r="B5584" s="9">
        <v>0.05</v>
      </c>
    </row>
    <row r="5585" spans="1:2" x14ac:dyDescent="0.25">
      <c r="A5585" t="s">
        <v>6191</v>
      </c>
      <c r="B5585" s="9">
        <v>0.05</v>
      </c>
    </row>
    <row r="5586" spans="1:2" x14ac:dyDescent="0.25">
      <c r="A5586" t="s">
        <v>6192</v>
      </c>
      <c r="B5586" s="9">
        <v>0.05</v>
      </c>
    </row>
    <row r="5587" spans="1:2" x14ac:dyDescent="0.25">
      <c r="A5587" t="s">
        <v>6193</v>
      </c>
      <c r="B5587" s="9">
        <v>0.05</v>
      </c>
    </row>
    <row r="5588" spans="1:2" x14ac:dyDescent="0.25">
      <c r="A5588" t="s">
        <v>6194</v>
      </c>
      <c r="B5588" s="9">
        <v>0.05</v>
      </c>
    </row>
    <row r="5589" spans="1:2" x14ac:dyDescent="0.25">
      <c r="A5589" t="s">
        <v>6195</v>
      </c>
      <c r="B5589" s="9">
        <v>0.05</v>
      </c>
    </row>
    <row r="5590" spans="1:2" x14ac:dyDescent="0.25">
      <c r="A5590" t="s">
        <v>6196</v>
      </c>
      <c r="B5590" s="9">
        <v>0.05</v>
      </c>
    </row>
    <row r="5591" spans="1:2" x14ac:dyDescent="0.25">
      <c r="A5591" t="s">
        <v>6197</v>
      </c>
      <c r="B5591" s="9">
        <v>0.05</v>
      </c>
    </row>
    <row r="5592" spans="1:2" x14ac:dyDescent="0.25">
      <c r="A5592" t="s">
        <v>6198</v>
      </c>
      <c r="B5592" s="9">
        <v>0.05</v>
      </c>
    </row>
    <row r="5593" spans="1:2" x14ac:dyDescent="0.25">
      <c r="A5593" t="s">
        <v>6199</v>
      </c>
      <c r="B5593" s="9">
        <v>0.05</v>
      </c>
    </row>
    <row r="5594" spans="1:2" x14ac:dyDescent="0.25">
      <c r="A5594" t="s">
        <v>6200</v>
      </c>
      <c r="B5594" s="9">
        <v>0.05</v>
      </c>
    </row>
    <row r="5595" spans="1:2" x14ac:dyDescent="0.25">
      <c r="A5595" t="s">
        <v>6201</v>
      </c>
      <c r="B5595" s="9">
        <v>0.05</v>
      </c>
    </row>
    <row r="5596" spans="1:2" x14ac:dyDescent="0.25">
      <c r="A5596" t="s">
        <v>6202</v>
      </c>
      <c r="B5596" s="9">
        <v>0.05</v>
      </c>
    </row>
    <row r="5597" spans="1:2" x14ac:dyDescent="0.25">
      <c r="A5597" t="s">
        <v>6203</v>
      </c>
      <c r="B5597" s="9">
        <v>0.05</v>
      </c>
    </row>
    <row r="5598" spans="1:2" x14ac:dyDescent="0.25">
      <c r="A5598" t="s">
        <v>6204</v>
      </c>
      <c r="B5598" s="9">
        <v>0.05</v>
      </c>
    </row>
    <row r="5599" spans="1:2" x14ac:dyDescent="0.25">
      <c r="A5599" t="s">
        <v>6205</v>
      </c>
      <c r="B5599" s="9">
        <v>0.05</v>
      </c>
    </row>
    <row r="5600" spans="1:2" x14ac:dyDescent="0.25">
      <c r="A5600" t="s">
        <v>6206</v>
      </c>
      <c r="B5600" s="9">
        <v>0.05</v>
      </c>
    </row>
    <row r="5601" spans="1:2" x14ac:dyDescent="0.25">
      <c r="A5601" t="s">
        <v>6207</v>
      </c>
      <c r="B5601" s="9">
        <v>0.05</v>
      </c>
    </row>
    <row r="5602" spans="1:2" x14ac:dyDescent="0.25">
      <c r="A5602" t="s">
        <v>6208</v>
      </c>
      <c r="B5602" s="9">
        <v>0.05</v>
      </c>
    </row>
    <row r="5603" spans="1:2" x14ac:dyDescent="0.25">
      <c r="A5603" t="s">
        <v>6209</v>
      </c>
      <c r="B5603" s="9">
        <v>0.05</v>
      </c>
    </row>
    <row r="5604" spans="1:2" x14ac:dyDescent="0.25">
      <c r="A5604" t="s">
        <v>6210</v>
      </c>
      <c r="B5604" s="9">
        <v>0.05</v>
      </c>
    </row>
    <row r="5605" spans="1:2" x14ac:dyDescent="0.25">
      <c r="A5605" t="s">
        <v>6211</v>
      </c>
      <c r="B5605" s="9">
        <v>0.05</v>
      </c>
    </row>
    <row r="5606" spans="1:2" x14ac:dyDescent="0.25">
      <c r="A5606" t="s">
        <v>6212</v>
      </c>
      <c r="B5606" s="9">
        <v>0.05</v>
      </c>
    </row>
    <row r="5607" spans="1:2" x14ac:dyDescent="0.25">
      <c r="A5607" t="s">
        <v>6213</v>
      </c>
      <c r="B5607" s="9">
        <v>0.05</v>
      </c>
    </row>
    <row r="5608" spans="1:2" x14ac:dyDescent="0.25">
      <c r="A5608" t="s">
        <v>6214</v>
      </c>
      <c r="B5608" s="9">
        <v>0.05</v>
      </c>
    </row>
    <row r="5609" spans="1:2" x14ac:dyDescent="0.25">
      <c r="A5609" t="s">
        <v>6215</v>
      </c>
      <c r="B5609" s="9">
        <v>0.05</v>
      </c>
    </row>
    <row r="5610" spans="1:2" x14ac:dyDescent="0.25">
      <c r="A5610" t="s">
        <v>6216</v>
      </c>
      <c r="B5610" s="9">
        <v>0.05</v>
      </c>
    </row>
    <row r="5611" spans="1:2" x14ac:dyDescent="0.25">
      <c r="A5611" t="s">
        <v>6217</v>
      </c>
      <c r="B5611" s="9">
        <v>0.05</v>
      </c>
    </row>
    <row r="5612" spans="1:2" x14ac:dyDescent="0.25">
      <c r="A5612" t="s">
        <v>6218</v>
      </c>
      <c r="B5612" s="9">
        <v>0.05</v>
      </c>
    </row>
    <row r="5613" spans="1:2" x14ac:dyDescent="0.25">
      <c r="A5613" t="s">
        <v>6219</v>
      </c>
      <c r="B5613" s="9">
        <v>0.05</v>
      </c>
    </row>
    <row r="5614" spans="1:2" x14ac:dyDescent="0.25">
      <c r="A5614" t="s">
        <v>6220</v>
      </c>
      <c r="B5614" s="9">
        <v>0.05</v>
      </c>
    </row>
    <row r="5615" spans="1:2" x14ac:dyDescent="0.25">
      <c r="A5615" t="s">
        <v>6221</v>
      </c>
      <c r="B5615" s="9">
        <v>0.05</v>
      </c>
    </row>
    <row r="5616" spans="1:2" x14ac:dyDescent="0.25">
      <c r="A5616" t="s">
        <v>6222</v>
      </c>
      <c r="B5616" s="9">
        <v>0.05</v>
      </c>
    </row>
    <row r="5617" spans="1:2" x14ac:dyDescent="0.25">
      <c r="A5617" t="s">
        <v>6223</v>
      </c>
      <c r="B5617" s="9">
        <v>0.05</v>
      </c>
    </row>
    <row r="5618" spans="1:2" x14ac:dyDescent="0.25">
      <c r="A5618" t="s">
        <v>6224</v>
      </c>
      <c r="B5618" s="9">
        <v>0.05</v>
      </c>
    </row>
    <row r="5619" spans="1:2" x14ac:dyDescent="0.25">
      <c r="A5619" t="s">
        <v>6225</v>
      </c>
      <c r="B5619" s="9">
        <v>0.05</v>
      </c>
    </row>
    <row r="5620" spans="1:2" x14ac:dyDescent="0.25">
      <c r="A5620" t="s">
        <v>6226</v>
      </c>
      <c r="B5620" s="9">
        <v>0.05</v>
      </c>
    </row>
    <row r="5621" spans="1:2" x14ac:dyDescent="0.25">
      <c r="A5621" t="s">
        <v>6227</v>
      </c>
      <c r="B5621" s="9">
        <v>0.05</v>
      </c>
    </row>
    <row r="5622" spans="1:2" x14ac:dyDescent="0.25">
      <c r="A5622" t="s">
        <v>6228</v>
      </c>
      <c r="B5622" s="9">
        <v>0.05</v>
      </c>
    </row>
    <row r="5623" spans="1:2" x14ac:dyDescent="0.25">
      <c r="A5623" t="s">
        <v>6229</v>
      </c>
      <c r="B5623" s="9">
        <v>0.05</v>
      </c>
    </row>
    <row r="5624" spans="1:2" x14ac:dyDescent="0.25">
      <c r="A5624" t="s">
        <v>6230</v>
      </c>
      <c r="B5624" s="9">
        <v>0.05</v>
      </c>
    </row>
    <row r="5625" spans="1:2" x14ac:dyDescent="0.25">
      <c r="A5625" t="s">
        <v>6231</v>
      </c>
      <c r="B5625" s="9">
        <v>0.05</v>
      </c>
    </row>
    <row r="5626" spans="1:2" x14ac:dyDescent="0.25">
      <c r="A5626" t="s">
        <v>6232</v>
      </c>
      <c r="B5626" s="9">
        <v>0.05</v>
      </c>
    </row>
    <row r="5627" spans="1:2" x14ac:dyDescent="0.25">
      <c r="A5627" t="s">
        <v>6233</v>
      </c>
      <c r="B5627" s="9">
        <v>0.05</v>
      </c>
    </row>
    <row r="5628" spans="1:2" x14ac:dyDescent="0.25">
      <c r="A5628" t="s">
        <v>6234</v>
      </c>
      <c r="B5628" s="9">
        <v>0.05</v>
      </c>
    </row>
    <row r="5629" spans="1:2" x14ac:dyDescent="0.25">
      <c r="A5629" t="s">
        <v>6235</v>
      </c>
      <c r="B5629" s="9">
        <v>0.05</v>
      </c>
    </row>
    <row r="5630" spans="1:2" x14ac:dyDescent="0.25">
      <c r="A5630" t="s">
        <v>6236</v>
      </c>
      <c r="B5630" s="9">
        <v>0.05</v>
      </c>
    </row>
    <row r="5631" spans="1:2" x14ac:dyDescent="0.25">
      <c r="A5631" t="s">
        <v>6237</v>
      </c>
      <c r="B5631" s="9">
        <v>0.05</v>
      </c>
    </row>
    <row r="5632" spans="1:2" x14ac:dyDescent="0.25">
      <c r="A5632" t="s">
        <v>6238</v>
      </c>
      <c r="B5632" s="9">
        <v>0.05</v>
      </c>
    </row>
    <row r="5633" spans="1:2" x14ac:dyDescent="0.25">
      <c r="A5633" t="s">
        <v>6239</v>
      </c>
      <c r="B5633" s="9">
        <v>0.05</v>
      </c>
    </row>
    <row r="5634" spans="1:2" x14ac:dyDescent="0.25">
      <c r="A5634" t="s">
        <v>6240</v>
      </c>
      <c r="B5634" s="9">
        <v>0.05</v>
      </c>
    </row>
    <row r="5635" spans="1:2" x14ac:dyDescent="0.25">
      <c r="A5635" t="s">
        <v>6241</v>
      </c>
      <c r="B5635" s="9">
        <v>0.05</v>
      </c>
    </row>
    <row r="5636" spans="1:2" x14ac:dyDescent="0.25">
      <c r="A5636" t="s">
        <v>6242</v>
      </c>
      <c r="B5636" s="9">
        <v>0.05</v>
      </c>
    </row>
    <row r="5637" spans="1:2" x14ac:dyDescent="0.25">
      <c r="A5637" t="s">
        <v>6243</v>
      </c>
      <c r="B5637" s="9">
        <v>0.05</v>
      </c>
    </row>
    <row r="5638" spans="1:2" x14ac:dyDescent="0.25">
      <c r="A5638" t="s">
        <v>6244</v>
      </c>
      <c r="B5638" s="9">
        <v>0.05</v>
      </c>
    </row>
    <row r="5639" spans="1:2" x14ac:dyDescent="0.25">
      <c r="A5639" t="s">
        <v>6245</v>
      </c>
      <c r="B5639" s="9">
        <v>0.05</v>
      </c>
    </row>
    <row r="5640" spans="1:2" x14ac:dyDescent="0.25">
      <c r="A5640" t="s">
        <v>6246</v>
      </c>
      <c r="B5640" s="9">
        <v>0.05</v>
      </c>
    </row>
    <row r="5641" spans="1:2" x14ac:dyDescent="0.25">
      <c r="A5641" t="s">
        <v>6247</v>
      </c>
      <c r="B5641" s="9">
        <v>0.05</v>
      </c>
    </row>
    <row r="5642" spans="1:2" x14ac:dyDescent="0.25">
      <c r="A5642" t="s">
        <v>6248</v>
      </c>
      <c r="B5642" s="9">
        <v>0.05</v>
      </c>
    </row>
    <row r="5643" spans="1:2" x14ac:dyDescent="0.25">
      <c r="A5643" t="s">
        <v>6249</v>
      </c>
      <c r="B5643" s="9">
        <v>0.05</v>
      </c>
    </row>
    <row r="5644" spans="1:2" x14ac:dyDescent="0.25">
      <c r="A5644" t="s">
        <v>6250</v>
      </c>
      <c r="B5644" s="9">
        <v>0.05</v>
      </c>
    </row>
    <row r="5645" spans="1:2" x14ac:dyDescent="0.25">
      <c r="A5645" t="s">
        <v>6251</v>
      </c>
      <c r="B5645" s="9">
        <v>0.05</v>
      </c>
    </row>
    <row r="5646" spans="1:2" x14ac:dyDescent="0.25">
      <c r="A5646" t="s">
        <v>6252</v>
      </c>
      <c r="B5646" s="9">
        <v>0.05</v>
      </c>
    </row>
    <row r="5647" spans="1:2" x14ac:dyDescent="0.25">
      <c r="A5647" t="s">
        <v>6253</v>
      </c>
      <c r="B5647" s="9">
        <v>0.05</v>
      </c>
    </row>
    <row r="5648" spans="1:2" x14ac:dyDescent="0.25">
      <c r="A5648" t="s">
        <v>6254</v>
      </c>
      <c r="B5648" s="9">
        <v>0.05</v>
      </c>
    </row>
    <row r="5649" spans="1:2" x14ac:dyDescent="0.25">
      <c r="A5649" t="s">
        <v>6255</v>
      </c>
      <c r="B5649" s="9">
        <v>0.05</v>
      </c>
    </row>
    <row r="5650" spans="1:2" x14ac:dyDescent="0.25">
      <c r="A5650" t="s">
        <v>6256</v>
      </c>
      <c r="B5650" s="9">
        <v>0.05</v>
      </c>
    </row>
    <row r="5651" spans="1:2" x14ac:dyDescent="0.25">
      <c r="A5651" t="s">
        <v>6257</v>
      </c>
      <c r="B5651" s="9">
        <v>0.05</v>
      </c>
    </row>
    <row r="5652" spans="1:2" x14ac:dyDescent="0.25">
      <c r="A5652" t="s">
        <v>6258</v>
      </c>
      <c r="B5652" s="9">
        <v>0.05</v>
      </c>
    </row>
    <row r="5653" spans="1:2" x14ac:dyDescent="0.25">
      <c r="A5653" t="s">
        <v>6259</v>
      </c>
      <c r="B5653" s="9">
        <v>0.05</v>
      </c>
    </row>
    <row r="5654" spans="1:2" x14ac:dyDescent="0.25">
      <c r="A5654" t="s">
        <v>6260</v>
      </c>
      <c r="B5654" s="9">
        <v>0.05</v>
      </c>
    </row>
    <row r="5655" spans="1:2" x14ac:dyDescent="0.25">
      <c r="A5655" t="s">
        <v>6261</v>
      </c>
      <c r="B5655" s="9">
        <v>0.05</v>
      </c>
    </row>
    <row r="5656" spans="1:2" x14ac:dyDescent="0.25">
      <c r="A5656" t="s">
        <v>6262</v>
      </c>
      <c r="B5656" s="9">
        <v>0</v>
      </c>
    </row>
    <row r="5657" spans="1:2" x14ac:dyDescent="0.25">
      <c r="A5657" t="s">
        <v>6263</v>
      </c>
      <c r="B5657" s="9">
        <v>0.45</v>
      </c>
    </row>
    <row r="5658" spans="1:2" x14ac:dyDescent="0.25">
      <c r="A5658" t="s">
        <v>6264</v>
      </c>
      <c r="B5658" s="9">
        <v>0.45</v>
      </c>
    </row>
    <row r="5659" spans="1:2" x14ac:dyDescent="0.25">
      <c r="A5659" t="s">
        <v>6265</v>
      </c>
      <c r="B5659" s="9">
        <v>0.45</v>
      </c>
    </row>
    <row r="5660" spans="1:2" x14ac:dyDescent="0.25">
      <c r="A5660" t="s">
        <v>6266</v>
      </c>
      <c r="B5660" s="9">
        <v>0.15</v>
      </c>
    </row>
    <row r="5661" spans="1:2" x14ac:dyDescent="0.25">
      <c r="A5661" t="s">
        <v>6267</v>
      </c>
      <c r="B5661" s="9">
        <v>0.2</v>
      </c>
    </row>
    <row r="5662" spans="1:2" x14ac:dyDescent="0.25">
      <c r="A5662" t="s">
        <v>6268</v>
      </c>
      <c r="B5662" s="9">
        <v>0.05</v>
      </c>
    </row>
    <row r="5663" spans="1:2" x14ac:dyDescent="0.25">
      <c r="A5663" t="s">
        <v>6269</v>
      </c>
      <c r="B5663" s="9">
        <v>0.15</v>
      </c>
    </row>
    <row r="5664" spans="1:2" x14ac:dyDescent="0.25">
      <c r="A5664" t="s">
        <v>6270</v>
      </c>
      <c r="B5664" s="9">
        <v>0.15</v>
      </c>
    </row>
    <row r="5665" spans="1:2" x14ac:dyDescent="0.25">
      <c r="A5665" t="s">
        <v>6271</v>
      </c>
      <c r="B5665" s="9">
        <v>0.05</v>
      </c>
    </row>
    <row r="5666" spans="1:2" x14ac:dyDescent="0.25">
      <c r="A5666" t="s">
        <v>6272</v>
      </c>
      <c r="B5666" s="9">
        <v>0.05</v>
      </c>
    </row>
    <row r="5667" spans="1:2" x14ac:dyDescent="0.25">
      <c r="A5667" t="s">
        <v>6273</v>
      </c>
      <c r="B5667" s="9">
        <v>0.05</v>
      </c>
    </row>
    <row r="5668" spans="1:2" x14ac:dyDescent="0.25">
      <c r="A5668" t="s">
        <v>6274</v>
      </c>
      <c r="B5668" s="9">
        <v>0</v>
      </c>
    </row>
    <row r="5669" spans="1:2" x14ac:dyDescent="0.25">
      <c r="A5669" t="s">
        <v>6275</v>
      </c>
      <c r="B5669" s="9">
        <v>0.05</v>
      </c>
    </row>
    <row r="5670" spans="1:2" x14ac:dyDescent="0.25">
      <c r="A5670" t="s">
        <v>6276</v>
      </c>
      <c r="B5670" s="9">
        <v>0.05</v>
      </c>
    </row>
    <row r="5671" spans="1:2" x14ac:dyDescent="0.25">
      <c r="A5671" t="s">
        <v>6277</v>
      </c>
      <c r="B5671" s="9">
        <v>0.05</v>
      </c>
    </row>
    <row r="5672" spans="1:2" x14ac:dyDescent="0.25">
      <c r="A5672" t="s">
        <v>6278</v>
      </c>
      <c r="B5672" s="9">
        <v>0.05</v>
      </c>
    </row>
    <row r="5673" spans="1:2" x14ac:dyDescent="0.25">
      <c r="A5673" t="s">
        <v>6279</v>
      </c>
      <c r="B5673" s="9">
        <v>0.05</v>
      </c>
    </row>
    <row r="5674" spans="1:2" x14ac:dyDescent="0.25">
      <c r="A5674" t="s">
        <v>6280</v>
      </c>
      <c r="B5674" s="9">
        <v>0.15</v>
      </c>
    </row>
    <row r="5675" spans="1:2" x14ac:dyDescent="0.25">
      <c r="A5675" t="s">
        <v>6281</v>
      </c>
      <c r="B5675" s="9">
        <v>0.15</v>
      </c>
    </row>
    <row r="5676" spans="1:2" x14ac:dyDescent="0.25">
      <c r="A5676" t="s">
        <v>6282</v>
      </c>
      <c r="B5676" s="9">
        <v>0.15</v>
      </c>
    </row>
    <row r="5677" spans="1:2" x14ac:dyDescent="0.25">
      <c r="A5677" t="s">
        <v>6283</v>
      </c>
      <c r="B5677" s="9">
        <v>0.15</v>
      </c>
    </row>
    <row r="5678" spans="1:2" x14ac:dyDescent="0.25">
      <c r="A5678" t="s">
        <v>6284</v>
      </c>
      <c r="B5678" s="9">
        <v>0.15</v>
      </c>
    </row>
    <row r="5679" spans="1:2" x14ac:dyDescent="0.25">
      <c r="A5679" t="s">
        <v>6285</v>
      </c>
      <c r="B5679" s="9">
        <v>0.15</v>
      </c>
    </row>
    <row r="5680" spans="1:2" x14ac:dyDescent="0.25">
      <c r="A5680" t="s">
        <v>6286</v>
      </c>
      <c r="B5680" s="9">
        <v>0.15</v>
      </c>
    </row>
    <row r="5681" spans="1:2" x14ac:dyDescent="0.25">
      <c r="A5681" t="s">
        <v>6287</v>
      </c>
      <c r="B5681" s="9">
        <v>0</v>
      </c>
    </row>
    <row r="5682" spans="1:2" x14ac:dyDescent="0.25">
      <c r="A5682" t="s">
        <v>6288</v>
      </c>
      <c r="B5682" s="9">
        <v>0.15</v>
      </c>
    </row>
    <row r="5683" spans="1:2" x14ac:dyDescent="0.25">
      <c r="A5683" t="s">
        <v>6289</v>
      </c>
      <c r="B5683" s="9">
        <v>0.05</v>
      </c>
    </row>
    <row r="5684" spans="1:2" x14ac:dyDescent="0.25">
      <c r="A5684" t="s">
        <v>6290</v>
      </c>
      <c r="B5684" s="9">
        <v>0.15</v>
      </c>
    </row>
    <row r="5685" spans="1:2" x14ac:dyDescent="0.25">
      <c r="A5685" t="s">
        <v>6291</v>
      </c>
      <c r="B5685" s="9">
        <v>0.15</v>
      </c>
    </row>
    <row r="5686" spans="1:2" x14ac:dyDescent="0.25">
      <c r="A5686" t="s">
        <v>6292</v>
      </c>
      <c r="B5686" s="9">
        <v>0</v>
      </c>
    </row>
    <row r="5687" spans="1:2" x14ac:dyDescent="0.25">
      <c r="A5687" t="s">
        <v>6293</v>
      </c>
      <c r="B5687" s="9">
        <v>0</v>
      </c>
    </row>
    <row r="5688" spans="1:2" x14ac:dyDescent="0.25">
      <c r="A5688" t="s">
        <v>6294</v>
      </c>
      <c r="B5688" s="9">
        <v>0.1</v>
      </c>
    </row>
    <row r="5689" spans="1:2" x14ac:dyDescent="0.25">
      <c r="A5689" t="s">
        <v>6295</v>
      </c>
      <c r="B5689" s="9">
        <v>0.1</v>
      </c>
    </row>
    <row r="5690" spans="1:2" x14ac:dyDescent="0.25">
      <c r="A5690" t="s">
        <v>6296</v>
      </c>
      <c r="B5690" s="9">
        <v>0.15</v>
      </c>
    </row>
    <row r="5691" spans="1:2" x14ac:dyDescent="0.25">
      <c r="A5691" t="s">
        <v>6297</v>
      </c>
      <c r="B5691" s="9">
        <v>0.15</v>
      </c>
    </row>
    <row r="5692" spans="1:2" x14ac:dyDescent="0.25">
      <c r="A5692" t="s">
        <v>6298</v>
      </c>
      <c r="B5692" s="9">
        <v>0.15</v>
      </c>
    </row>
    <row r="5693" spans="1:2" x14ac:dyDescent="0.25">
      <c r="A5693" t="s">
        <v>6299</v>
      </c>
      <c r="B5693" s="9">
        <v>0.15</v>
      </c>
    </row>
    <row r="5694" spans="1:2" x14ac:dyDescent="0.25">
      <c r="A5694" t="s">
        <v>6300</v>
      </c>
      <c r="B5694" s="9">
        <v>0.15</v>
      </c>
    </row>
    <row r="5695" spans="1:2" x14ac:dyDescent="0.25">
      <c r="A5695" t="s">
        <v>6301</v>
      </c>
      <c r="B5695" s="9">
        <v>0.15</v>
      </c>
    </row>
    <row r="5696" spans="1:2" x14ac:dyDescent="0.25">
      <c r="A5696" t="s">
        <v>6302</v>
      </c>
      <c r="B5696" s="9">
        <v>0.15</v>
      </c>
    </row>
    <row r="5697" spans="1:2" x14ac:dyDescent="0.25">
      <c r="A5697" t="s">
        <v>6303</v>
      </c>
      <c r="B5697" s="9">
        <v>0.15</v>
      </c>
    </row>
    <row r="5698" spans="1:2" x14ac:dyDescent="0.25">
      <c r="A5698" t="s">
        <v>6304</v>
      </c>
      <c r="B5698" s="9">
        <v>0.15</v>
      </c>
    </row>
    <row r="5699" spans="1:2" x14ac:dyDescent="0.25">
      <c r="A5699" t="s">
        <v>6305</v>
      </c>
      <c r="B5699" s="9">
        <v>0.15</v>
      </c>
    </row>
    <row r="5700" spans="1:2" x14ac:dyDescent="0.25">
      <c r="A5700" t="s">
        <v>6306</v>
      </c>
      <c r="B5700" s="9">
        <v>0.15</v>
      </c>
    </row>
    <row r="5701" spans="1:2" x14ac:dyDescent="0.25">
      <c r="A5701" t="s">
        <v>6307</v>
      </c>
      <c r="B5701" s="9">
        <v>0</v>
      </c>
    </row>
    <row r="5702" spans="1:2" x14ac:dyDescent="0.25">
      <c r="A5702" t="s">
        <v>6308</v>
      </c>
      <c r="B5702" s="9">
        <v>0</v>
      </c>
    </row>
    <row r="5703" spans="1:2" x14ac:dyDescent="0.25">
      <c r="A5703" t="s">
        <v>6309</v>
      </c>
      <c r="B5703" s="9">
        <v>0</v>
      </c>
    </row>
    <row r="5704" spans="1:2" x14ac:dyDescent="0.25">
      <c r="A5704" t="s">
        <v>6310</v>
      </c>
      <c r="B5704" s="9">
        <v>0</v>
      </c>
    </row>
    <row r="5705" spans="1:2" x14ac:dyDescent="0.25">
      <c r="A5705" t="s">
        <v>6311</v>
      </c>
      <c r="B5705" s="9">
        <v>0</v>
      </c>
    </row>
    <row r="5706" spans="1:2" x14ac:dyDescent="0.25">
      <c r="A5706" t="s">
        <v>6312</v>
      </c>
      <c r="B5706" s="9">
        <v>0</v>
      </c>
    </row>
    <row r="5707" spans="1:2" x14ac:dyDescent="0.25">
      <c r="A5707" t="s">
        <v>6313</v>
      </c>
      <c r="B5707" s="9">
        <v>0</v>
      </c>
    </row>
    <row r="5708" spans="1:2" x14ac:dyDescent="0.25">
      <c r="A5708" t="s">
        <v>6314</v>
      </c>
      <c r="B5708" s="9">
        <v>0</v>
      </c>
    </row>
    <row r="5709" spans="1:2" x14ac:dyDescent="0.25">
      <c r="A5709" t="s">
        <v>6315</v>
      </c>
      <c r="B5709" s="9">
        <v>0</v>
      </c>
    </row>
    <row r="5710" spans="1:2" x14ac:dyDescent="0.25">
      <c r="A5710" t="s">
        <v>6316</v>
      </c>
      <c r="B5710" s="9">
        <v>0</v>
      </c>
    </row>
    <row r="5711" spans="1:2" x14ac:dyDescent="0.25">
      <c r="A5711" t="s">
        <v>6317</v>
      </c>
      <c r="B5711" s="9">
        <v>0</v>
      </c>
    </row>
    <row r="5712" spans="1:2" x14ac:dyDescent="0.25">
      <c r="A5712" t="s">
        <v>6318</v>
      </c>
      <c r="B5712" s="9">
        <v>0</v>
      </c>
    </row>
    <row r="5713" spans="1:2" x14ac:dyDescent="0.25">
      <c r="A5713" t="s">
        <v>6319</v>
      </c>
      <c r="B5713" s="9">
        <v>0</v>
      </c>
    </row>
    <row r="5714" spans="1:2" x14ac:dyDescent="0.25">
      <c r="A5714" t="s">
        <v>6320</v>
      </c>
      <c r="B5714" s="9">
        <v>0</v>
      </c>
    </row>
    <row r="5715" spans="1:2" x14ac:dyDescent="0.25">
      <c r="A5715" t="s">
        <v>6321</v>
      </c>
      <c r="B5715" s="9">
        <v>0</v>
      </c>
    </row>
    <row r="5716" spans="1:2" x14ac:dyDescent="0.25">
      <c r="A5716" t="s">
        <v>6322</v>
      </c>
      <c r="B5716" s="9">
        <v>0</v>
      </c>
    </row>
    <row r="5717" spans="1:2" x14ac:dyDescent="0.25">
      <c r="A5717" t="s">
        <v>6323</v>
      </c>
      <c r="B5717" s="9">
        <v>0</v>
      </c>
    </row>
    <row r="5718" spans="1:2" x14ac:dyDescent="0.25">
      <c r="A5718" t="s">
        <v>6324</v>
      </c>
      <c r="B5718" s="9">
        <v>0</v>
      </c>
    </row>
    <row r="5719" spans="1:2" x14ac:dyDescent="0.25">
      <c r="A5719" t="s">
        <v>6325</v>
      </c>
      <c r="B5719" s="9">
        <v>0</v>
      </c>
    </row>
    <row r="5720" spans="1:2" x14ac:dyDescent="0.25">
      <c r="A5720" t="s">
        <v>6326</v>
      </c>
      <c r="B5720" s="9">
        <v>0</v>
      </c>
    </row>
    <row r="5721" spans="1:2" x14ac:dyDescent="0.25">
      <c r="A5721" t="s">
        <v>6327</v>
      </c>
      <c r="B5721" s="9">
        <v>0.1</v>
      </c>
    </row>
    <row r="5722" spans="1:2" x14ac:dyDescent="0.25">
      <c r="A5722" t="s">
        <v>6328</v>
      </c>
      <c r="B5722" s="9">
        <v>0</v>
      </c>
    </row>
    <row r="5723" spans="1:2" x14ac:dyDescent="0.25">
      <c r="A5723" t="s">
        <v>6329</v>
      </c>
      <c r="B5723" s="9">
        <v>0</v>
      </c>
    </row>
    <row r="5724" spans="1:2" x14ac:dyDescent="0.25">
      <c r="A5724" t="s">
        <v>6330</v>
      </c>
      <c r="B5724" s="9">
        <v>0</v>
      </c>
    </row>
    <row r="5725" spans="1:2" x14ac:dyDescent="0.25">
      <c r="A5725" t="s">
        <v>6331</v>
      </c>
      <c r="B5725" s="9">
        <v>0</v>
      </c>
    </row>
    <row r="5726" spans="1:2" x14ac:dyDescent="0.25">
      <c r="A5726" t="s">
        <v>6332</v>
      </c>
      <c r="B5726" s="9">
        <v>0</v>
      </c>
    </row>
    <row r="5727" spans="1:2" x14ac:dyDescent="0.25">
      <c r="A5727" t="s">
        <v>6333</v>
      </c>
      <c r="B5727" s="9">
        <v>0</v>
      </c>
    </row>
    <row r="5728" spans="1:2" x14ac:dyDescent="0.25">
      <c r="A5728" t="s">
        <v>6334</v>
      </c>
      <c r="B5728" s="9">
        <v>0</v>
      </c>
    </row>
    <row r="5729" spans="1:2" x14ac:dyDescent="0.25">
      <c r="A5729" t="s">
        <v>6335</v>
      </c>
      <c r="B5729" s="9">
        <v>0</v>
      </c>
    </row>
    <row r="5730" spans="1:2" x14ac:dyDescent="0.25">
      <c r="A5730" t="s">
        <v>6336</v>
      </c>
      <c r="B5730" s="9">
        <v>0</v>
      </c>
    </row>
    <row r="5731" spans="1:2" x14ac:dyDescent="0.25">
      <c r="A5731" t="s">
        <v>6337</v>
      </c>
      <c r="B5731" s="9">
        <v>0</v>
      </c>
    </row>
    <row r="5732" spans="1:2" x14ac:dyDescent="0.25">
      <c r="A5732" t="s">
        <v>6338</v>
      </c>
      <c r="B5732" s="9">
        <v>0</v>
      </c>
    </row>
    <row r="5733" spans="1:2" x14ac:dyDescent="0.25">
      <c r="A5733" t="s">
        <v>6339</v>
      </c>
      <c r="B5733" s="9">
        <v>0</v>
      </c>
    </row>
    <row r="5734" spans="1:2" x14ac:dyDescent="0.25">
      <c r="A5734" t="s">
        <v>6340</v>
      </c>
      <c r="B5734" s="9">
        <v>0</v>
      </c>
    </row>
    <row r="5735" spans="1:2" x14ac:dyDescent="0.25">
      <c r="A5735" t="s">
        <v>6341</v>
      </c>
      <c r="B5735" s="9">
        <v>0</v>
      </c>
    </row>
    <row r="5736" spans="1:2" x14ac:dyDescent="0.25">
      <c r="A5736" t="s">
        <v>6342</v>
      </c>
      <c r="B5736" s="9">
        <v>0</v>
      </c>
    </row>
    <row r="5737" spans="1:2" x14ac:dyDescent="0.25">
      <c r="A5737" t="s">
        <v>6343</v>
      </c>
      <c r="B5737" s="9">
        <v>0</v>
      </c>
    </row>
    <row r="5738" spans="1:2" x14ac:dyDescent="0.25">
      <c r="A5738" t="s">
        <v>6344</v>
      </c>
      <c r="B5738" s="9">
        <v>0</v>
      </c>
    </row>
    <row r="5739" spans="1:2" x14ac:dyDescent="0.25">
      <c r="A5739" t="s">
        <v>6345</v>
      </c>
      <c r="B5739" s="9">
        <v>0</v>
      </c>
    </row>
    <row r="5740" spans="1:2" x14ac:dyDescent="0.25">
      <c r="A5740" t="s">
        <v>6346</v>
      </c>
      <c r="B5740" s="9">
        <v>0</v>
      </c>
    </row>
    <row r="5741" spans="1:2" x14ac:dyDescent="0.25">
      <c r="A5741" t="s">
        <v>6347</v>
      </c>
      <c r="B5741" s="9">
        <v>0</v>
      </c>
    </row>
    <row r="5742" spans="1:2" x14ac:dyDescent="0.25">
      <c r="A5742" t="s">
        <v>6348</v>
      </c>
      <c r="B5742" s="9">
        <v>0</v>
      </c>
    </row>
    <row r="5743" spans="1:2" x14ac:dyDescent="0.25">
      <c r="A5743" t="s">
        <v>6349</v>
      </c>
      <c r="B5743" s="9">
        <v>0</v>
      </c>
    </row>
    <row r="5744" spans="1:2" x14ac:dyDescent="0.25">
      <c r="A5744" t="s">
        <v>6350</v>
      </c>
      <c r="B5744" s="9">
        <v>0</v>
      </c>
    </row>
    <row r="5745" spans="1:2" x14ac:dyDescent="0.25">
      <c r="A5745" t="s">
        <v>6351</v>
      </c>
      <c r="B5745" s="9">
        <v>0</v>
      </c>
    </row>
    <row r="5746" spans="1:2" x14ac:dyDescent="0.25">
      <c r="A5746" t="s">
        <v>6352</v>
      </c>
      <c r="B5746" s="9">
        <v>0</v>
      </c>
    </row>
    <row r="5747" spans="1:2" x14ac:dyDescent="0.25">
      <c r="A5747" t="s">
        <v>6353</v>
      </c>
      <c r="B5747" s="9">
        <v>0</v>
      </c>
    </row>
    <row r="5748" spans="1:2" x14ac:dyDescent="0.25">
      <c r="A5748" t="s">
        <v>6354</v>
      </c>
      <c r="B5748" s="9">
        <v>0</v>
      </c>
    </row>
    <row r="5749" spans="1:2" x14ac:dyDescent="0.25">
      <c r="A5749" t="s">
        <v>6355</v>
      </c>
      <c r="B5749" s="9">
        <v>0</v>
      </c>
    </row>
    <row r="5750" spans="1:2" x14ac:dyDescent="0.25">
      <c r="A5750" t="s">
        <v>6356</v>
      </c>
      <c r="B5750" s="9">
        <v>0</v>
      </c>
    </row>
    <row r="5751" spans="1:2" x14ac:dyDescent="0.25">
      <c r="A5751" t="s">
        <v>6357</v>
      </c>
      <c r="B5751" s="9">
        <v>0</v>
      </c>
    </row>
    <row r="5752" spans="1:2" x14ac:dyDescent="0.25">
      <c r="A5752" t="s">
        <v>6358</v>
      </c>
      <c r="B5752" s="9">
        <v>0</v>
      </c>
    </row>
    <row r="5753" spans="1:2" x14ac:dyDescent="0.25">
      <c r="A5753" t="s">
        <v>6359</v>
      </c>
      <c r="B5753" s="9">
        <v>0</v>
      </c>
    </row>
    <row r="5754" spans="1:2" x14ac:dyDescent="0.25">
      <c r="A5754" t="s">
        <v>6360</v>
      </c>
      <c r="B5754" s="9">
        <v>0</v>
      </c>
    </row>
    <row r="5755" spans="1:2" x14ac:dyDescent="0.25">
      <c r="A5755" t="s">
        <v>6361</v>
      </c>
      <c r="B5755" s="9">
        <v>0</v>
      </c>
    </row>
    <row r="5756" spans="1:2" x14ac:dyDescent="0.25">
      <c r="A5756" t="s">
        <v>6362</v>
      </c>
      <c r="B5756" s="9">
        <v>0</v>
      </c>
    </row>
    <row r="5757" spans="1:2" x14ac:dyDescent="0.25">
      <c r="A5757" t="s">
        <v>6363</v>
      </c>
      <c r="B5757" s="9">
        <v>0</v>
      </c>
    </row>
    <row r="5758" spans="1:2" x14ac:dyDescent="0.25">
      <c r="A5758" t="s">
        <v>6364</v>
      </c>
      <c r="B5758" s="9">
        <v>0</v>
      </c>
    </row>
    <row r="5759" spans="1:2" x14ac:dyDescent="0.25">
      <c r="A5759" t="s">
        <v>6365</v>
      </c>
      <c r="B5759" s="9">
        <v>0</v>
      </c>
    </row>
    <row r="5760" spans="1:2" x14ac:dyDescent="0.25">
      <c r="A5760" t="s">
        <v>6366</v>
      </c>
      <c r="B5760" s="9">
        <v>0</v>
      </c>
    </row>
    <row r="5761" spans="1:2" x14ac:dyDescent="0.25">
      <c r="A5761" t="s">
        <v>6367</v>
      </c>
      <c r="B5761" s="9">
        <v>0</v>
      </c>
    </row>
    <row r="5762" spans="1:2" x14ac:dyDescent="0.25">
      <c r="A5762" t="s">
        <v>6368</v>
      </c>
      <c r="B5762" s="9">
        <v>0</v>
      </c>
    </row>
    <row r="5763" spans="1:2" x14ac:dyDescent="0.25">
      <c r="A5763" t="s">
        <v>6369</v>
      </c>
      <c r="B5763" s="9">
        <v>0</v>
      </c>
    </row>
    <row r="5764" spans="1:2" x14ac:dyDescent="0.25">
      <c r="A5764" t="s">
        <v>6370</v>
      </c>
      <c r="B5764" s="9">
        <v>0</v>
      </c>
    </row>
    <row r="5765" spans="1:2" x14ac:dyDescent="0.25">
      <c r="A5765" t="s">
        <v>6371</v>
      </c>
      <c r="B5765" s="9">
        <v>0</v>
      </c>
    </row>
    <row r="5766" spans="1:2" x14ac:dyDescent="0.25">
      <c r="A5766" t="s">
        <v>6372</v>
      </c>
      <c r="B5766" s="9">
        <v>0</v>
      </c>
    </row>
    <row r="5767" spans="1:2" x14ac:dyDescent="0.25">
      <c r="A5767" t="s">
        <v>6373</v>
      </c>
      <c r="B5767" s="9">
        <v>0</v>
      </c>
    </row>
    <row r="5768" spans="1:2" x14ac:dyDescent="0.25">
      <c r="A5768" t="s">
        <v>6374</v>
      </c>
      <c r="B5768" s="9">
        <v>0</v>
      </c>
    </row>
    <row r="5769" spans="1:2" x14ac:dyDescent="0.25">
      <c r="A5769" t="s">
        <v>6375</v>
      </c>
      <c r="B5769" s="9">
        <v>0</v>
      </c>
    </row>
    <row r="5770" spans="1:2" x14ac:dyDescent="0.25">
      <c r="A5770" t="s">
        <v>6376</v>
      </c>
      <c r="B5770" s="9">
        <v>0</v>
      </c>
    </row>
    <row r="5771" spans="1:2" x14ac:dyDescent="0.25">
      <c r="A5771" t="s">
        <v>6377</v>
      </c>
      <c r="B5771" s="9">
        <v>0</v>
      </c>
    </row>
    <row r="5772" spans="1:2" x14ac:dyDescent="0.25">
      <c r="A5772" t="s">
        <v>6378</v>
      </c>
      <c r="B5772" s="9">
        <v>0</v>
      </c>
    </row>
    <row r="5773" spans="1:2" x14ac:dyDescent="0.25">
      <c r="A5773" t="s">
        <v>6379</v>
      </c>
      <c r="B5773" s="9">
        <v>0</v>
      </c>
    </row>
    <row r="5774" spans="1:2" x14ac:dyDescent="0.25">
      <c r="A5774" t="s">
        <v>6380</v>
      </c>
      <c r="B5774" s="9">
        <v>0</v>
      </c>
    </row>
    <row r="5775" spans="1:2" x14ac:dyDescent="0.25">
      <c r="A5775" t="s">
        <v>6381</v>
      </c>
      <c r="B5775" s="9">
        <v>0</v>
      </c>
    </row>
    <row r="5776" spans="1:2" x14ac:dyDescent="0.25">
      <c r="A5776" t="s">
        <v>6382</v>
      </c>
      <c r="B5776" s="9">
        <v>0</v>
      </c>
    </row>
    <row r="5777" spans="1:2" x14ac:dyDescent="0.25">
      <c r="A5777" t="s">
        <v>6383</v>
      </c>
      <c r="B5777" s="9">
        <v>0</v>
      </c>
    </row>
    <row r="5778" spans="1:2" x14ac:dyDescent="0.25">
      <c r="A5778" t="s">
        <v>6384</v>
      </c>
      <c r="B5778" s="9">
        <v>0</v>
      </c>
    </row>
    <row r="5779" spans="1:2" x14ac:dyDescent="0.25">
      <c r="A5779" t="s">
        <v>6385</v>
      </c>
      <c r="B5779" s="9">
        <v>0</v>
      </c>
    </row>
    <row r="5780" spans="1:2" x14ac:dyDescent="0.25">
      <c r="A5780" t="s">
        <v>6386</v>
      </c>
      <c r="B5780" s="9">
        <v>0</v>
      </c>
    </row>
    <row r="5781" spans="1:2" x14ac:dyDescent="0.25">
      <c r="A5781" t="s">
        <v>6387</v>
      </c>
      <c r="B5781" s="9">
        <v>0</v>
      </c>
    </row>
    <row r="5782" spans="1:2" x14ac:dyDescent="0.25">
      <c r="A5782" t="s">
        <v>6388</v>
      </c>
      <c r="B5782" s="9">
        <v>0</v>
      </c>
    </row>
    <row r="5783" spans="1:2" x14ac:dyDescent="0.25">
      <c r="A5783" t="s">
        <v>6389</v>
      </c>
      <c r="B5783" s="9">
        <v>0</v>
      </c>
    </row>
    <row r="5784" spans="1:2" x14ac:dyDescent="0.25">
      <c r="A5784" t="s">
        <v>6390</v>
      </c>
      <c r="B5784" s="9">
        <v>0</v>
      </c>
    </row>
    <row r="5785" spans="1:2" x14ac:dyDescent="0.25">
      <c r="A5785" t="s">
        <v>6391</v>
      </c>
      <c r="B5785" s="9">
        <v>0</v>
      </c>
    </row>
    <row r="5786" spans="1:2" x14ac:dyDescent="0.25">
      <c r="A5786" t="s">
        <v>6392</v>
      </c>
      <c r="B5786" s="9">
        <v>0</v>
      </c>
    </row>
    <row r="5787" spans="1:2" x14ac:dyDescent="0.25">
      <c r="A5787" t="s">
        <v>6393</v>
      </c>
      <c r="B5787" s="9">
        <v>0</v>
      </c>
    </row>
    <row r="5788" spans="1:2" x14ac:dyDescent="0.25">
      <c r="A5788" t="s">
        <v>6394</v>
      </c>
      <c r="B5788" s="9">
        <v>0</v>
      </c>
    </row>
    <row r="5789" spans="1:2" x14ac:dyDescent="0.25">
      <c r="A5789" t="s">
        <v>6395</v>
      </c>
      <c r="B5789" s="9">
        <v>0</v>
      </c>
    </row>
    <row r="5790" spans="1:2" x14ac:dyDescent="0.25">
      <c r="A5790" t="s">
        <v>6396</v>
      </c>
      <c r="B5790" s="9">
        <v>0</v>
      </c>
    </row>
    <row r="5791" spans="1:2" x14ac:dyDescent="0.25">
      <c r="A5791" t="s">
        <v>6397</v>
      </c>
      <c r="B5791" s="9">
        <v>0</v>
      </c>
    </row>
    <row r="5792" spans="1:2" x14ac:dyDescent="0.25">
      <c r="A5792" t="s">
        <v>6398</v>
      </c>
      <c r="B5792" s="9">
        <v>0</v>
      </c>
    </row>
    <row r="5793" spans="1:2" x14ac:dyDescent="0.25">
      <c r="A5793" t="s">
        <v>6399</v>
      </c>
      <c r="B5793" s="9">
        <v>0</v>
      </c>
    </row>
    <row r="5794" spans="1:2" x14ac:dyDescent="0.25">
      <c r="A5794" t="s">
        <v>6400</v>
      </c>
      <c r="B5794" s="9">
        <v>0</v>
      </c>
    </row>
    <row r="5795" spans="1:2" x14ac:dyDescent="0.25">
      <c r="A5795" t="s">
        <v>6401</v>
      </c>
      <c r="B5795" s="9">
        <v>0</v>
      </c>
    </row>
    <row r="5796" spans="1:2" x14ac:dyDescent="0.25">
      <c r="A5796" t="s">
        <v>6402</v>
      </c>
      <c r="B5796" s="9">
        <v>0</v>
      </c>
    </row>
    <row r="5797" spans="1:2" x14ac:dyDescent="0.25">
      <c r="A5797" t="s">
        <v>6403</v>
      </c>
      <c r="B5797" s="9">
        <v>0</v>
      </c>
    </row>
    <row r="5798" spans="1:2" x14ac:dyDescent="0.25">
      <c r="A5798" t="s">
        <v>6404</v>
      </c>
      <c r="B5798" s="9">
        <v>0</v>
      </c>
    </row>
    <row r="5799" spans="1:2" x14ac:dyDescent="0.25">
      <c r="A5799" t="s">
        <v>6405</v>
      </c>
      <c r="B5799" s="9">
        <v>0</v>
      </c>
    </row>
    <row r="5800" spans="1:2" x14ac:dyDescent="0.25">
      <c r="A5800" t="s">
        <v>6406</v>
      </c>
      <c r="B5800" s="9">
        <v>0</v>
      </c>
    </row>
    <row r="5801" spans="1:2" x14ac:dyDescent="0.25">
      <c r="A5801" t="s">
        <v>6407</v>
      </c>
      <c r="B5801" s="9">
        <v>0</v>
      </c>
    </row>
    <row r="5802" spans="1:2" x14ac:dyDescent="0.25">
      <c r="A5802" t="s">
        <v>6408</v>
      </c>
      <c r="B5802" s="9">
        <v>0</v>
      </c>
    </row>
    <row r="5803" spans="1:2" x14ac:dyDescent="0.25">
      <c r="A5803" t="s">
        <v>6409</v>
      </c>
      <c r="B5803" s="9">
        <v>0</v>
      </c>
    </row>
    <row r="5804" spans="1:2" x14ac:dyDescent="0.25">
      <c r="A5804" t="s">
        <v>6410</v>
      </c>
      <c r="B5804" s="9">
        <v>0</v>
      </c>
    </row>
    <row r="5805" spans="1:2" x14ac:dyDescent="0.25">
      <c r="A5805" t="s">
        <v>6411</v>
      </c>
      <c r="B5805" s="9">
        <v>0</v>
      </c>
    </row>
    <row r="5806" spans="1:2" x14ac:dyDescent="0.25">
      <c r="A5806" t="s">
        <v>6412</v>
      </c>
      <c r="B5806" s="9">
        <v>0</v>
      </c>
    </row>
    <row r="5807" spans="1:2" x14ac:dyDescent="0.25">
      <c r="A5807" t="s">
        <v>6413</v>
      </c>
      <c r="B5807" s="9">
        <v>0</v>
      </c>
    </row>
    <row r="5808" spans="1:2" x14ac:dyDescent="0.25">
      <c r="A5808" t="s">
        <v>6414</v>
      </c>
      <c r="B5808" s="9">
        <v>0</v>
      </c>
    </row>
    <row r="5809" spans="1:2" x14ac:dyDescent="0.25">
      <c r="A5809" t="s">
        <v>6415</v>
      </c>
      <c r="B5809" s="9">
        <v>0</v>
      </c>
    </row>
    <row r="5810" spans="1:2" x14ac:dyDescent="0.25">
      <c r="A5810" t="s">
        <v>6416</v>
      </c>
      <c r="B5810" s="9">
        <v>0</v>
      </c>
    </row>
    <row r="5811" spans="1:2" x14ac:dyDescent="0.25">
      <c r="A5811" t="s">
        <v>6417</v>
      </c>
      <c r="B5811" s="9">
        <v>0</v>
      </c>
    </row>
    <row r="5812" spans="1:2" x14ac:dyDescent="0.25">
      <c r="A5812" t="s">
        <v>6418</v>
      </c>
      <c r="B5812" s="9">
        <v>0</v>
      </c>
    </row>
    <row r="5813" spans="1:2" x14ac:dyDescent="0.25">
      <c r="A5813" t="s">
        <v>6419</v>
      </c>
      <c r="B5813" s="9">
        <v>0</v>
      </c>
    </row>
    <row r="5814" spans="1:2" x14ac:dyDescent="0.25">
      <c r="A5814" t="s">
        <v>6420</v>
      </c>
      <c r="B5814" s="9">
        <v>0</v>
      </c>
    </row>
    <row r="5815" spans="1:2" x14ac:dyDescent="0.25">
      <c r="A5815" t="s">
        <v>6421</v>
      </c>
      <c r="B5815" s="9">
        <v>0</v>
      </c>
    </row>
    <row r="5816" spans="1:2" x14ac:dyDescent="0.25">
      <c r="A5816" t="s">
        <v>6422</v>
      </c>
      <c r="B5816" s="9">
        <v>0</v>
      </c>
    </row>
    <row r="5817" spans="1:2" x14ac:dyDescent="0.25">
      <c r="A5817" t="s">
        <v>6423</v>
      </c>
      <c r="B5817" s="9">
        <v>0</v>
      </c>
    </row>
    <row r="5818" spans="1:2" x14ac:dyDescent="0.25">
      <c r="A5818" t="s">
        <v>6424</v>
      </c>
      <c r="B5818" s="9">
        <v>0</v>
      </c>
    </row>
    <row r="5819" spans="1:2" x14ac:dyDescent="0.25">
      <c r="A5819" t="s">
        <v>6425</v>
      </c>
      <c r="B5819" s="9">
        <v>0</v>
      </c>
    </row>
    <row r="5820" spans="1:2" x14ac:dyDescent="0.25">
      <c r="A5820" t="s">
        <v>6426</v>
      </c>
      <c r="B5820" s="9">
        <v>0</v>
      </c>
    </row>
    <row r="5821" spans="1:2" x14ac:dyDescent="0.25">
      <c r="A5821" t="s">
        <v>6427</v>
      </c>
      <c r="B5821" s="9">
        <v>0</v>
      </c>
    </row>
    <row r="5822" spans="1:2" x14ac:dyDescent="0.25">
      <c r="A5822" t="s">
        <v>6428</v>
      </c>
      <c r="B5822" s="9">
        <v>0</v>
      </c>
    </row>
    <row r="5823" spans="1:2" x14ac:dyDescent="0.25">
      <c r="A5823" t="s">
        <v>6429</v>
      </c>
      <c r="B5823" s="9">
        <v>0</v>
      </c>
    </row>
    <row r="5824" spans="1:2" x14ac:dyDescent="0.25">
      <c r="A5824" t="s">
        <v>6430</v>
      </c>
      <c r="B5824" s="9">
        <v>0</v>
      </c>
    </row>
    <row r="5825" spans="1:2" x14ac:dyDescent="0.25">
      <c r="A5825" t="s">
        <v>6431</v>
      </c>
      <c r="B5825" s="9">
        <v>0</v>
      </c>
    </row>
    <row r="5826" spans="1:2" x14ac:dyDescent="0.25">
      <c r="A5826" t="s">
        <v>6432</v>
      </c>
      <c r="B5826" s="9">
        <v>0</v>
      </c>
    </row>
    <row r="5827" spans="1:2" x14ac:dyDescent="0.25">
      <c r="A5827" t="s">
        <v>6433</v>
      </c>
      <c r="B5827" s="9">
        <v>0</v>
      </c>
    </row>
    <row r="5828" spans="1:2" x14ac:dyDescent="0.25">
      <c r="A5828" t="s">
        <v>6434</v>
      </c>
      <c r="B5828" s="9">
        <v>0</v>
      </c>
    </row>
    <row r="5829" spans="1:2" x14ac:dyDescent="0.25">
      <c r="A5829" t="s">
        <v>6435</v>
      </c>
      <c r="B5829" s="9">
        <v>0</v>
      </c>
    </row>
    <row r="5830" spans="1:2" x14ac:dyDescent="0.25">
      <c r="A5830" t="s">
        <v>6436</v>
      </c>
      <c r="B5830" s="9">
        <v>0</v>
      </c>
    </row>
    <row r="5831" spans="1:2" x14ac:dyDescent="0.25">
      <c r="A5831" t="s">
        <v>6437</v>
      </c>
      <c r="B5831" s="9">
        <v>0</v>
      </c>
    </row>
    <row r="5832" spans="1:2" x14ac:dyDescent="0.25">
      <c r="A5832" t="s">
        <v>6438</v>
      </c>
      <c r="B5832" s="9">
        <v>0</v>
      </c>
    </row>
    <row r="5833" spans="1:2" x14ac:dyDescent="0.25">
      <c r="A5833" t="s">
        <v>6439</v>
      </c>
      <c r="B5833" s="9">
        <v>0</v>
      </c>
    </row>
    <row r="5834" spans="1:2" x14ac:dyDescent="0.25">
      <c r="A5834" t="s">
        <v>6440</v>
      </c>
      <c r="B5834" s="9">
        <v>0</v>
      </c>
    </row>
    <row r="5835" spans="1:2" x14ac:dyDescent="0.25">
      <c r="A5835" t="s">
        <v>6441</v>
      </c>
      <c r="B5835" s="9">
        <v>0</v>
      </c>
    </row>
    <row r="5836" spans="1:2" x14ac:dyDescent="0.25">
      <c r="A5836" t="s">
        <v>6442</v>
      </c>
      <c r="B5836" s="9">
        <v>0</v>
      </c>
    </row>
    <row r="5837" spans="1:2" x14ac:dyDescent="0.25">
      <c r="A5837" t="s">
        <v>6443</v>
      </c>
      <c r="B5837" s="9">
        <v>0</v>
      </c>
    </row>
    <row r="5838" spans="1:2" x14ac:dyDescent="0.25">
      <c r="A5838" t="s">
        <v>6444</v>
      </c>
      <c r="B5838" s="9">
        <v>0</v>
      </c>
    </row>
    <row r="5839" spans="1:2" x14ac:dyDescent="0.25">
      <c r="A5839" t="s">
        <v>6445</v>
      </c>
      <c r="B5839" s="9">
        <v>0</v>
      </c>
    </row>
    <row r="5840" spans="1:2" x14ac:dyDescent="0.25">
      <c r="A5840" t="s">
        <v>6446</v>
      </c>
      <c r="B5840" s="9">
        <v>0</v>
      </c>
    </row>
    <row r="5841" spans="1:2" x14ac:dyDescent="0.25">
      <c r="A5841" t="s">
        <v>6447</v>
      </c>
      <c r="B5841" s="9">
        <v>0</v>
      </c>
    </row>
    <row r="5842" spans="1:2" x14ac:dyDescent="0.25">
      <c r="A5842" t="s">
        <v>6448</v>
      </c>
      <c r="B5842" s="9">
        <v>0</v>
      </c>
    </row>
    <row r="5843" spans="1:2" x14ac:dyDescent="0.25">
      <c r="A5843" t="s">
        <v>6449</v>
      </c>
      <c r="B5843" s="9">
        <v>0</v>
      </c>
    </row>
    <row r="5844" spans="1:2" x14ac:dyDescent="0.25">
      <c r="A5844" t="s">
        <v>6450</v>
      </c>
      <c r="B5844" s="9">
        <v>0</v>
      </c>
    </row>
    <row r="5845" spans="1:2" x14ac:dyDescent="0.25">
      <c r="A5845" t="s">
        <v>6451</v>
      </c>
      <c r="B5845" s="9">
        <v>0</v>
      </c>
    </row>
    <row r="5846" spans="1:2" x14ac:dyDescent="0.25">
      <c r="A5846" t="s">
        <v>6452</v>
      </c>
      <c r="B5846" s="9">
        <v>0</v>
      </c>
    </row>
    <row r="5847" spans="1:2" x14ac:dyDescent="0.25">
      <c r="A5847" t="s">
        <v>6453</v>
      </c>
      <c r="B5847" s="9">
        <v>0</v>
      </c>
    </row>
    <row r="5848" spans="1:2" x14ac:dyDescent="0.25">
      <c r="A5848" t="s">
        <v>6454</v>
      </c>
      <c r="B5848" s="9">
        <v>0</v>
      </c>
    </row>
    <row r="5849" spans="1:2" x14ac:dyDescent="0.25">
      <c r="A5849" t="s">
        <v>6455</v>
      </c>
      <c r="B5849" s="9">
        <v>0</v>
      </c>
    </row>
    <row r="5850" spans="1:2" x14ac:dyDescent="0.25">
      <c r="A5850" t="s">
        <v>6456</v>
      </c>
      <c r="B5850" s="9">
        <v>0</v>
      </c>
    </row>
    <row r="5851" spans="1:2" x14ac:dyDescent="0.25">
      <c r="A5851" t="s">
        <v>6457</v>
      </c>
      <c r="B5851" s="9">
        <v>0</v>
      </c>
    </row>
    <row r="5852" spans="1:2" x14ac:dyDescent="0.25">
      <c r="A5852" t="s">
        <v>6458</v>
      </c>
      <c r="B5852" s="9">
        <v>0</v>
      </c>
    </row>
    <row r="5853" spans="1:2" x14ac:dyDescent="0.25">
      <c r="A5853" t="s">
        <v>6459</v>
      </c>
      <c r="B5853" s="9">
        <v>0</v>
      </c>
    </row>
    <row r="5854" spans="1:2" x14ac:dyDescent="0.25">
      <c r="A5854" t="s">
        <v>6460</v>
      </c>
      <c r="B5854" s="9">
        <v>0</v>
      </c>
    </row>
    <row r="5855" spans="1:2" x14ac:dyDescent="0.25">
      <c r="A5855" t="s">
        <v>6461</v>
      </c>
      <c r="B5855" s="9">
        <v>0</v>
      </c>
    </row>
    <row r="5856" spans="1:2" x14ac:dyDescent="0.25">
      <c r="A5856" t="s">
        <v>6462</v>
      </c>
      <c r="B5856" s="9">
        <v>0</v>
      </c>
    </row>
    <row r="5857" spans="1:2" x14ac:dyDescent="0.25">
      <c r="A5857" t="s">
        <v>6463</v>
      </c>
      <c r="B5857" s="9">
        <v>0</v>
      </c>
    </row>
    <row r="5858" spans="1:2" x14ac:dyDescent="0.25">
      <c r="A5858" t="s">
        <v>6464</v>
      </c>
      <c r="B5858" s="9">
        <v>0</v>
      </c>
    </row>
    <row r="5859" spans="1:2" x14ac:dyDescent="0.25">
      <c r="A5859" t="s">
        <v>6465</v>
      </c>
      <c r="B5859" s="9">
        <v>0</v>
      </c>
    </row>
    <row r="5860" spans="1:2" x14ac:dyDescent="0.25">
      <c r="A5860" t="s">
        <v>6466</v>
      </c>
      <c r="B5860" s="9">
        <v>0</v>
      </c>
    </row>
    <row r="5861" spans="1:2" x14ac:dyDescent="0.25">
      <c r="A5861" t="s">
        <v>6467</v>
      </c>
      <c r="B5861" s="9">
        <v>0</v>
      </c>
    </row>
    <row r="5862" spans="1:2" x14ac:dyDescent="0.25">
      <c r="A5862" t="s">
        <v>6468</v>
      </c>
      <c r="B5862" s="9">
        <v>0</v>
      </c>
    </row>
    <row r="5863" spans="1:2" x14ac:dyDescent="0.25">
      <c r="A5863" t="s">
        <v>6469</v>
      </c>
      <c r="B5863" s="9">
        <v>0</v>
      </c>
    </row>
    <row r="5864" spans="1:2" x14ac:dyDescent="0.25">
      <c r="A5864" t="s">
        <v>6470</v>
      </c>
      <c r="B5864" s="9">
        <v>0</v>
      </c>
    </row>
    <row r="5865" spans="1:2" x14ac:dyDescent="0.25">
      <c r="A5865" t="s">
        <v>6471</v>
      </c>
      <c r="B5865" s="9">
        <v>0</v>
      </c>
    </row>
    <row r="5866" spans="1:2" x14ac:dyDescent="0.25">
      <c r="A5866" t="s">
        <v>6472</v>
      </c>
      <c r="B5866" s="9">
        <v>0</v>
      </c>
    </row>
    <row r="5867" spans="1:2" x14ac:dyDescent="0.25">
      <c r="A5867" t="s">
        <v>6473</v>
      </c>
      <c r="B5867" s="9">
        <v>0</v>
      </c>
    </row>
    <row r="5868" spans="1:2" x14ac:dyDescent="0.25">
      <c r="A5868" t="s">
        <v>6474</v>
      </c>
      <c r="B5868" s="9">
        <v>0</v>
      </c>
    </row>
    <row r="5869" spans="1:2" x14ac:dyDescent="0.25">
      <c r="A5869" t="s">
        <v>6475</v>
      </c>
      <c r="B5869" s="9">
        <v>0</v>
      </c>
    </row>
    <row r="5870" spans="1:2" x14ac:dyDescent="0.25">
      <c r="A5870" t="s">
        <v>6476</v>
      </c>
      <c r="B5870" s="9">
        <v>0</v>
      </c>
    </row>
    <row r="5871" spans="1:2" x14ac:dyDescent="0.25">
      <c r="A5871" t="s">
        <v>6477</v>
      </c>
      <c r="B5871" s="9">
        <v>0</v>
      </c>
    </row>
    <row r="5872" spans="1:2" x14ac:dyDescent="0.25">
      <c r="A5872" t="s">
        <v>6478</v>
      </c>
      <c r="B5872" s="9">
        <v>0</v>
      </c>
    </row>
    <row r="5873" spans="1:2" x14ac:dyDescent="0.25">
      <c r="A5873" t="s">
        <v>6479</v>
      </c>
      <c r="B5873" s="9">
        <v>0</v>
      </c>
    </row>
    <row r="5874" spans="1:2" x14ac:dyDescent="0.25">
      <c r="A5874" t="s">
        <v>6480</v>
      </c>
      <c r="B5874" s="9">
        <v>0</v>
      </c>
    </row>
    <row r="5875" spans="1:2" x14ac:dyDescent="0.25">
      <c r="A5875" t="s">
        <v>6481</v>
      </c>
      <c r="B5875" s="9">
        <v>0</v>
      </c>
    </row>
    <row r="5876" spans="1:2" x14ac:dyDescent="0.25">
      <c r="A5876" t="s">
        <v>6482</v>
      </c>
      <c r="B5876" s="9">
        <v>0</v>
      </c>
    </row>
    <row r="5877" spans="1:2" x14ac:dyDescent="0.25">
      <c r="A5877" t="s">
        <v>6483</v>
      </c>
      <c r="B5877" s="9">
        <v>0</v>
      </c>
    </row>
    <row r="5878" spans="1:2" x14ac:dyDescent="0.25">
      <c r="A5878" t="s">
        <v>6484</v>
      </c>
      <c r="B5878" s="9">
        <v>0</v>
      </c>
    </row>
    <row r="5879" spans="1:2" x14ac:dyDescent="0.25">
      <c r="A5879" t="s">
        <v>6485</v>
      </c>
      <c r="B5879" s="9">
        <v>0</v>
      </c>
    </row>
    <row r="5880" spans="1:2" x14ac:dyDescent="0.25">
      <c r="A5880" t="s">
        <v>6486</v>
      </c>
      <c r="B5880" s="9">
        <v>0</v>
      </c>
    </row>
    <row r="5881" spans="1:2" x14ac:dyDescent="0.25">
      <c r="A5881" t="s">
        <v>6487</v>
      </c>
      <c r="B5881" s="9">
        <v>0</v>
      </c>
    </row>
    <row r="5882" spans="1:2" x14ac:dyDescent="0.25">
      <c r="A5882" t="s">
        <v>6488</v>
      </c>
      <c r="B5882" s="9">
        <v>0</v>
      </c>
    </row>
    <row r="5883" spans="1:2" x14ac:dyDescent="0.25">
      <c r="A5883" t="s">
        <v>6489</v>
      </c>
      <c r="B5883" s="9">
        <v>0</v>
      </c>
    </row>
    <row r="5884" spans="1:2" x14ac:dyDescent="0.25">
      <c r="A5884" t="s">
        <v>6490</v>
      </c>
      <c r="B5884" s="9">
        <v>0</v>
      </c>
    </row>
    <row r="5885" spans="1:2" x14ac:dyDescent="0.25">
      <c r="A5885" t="s">
        <v>6491</v>
      </c>
      <c r="B5885" s="9">
        <v>0</v>
      </c>
    </row>
    <row r="5886" spans="1:2" x14ac:dyDescent="0.25">
      <c r="A5886" t="s">
        <v>6492</v>
      </c>
      <c r="B5886" s="9">
        <v>0</v>
      </c>
    </row>
    <row r="5887" spans="1:2" x14ac:dyDescent="0.25">
      <c r="A5887" t="s">
        <v>6493</v>
      </c>
      <c r="B5887" s="9">
        <v>0</v>
      </c>
    </row>
    <row r="5888" spans="1:2" x14ac:dyDescent="0.25">
      <c r="A5888" t="s">
        <v>6494</v>
      </c>
      <c r="B5888" s="9">
        <v>0</v>
      </c>
    </row>
    <row r="5889" spans="1:2" x14ac:dyDescent="0.25">
      <c r="A5889" t="s">
        <v>6495</v>
      </c>
      <c r="B5889" s="9">
        <v>0</v>
      </c>
    </row>
    <row r="5890" spans="1:2" x14ac:dyDescent="0.25">
      <c r="A5890" t="s">
        <v>6496</v>
      </c>
      <c r="B5890" s="9">
        <v>0</v>
      </c>
    </row>
    <row r="5891" spans="1:2" x14ac:dyDescent="0.25">
      <c r="A5891" t="s">
        <v>6497</v>
      </c>
      <c r="B5891" s="9">
        <v>0</v>
      </c>
    </row>
    <row r="5892" spans="1:2" x14ac:dyDescent="0.25">
      <c r="A5892" t="s">
        <v>6498</v>
      </c>
      <c r="B5892" s="9">
        <v>0</v>
      </c>
    </row>
    <row r="5893" spans="1:2" x14ac:dyDescent="0.25">
      <c r="A5893" t="s">
        <v>6499</v>
      </c>
      <c r="B5893" s="9">
        <v>0</v>
      </c>
    </row>
    <row r="5894" spans="1:2" x14ac:dyDescent="0.25">
      <c r="A5894" t="s">
        <v>6500</v>
      </c>
      <c r="B5894" s="9">
        <v>0</v>
      </c>
    </row>
    <row r="5895" spans="1:2" x14ac:dyDescent="0.25">
      <c r="A5895" t="s">
        <v>6501</v>
      </c>
      <c r="B5895" s="9">
        <v>0</v>
      </c>
    </row>
    <row r="5896" spans="1:2" x14ac:dyDescent="0.25">
      <c r="A5896" t="s">
        <v>6502</v>
      </c>
      <c r="B5896" s="9">
        <v>0</v>
      </c>
    </row>
    <row r="5897" spans="1:2" x14ac:dyDescent="0.25">
      <c r="A5897" t="s">
        <v>6503</v>
      </c>
      <c r="B5897" s="9">
        <v>0</v>
      </c>
    </row>
    <row r="5898" spans="1:2" x14ac:dyDescent="0.25">
      <c r="A5898" t="s">
        <v>6504</v>
      </c>
      <c r="B5898" s="9">
        <v>0</v>
      </c>
    </row>
    <row r="5899" spans="1:2" x14ac:dyDescent="0.25">
      <c r="A5899" t="s">
        <v>6505</v>
      </c>
      <c r="B5899" s="9">
        <v>0</v>
      </c>
    </row>
    <row r="5900" spans="1:2" x14ac:dyDescent="0.25">
      <c r="A5900" t="s">
        <v>6506</v>
      </c>
      <c r="B5900" s="9">
        <v>0</v>
      </c>
    </row>
    <row r="5901" spans="1:2" x14ac:dyDescent="0.25">
      <c r="A5901" t="s">
        <v>6507</v>
      </c>
      <c r="B5901" s="9">
        <v>0</v>
      </c>
    </row>
    <row r="5902" spans="1:2" x14ac:dyDescent="0.25">
      <c r="A5902" t="s">
        <v>6508</v>
      </c>
      <c r="B5902" s="9">
        <v>0</v>
      </c>
    </row>
    <row r="5903" spans="1:2" x14ac:dyDescent="0.25">
      <c r="A5903" t="s">
        <v>6509</v>
      </c>
      <c r="B5903" s="9">
        <v>0</v>
      </c>
    </row>
    <row r="5904" spans="1:2" x14ac:dyDescent="0.25">
      <c r="A5904" t="s">
        <v>6510</v>
      </c>
      <c r="B5904" s="9">
        <v>0</v>
      </c>
    </row>
    <row r="5905" spans="1:2" x14ac:dyDescent="0.25">
      <c r="A5905" t="s">
        <v>6511</v>
      </c>
      <c r="B5905" s="9">
        <v>0</v>
      </c>
    </row>
    <row r="5906" spans="1:2" x14ac:dyDescent="0.25">
      <c r="A5906" t="s">
        <v>6512</v>
      </c>
      <c r="B5906" s="9">
        <v>0</v>
      </c>
    </row>
    <row r="5907" spans="1:2" x14ac:dyDescent="0.25">
      <c r="A5907" t="s">
        <v>6513</v>
      </c>
      <c r="B5907" s="9">
        <v>0</v>
      </c>
    </row>
    <row r="5908" spans="1:2" x14ac:dyDescent="0.25">
      <c r="A5908" t="s">
        <v>6514</v>
      </c>
      <c r="B5908" s="9">
        <v>0</v>
      </c>
    </row>
    <row r="5909" spans="1:2" x14ac:dyDescent="0.25">
      <c r="A5909" t="s">
        <v>6515</v>
      </c>
      <c r="B5909" s="9">
        <v>0</v>
      </c>
    </row>
    <row r="5910" spans="1:2" x14ac:dyDescent="0.25">
      <c r="A5910" t="s">
        <v>6516</v>
      </c>
      <c r="B5910" s="9">
        <v>0</v>
      </c>
    </row>
    <row r="5911" spans="1:2" x14ac:dyDescent="0.25">
      <c r="A5911" t="s">
        <v>6517</v>
      </c>
      <c r="B5911" s="9">
        <v>0</v>
      </c>
    </row>
    <row r="5912" spans="1:2" x14ac:dyDescent="0.25">
      <c r="A5912" t="s">
        <v>6518</v>
      </c>
      <c r="B5912" s="9">
        <v>0</v>
      </c>
    </row>
    <row r="5913" spans="1:2" x14ac:dyDescent="0.25">
      <c r="A5913" t="s">
        <v>6519</v>
      </c>
      <c r="B5913" s="9">
        <v>0</v>
      </c>
    </row>
    <row r="5914" spans="1:2" x14ac:dyDescent="0.25">
      <c r="A5914" t="s">
        <v>6520</v>
      </c>
      <c r="B5914" s="9">
        <v>0</v>
      </c>
    </row>
    <row r="5915" spans="1:2" x14ac:dyDescent="0.25">
      <c r="A5915" t="s">
        <v>6521</v>
      </c>
      <c r="B5915" s="9">
        <v>0</v>
      </c>
    </row>
    <row r="5916" spans="1:2" x14ac:dyDescent="0.25">
      <c r="A5916" t="s">
        <v>6522</v>
      </c>
      <c r="B5916" s="9">
        <v>0</v>
      </c>
    </row>
    <row r="5917" spans="1:2" x14ac:dyDescent="0.25">
      <c r="A5917" t="s">
        <v>6523</v>
      </c>
      <c r="B5917" s="9">
        <v>0</v>
      </c>
    </row>
    <row r="5918" spans="1:2" x14ac:dyDescent="0.25">
      <c r="A5918" t="s">
        <v>6524</v>
      </c>
      <c r="B5918" s="9">
        <v>0</v>
      </c>
    </row>
    <row r="5919" spans="1:2" x14ac:dyDescent="0.25">
      <c r="A5919" t="s">
        <v>6525</v>
      </c>
      <c r="B5919" s="9">
        <v>0</v>
      </c>
    </row>
    <row r="5920" spans="1:2" x14ac:dyDescent="0.25">
      <c r="A5920" t="s">
        <v>6526</v>
      </c>
      <c r="B5920" s="9">
        <v>0</v>
      </c>
    </row>
    <row r="5921" spans="1:2" x14ac:dyDescent="0.25">
      <c r="A5921" t="s">
        <v>6527</v>
      </c>
      <c r="B5921" s="9">
        <v>0</v>
      </c>
    </row>
    <row r="5922" spans="1:2" x14ac:dyDescent="0.25">
      <c r="A5922" t="s">
        <v>6528</v>
      </c>
      <c r="B5922" s="9">
        <v>0</v>
      </c>
    </row>
    <row r="5923" spans="1:2" x14ac:dyDescent="0.25">
      <c r="A5923" t="s">
        <v>6529</v>
      </c>
      <c r="B5923" s="9">
        <v>0</v>
      </c>
    </row>
    <row r="5924" spans="1:2" x14ac:dyDescent="0.25">
      <c r="A5924" t="s">
        <v>6530</v>
      </c>
      <c r="B5924" s="9">
        <v>0</v>
      </c>
    </row>
    <row r="5925" spans="1:2" x14ac:dyDescent="0.25">
      <c r="A5925" t="s">
        <v>6531</v>
      </c>
      <c r="B5925" s="9">
        <v>0</v>
      </c>
    </row>
    <row r="5926" spans="1:2" x14ac:dyDescent="0.25">
      <c r="A5926" t="s">
        <v>6532</v>
      </c>
      <c r="B5926" s="9">
        <v>0</v>
      </c>
    </row>
    <row r="5927" spans="1:2" x14ac:dyDescent="0.25">
      <c r="A5927" t="s">
        <v>6533</v>
      </c>
      <c r="B5927" s="9">
        <v>0</v>
      </c>
    </row>
    <row r="5928" spans="1:2" x14ac:dyDescent="0.25">
      <c r="A5928" t="s">
        <v>6534</v>
      </c>
      <c r="B5928" s="9">
        <v>0</v>
      </c>
    </row>
    <row r="5929" spans="1:2" x14ac:dyDescent="0.25">
      <c r="A5929" t="s">
        <v>6535</v>
      </c>
      <c r="B5929" s="9">
        <v>0</v>
      </c>
    </row>
    <row r="5930" spans="1:2" x14ac:dyDescent="0.25">
      <c r="A5930" t="s">
        <v>6536</v>
      </c>
      <c r="B5930" s="9">
        <v>0</v>
      </c>
    </row>
    <row r="5931" spans="1:2" x14ac:dyDescent="0.25">
      <c r="A5931" t="s">
        <v>6537</v>
      </c>
      <c r="B5931" s="9">
        <v>0</v>
      </c>
    </row>
    <row r="5932" spans="1:2" x14ac:dyDescent="0.25">
      <c r="A5932" t="s">
        <v>6538</v>
      </c>
      <c r="B5932" s="9">
        <v>0</v>
      </c>
    </row>
    <row r="5933" spans="1:2" x14ac:dyDescent="0.25">
      <c r="A5933" t="s">
        <v>6539</v>
      </c>
      <c r="B5933" s="9">
        <v>0</v>
      </c>
    </row>
    <row r="5934" spans="1:2" x14ac:dyDescent="0.25">
      <c r="A5934" t="s">
        <v>6540</v>
      </c>
      <c r="B5934" s="9">
        <v>0</v>
      </c>
    </row>
    <row r="5935" spans="1:2" x14ac:dyDescent="0.25">
      <c r="A5935" t="s">
        <v>6541</v>
      </c>
      <c r="B5935" s="9">
        <v>0</v>
      </c>
    </row>
    <row r="5936" spans="1:2" x14ac:dyDescent="0.25">
      <c r="A5936" t="s">
        <v>6542</v>
      </c>
      <c r="B5936" s="9">
        <v>0</v>
      </c>
    </row>
    <row r="5937" spans="1:2" x14ac:dyDescent="0.25">
      <c r="A5937" t="s">
        <v>6543</v>
      </c>
      <c r="B5937" s="9">
        <v>0</v>
      </c>
    </row>
    <row r="5938" spans="1:2" x14ac:dyDescent="0.25">
      <c r="A5938" t="s">
        <v>6544</v>
      </c>
      <c r="B5938" s="9">
        <v>0</v>
      </c>
    </row>
    <row r="5939" spans="1:2" x14ac:dyDescent="0.25">
      <c r="A5939" t="s">
        <v>6545</v>
      </c>
      <c r="B5939" s="9">
        <v>0</v>
      </c>
    </row>
    <row r="5940" spans="1:2" x14ac:dyDescent="0.25">
      <c r="A5940" t="s">
        <v>6546</v>
      </c>
      <c r="B5940" s="9">
        <v>0</v>
      </c>
    </row>
    <row r="5941" spans="1:2" x14ac:dyDescent="0.25">
      <c r="A5941" t="s">
        <v>6547</v>
      </c>
      <c r="B5941" s="9">
        <v>0</v>
      </c>
    </row>
    <row r="5942" spans="1:2" x14ac:dyDescent="0.25">
      <c r="A5942" t="s">
        <v>6548</v>
      </c>
      <c r="B5942" s="9">
        <v>0</v>
      </c>
    </row>
    <row r="5943" spans="1:2" x14ac:dyDescent="0.25">
      <c r="A5943" t="s">
        <v>6549</v>
      </c>
      <c r="B5943" s="9">
        <v>0</v>
      </c>
    </row>
    <row r="5944" spans="1:2" x14ac:dyDescent="0.25">
      <c r="A5944" t="s">
        <v>6550</v>
      </c>
      <c r="B5944" s="9">
        <v>0</v>
      </c>
    </row>
    <row r="5945" spans="1:2" x14ac:dyDescent="0.25">
      <c r="A5945" t="s">
        <v>6551</v>
      </c>
      <c r="B5945" s="9">
        <v>0</v>
      </c>
    </row>
    <row r="5946" spans="1:2" x14ac:dyDescent="0.25">
      <c r="A5946" t="s">
        <v>6552</v>
      </c>
      <c r="B5946" s="9">
        <v>0</v>
      </c>
    </row>
    <row r="5947" spans="1:2" x14ac:dyDescent="0.25">
      <c r="A5947" t="s">
        <v>6553</v>
      </c>
      <c r="B5947" s="9">
        <v>0</v>
      </c>
    </row>
    <row r="5948" spans="1:2" x14ac:dyDescent="0.25">
      <c r="A5948" t="s">
        <v>6554</v>
      </c>
      <c r="B5948" s="9">
        <v>0</v>
      </c>
    </row>
    <row r="5949" spans="1:2" x14ac:dyDescent="0.25">
      <c r="A5949" t="s">
        <v>6555</v>
      </c>
      <c r="B5949" s="9">
        <v>0</v>
      </c>
    </row>
    <row r="5950" spans="1:2" x14ac:dyDescent="0.25">
      <c r="A5950" t="s">
        <v>6556</v>
      </c>
      <c r="B5950" s="9">
        <v>0</v>
      </c>
    </row>
    <row r="5951" spans="1:2" x14ac:dyDescent="0.25">
      <c r="A5951" t="s">
        <v>6557</v>
      </c>
      <c r="B5951" s="9">
        <v>0</v>
      </c>
    </row>
    <row r="5952" spans="1:2" x14ac:dyDescent="0.25">
      <c r="A5952" t="s">
        <v>6558</v>
      </c>
      <c r="B5952" s="9">
        <v>0</v>
      </c>
    </row>
    <row r="5953" spans="1:2" x14ac:dyDescent="0.25">
      <c r="A5953" t="s">
        <v>6559</v>
      </c>
      <c r="B5953" s="9">
        <v>0</v>
      </c>
    </row>
    <row r="5954" spans="1:2" x14ac:dyDescent="0.25">
      <c r="A5954" t="s">
        <v>6560</v>
      </c>
      <c r="B5954" s="9">
        <v>0</v>
      </c>
    </row>
    <row r="5955" spans="1:2" x14ac:dyDescent="0.25">
      <c r="A5955" t="s">
        <v>6561</v>
      </c>
      <c r="B5955" s="9">
        <v>0</v>
      </c>
    </row>
    <row r="5956" spans="1:2" x14ac:dyDescent="0.25">
      <c r="A5956" t="s">
        <v>6562</v>
      </c>
      <c r="B5956" s="9">
        <v>0</v>
      </c>
    </row>
    <row r="5957" spans="1:2" x14ac:dyDescent="0.25">
      <c r="A5957" t="s">
        <v>6563</v>
      </c>
      <c r="B5957" s="9">
        <v>0</v>
      </c>
    </row>
    <row r="5958" spans="1:2" x14ac:dyDescent="0.25">
      <c r="A5958" t="s">
        <v>6564</v>
      </c>
      <c r="B5958" s="9">
        <v>0</v>
      </c>
    </row>
    <row r="5959" spans="1:2" x14ac:dyDescent="0.25">
      <c r="A5959" t="s">
        <v>6565</v>
      </c>
      <c r="B5959" s="9">
        <v>0</v>
      </c>
    </row>
    <row r="5960" spans="1:2" x14ac:dyDescent="0.25">
      <c r="A5960" t="s">
        <v>6566</v>
      </c>
      <c r="B5960" s="9">
        <v>0</v>
      </c>
    </row>
    <row r="5961" spans="1:2" x14ac:dyDescent="0.25">
      <c r="A5961" t="s">
        <v>6567</v>
      </c>
      <c r="B5961" s="9">
        <v>0</v>
      </c>
    </row>
    <row r="5962" spans="1:2" x14ac:dyDescent="0.25">
      <c r="A5962" t="s">
        <v>6568</v>
      </c>
      <c r="B5962" s="9">
        <v>0</v>
      </c>
    </row>
    <row r="5963" spans="1:2" x14ac:dyDescent="0.25">
      <c r="A5963" t="s">
        <v>6569</v>
      </c>
      <c r="B5963" s="9">
        <v>0</v>
      </c>
    </row>
    <row r="5964" spans="1:2" x14ac:dyDescent="0.25">
      <c r="A5964" t="s">
        <v>6570</v>
      </c>
      <c r="B5964" s="9">
        <v>0</v>
      </c>
    </row>
    <row r="5965" spans="1:2" x14ac:dyDescent="0.25">
      <c r="A5965" t="s">
        <v>6571</v>
      </c>
      <c r="B5965" s="9">
        <v>0</v>
      </c>
    </row>
    <row r="5966" spans="1:2" x14ac:dyDescent="0.25">
      <c r="A5966" t="s">
        <v>6572</v>
      </c>
      <c r="B5966" s="9">
        <v>0</v>
      </c>
    </row>
    <row r="5967" spans="1:2" x14ac:dyDescent="0.25">
      <c r="A5967" t="s">
        <v>6573</v>
      </c>
      <c r="B5967" s="9">
        <v>0</v>
      </c>
    </row>
    <row r="5968" spans="1:2" x14ac:dyDescent="0.25">
      <c r="A5968" t="s">
        <v>6574</v>
      </c>
      <c r="B5968" s="9">
        <v>0</v>
      </c>
    </row>
    <row r="5969" spans="1:2" x14ac:dyDescent="0.25">
      <c r="A5969" t="s">
        <v>6575</v>
      </c>
      <c r="B5969" s="9">
        <v>0</v>
      </c>
    </row>
    <row r="5970" spans="1:2" x14ac:dyDescent="0.25">
      <c r="A5970" t="s">
        <v>6576</v>
      </c>
      <c r="B5970" s="9">
        <v>0</v>
      </c>
    </row>
    <row r="5971" spans="1:2" x14ac:dyDescent="0.25">
      <c r="A5971" t="s">
        <v>6577</v>
      </c>
      <c r="B5971" s="9">
        <v>0</v>
      </c>
    </row>
    <row r="5972" spans="1:2" x14ac:dyDescent="0.25">
      <c r="A5972" t="s">
        <v>6578</v>
      </c>
      <c r="B5972" s="9">
        <v>0</v>
      </c>
    </row>
    <row r="5973" spans="1:2" x14ac:dyDescent="0.25">
      <c r="A5973" t="s">
        <v>6579</v>
      </c>
      <c r="B5973" s="9">
        <v>0</v>
      </c>
    </row>
    <row r="5974" spans="1:2" x14ac:dyDescent="0.25">
      <c r="A5974" t="s">
        <v>6580</v>
      </c>
      <c r="B5974" s="9">
        <v>0</v>
      </c>
    </row>
    <row r="5975" spans="1:2" x14ac:dyDescent="0.25">
      <c r="A5975" t="s">
        <v>6581</v>
      </c>
      <c r="B5975" s="9">
        <v>0</v>
      </c>
    </row>
    <row r="5976" spans="1:2" x14ac:dyDescent="0.25">
      <c r="A5976" t="s">
        <v>6582</v>
      </c>
      <c r="B5976" s="9">
        <v>0</v>
      </c>
    </row>
    <row r="5977" spans="1:2" x14ac:dyDescent="0.25">
      <c r="A5977" t="s">
        <v>6583</v>
      </c>
      <c r="B5977" s="9">
        <v>0</v>
      </c>
    </row>
    <row r="5978" spans="1:2" x14ac:dyDescent="0.25">
      <c r="A5978" t="s">
        <v>6584</v>
      </c>
      <c r="B5978" s="9">
        <v>0</v>
      </c>
    </row>
    <row r="5979" spans="1:2" x14ac:dyDescent="0.25">
      <c r="A5979" t="s">
        <v>6585</v>
      </c>
      <c r="B5979" s="9">
        <v>0</v>
      </c>
    </row>
    <row r="5980" spans="1:2" x14ac:dyDescent="0.25">
      <c r="A5980" t="s">
        <v>6586</v>
      </c>
      <c r="B5980" s="9">
        <v>0</v>
      </c>
    </row>
    <row r="5981" spans="1:2" x14ac:dyDescent="0.25">
      <c r="A5981" t="s">
        <v>6587</v>
      </c>
      <c r="B5981" s="9">
        <v>0</v>
      </c>
    </row>
    <row r="5982" spans="1:2" x14ac:dyDescent="0.25">
      <c r="A5982" t="s">
        <v>6588</v>
      </c>
      <c r="B5982" s="9">
        <v>0</v>
      </c>
    </row>
    <row r="5983" spans="1:2" x14ac:dyDescent="0.25">
      <c r="A5983" t="s">
        <v>6589</v>
      </c>
      <c r="B5983" s="9">
        <v>0</v>
      </c>
    </row>
    <row r="5984" spans="1:2" x14ac:dyDescent="0.25">
      <c r="A5984" t="s">
        <v>6590</v>
      </c>
      <c r="B5984" s="9">
        <v>0</v>
      </c>
    </row>
    <row r="5985" spans="1:2" x14ac:dyDescent="0.25">
      <c r="A5985" t="s">
        <v>6591</v>
      </c>
      <c r="B5985" s="9">
        <v>0</v>
      </c>
    </row>
    <row r="5986" spans="1:2" x14ac:dyDescent="0.25">
      <c r="A5986" t="s">
        <v>6592</v>
      </c>
      <c r="B5986" s="9">
        <v>0</v>
      </c>
    </row>
    <row r="5987" spans="1:2" x14ac:dyDescent="0.25">
      <c r="A5987" t="s">
        <v>6593</v>
      </c>
      <c r="B5987" s="9">
        <v>0</v>
      </c>
    </row>
    <row r="5988" spans="1:2" x14ac:dyDescent="0.25">
      <c r="A5988" t="s">
        <v>6594</v>
      </c>
      <c r="B5988" s="9">
        <v>0</v>
      </c>
    </row>
    <row r="5989" spans="1:2" x14ac:dyDescent="0.25">
      <c r="A5989" t="s">
        <v>6595</v>
      </c>
      <c r="B5989" s="9">
        <v>0</v>
      </c>
    </row>
    <row r="5990" spans="1:2" x14ac:dyDescent="0.25">
      <c r="A5990" t="s">
        <v>6596</v>
      </c>
      <c r="B5990" s="9">
        <v>0</v>
      </c>
    </row>
    <row r="5991" spans="1:2" x14ac:dyDescent="0.25">
      <c r="A5991" t="s">
        <v>6597</v>
      </c>
      <c r="B5991" s="9">
        <v>0</v>
      </c>
    </row>
    <row r="5992" spans="1:2" x14ac:dyDescent="0.25">
      <c r="A5992" t="s">
        <v>6598</v>
      </c>
      <c r="B5992" s="9">
        <v>0</v>
      </c>
    </row>
    <row r="5993" spans="1:2" x14ac:dyDescent="0.25">
      <c r="A5993" t="s">
        <v>6599</v>
      </c>
      <c r="B5993" s="9">
        <v>0</v>
      </c>
    </row>
    <row r="5994" spans="1:2" x14ac:dyDescent="0.25">
      <c r="A5994" t="s">
        <v>6600</v>
      </c>
      <c r="B5994" s="9">
        <v>0</v>
      </c>
    </row>
    <row r="5995" spans="1:2" x14ac:dyDescent="0.25">
      <c r="A5995" t="s">
        <v>6601</v>
      </c>
      <c r="B5995" s="9">
        <v>0</v>
      </c>
    </row>
    <row r="5996" spans="1:2" x14ac:dyDescent="0.25">
      <c r="A5996" t="s">
        <v>6602</v>
      </c>
      <c r="B5996" s="9">
        <v>0</v>
      </c>
    </row>
    <row r="5997" spans="1:2" x14ac:dyDescent="0.25">
      <c r="A5997" t="s">
        <v>6603</v>
      </c>
      <c r="B5997" s="9">
        <v>0</v>
      </c>
    </row>
    <row r="5998" spans="1:2" x14ac:dyDescent="0.25">
      <c r="A5998" t="s">
        <v>6604</v>
      </c>
      <c r="B5998" s="9">
        <v>0</v>
      </c>
    </row>
    <row r="5999" spans="1:2" x14ac:dyDescent="0.25">
      <c r="A5999" t="s">
        <v>6605</v>
      </c>
      <c r="B5999" s="9">
        <v>0</v>
      </c>
    </row>
    <row r="6000" spans="1:2" x14ac:dyDescent="0.25">
      <c r="A6000" t="s">
        <v>6606</v>
      </c>
      <c r="B6000" s="9">
        <v>0</v>
      </c>
    </row>
    <row r="6001" spans="1:2" x14ac:dyDescent="0.25">
      <c r="A6001" t="s">
        <v>6607</v>
      </c>
      <c r="B6001" s="9">
        <v>0</v>
      </c>
    </row>
    <row r="6002" spans="1:2" x14ac:dyDescent="0.25">
      <c r="A6002" t="s">
        <v>6608</v>
      </c>
      <c r="B6002" s="9">
        <v>0</v>
      </c>
    </row>
    <row r="6003" spans="1:2" x14ac:dyDescent="0.25">
      <c r="A6003" t="s">
        <v>6609</v>
      </c>
      <c r="B6003" s="9">
        <v>0</v>
      </c>
    </row>
    <row r="6004" spans="1:2" x14ac:dyDescent="0.25">
      <c r="A6004" t="s">
        <v>6610</v>
      </c>
      <c r="B6004" s="9">
        <v>0</v>
      </c>
    </row>
    <row r="6005" spans="1:2" x14ac:dyDescent="0.25">
      <c r="A6005" t="s">
        <v>6611</v>
      </c>
      <c r="B6005" s="9">
        <v>0</v>
      </c>
    </row>
    <row r="6006" spans="1:2" x14ac:dyDescent="0.25">
      <c r="A6006" t="s">
        <v>6612</v>
      </c>
      <c r="B6006" s="9">
        <v>0</v>
      </c>
    </row>
    <row r="6007" spans="1:2" x14ac:dyDescent="0.25">
      <c r="A6007" t="s">
        <v>6613</v>
      </c>
      <c r="B6007" s="9">
        <v>0</v>
      </c>
    </row>
    <row r="6008" spans="1:2" x14ac:dyDescent="0.25">
      <c r="A6008" t="s">
        <v>6614</v>
      </c>
      <c r="B6008" s="9">
        <v>0</v>
      </c>
    </row>
    <row r="6009" spans="1:2" x14ac:dyDescent="0.25">
      <c r="A6009" t="s">
        <v>6615</v>
      </c>
      <c r="B6009" s="9">
        <v>0</v>
      </c>
    </row>
    <row r="6010" spans="1:2" x14ac:dyDescent="0.25">
      <c r="A6010" t="s">
        <v>6616</v>
      </c>
      <c r="B6010" s="9">
        <v>0</v>
      </c>
    </row>
    <row r="6011" spans="1:2" x14ac:dyDescent="0.25">
      <c r="A6011" t="s">
        <v>6617</v>
      </c>
      <c r="B6011" s="9">
        <v>0</v>
      </c>
    </row>
    <row r="6012" spans="1:2" x14ac:dyDescent="0.25">
      <c r="A6012" t="s">
        <v>6618</v>
      </c>
      <c r="B6012" s="9">
        <v>0</v>
      </c>
    </row>
    <row r="6013" spans="1:2" x14ac:dyDescent="0.25">
      <c r="A6013" t="s">
        <v>6619</v>
      </c>
      <c r="B6013" s="9">
        <v>0</v>
      </c>
    </row>
    <row r="6014" spans="1:2" x14ac:dyDescent="0.25">
      <c r="A6014" t="s">
        <v>6620</v>
      </c>
      <c r="B6014" s="9">
        <v>0</v>
      </c>
    </row>
    <row r="6015" spans="1:2" x14ac:dyDescent="0.25">
      <c r="A6015" t="s">
        <v>6621</v>
      </c>
      <c r="B6015" s="9">
        <v>0</v>
      </c>
    </row>
    <row r="6016" spans="1:2" x14ac:dyDescent="0.25">
      <c r="A6016" t="s">
        <v>6622</v>
      </c>
      <c r="B6016" s="9">
        <v>0</v>
      </c>
    </row>
    <row r="6017" spans="1:2" x14ac:dyDescent="0.25">
      <c r="A6017" t="s">
        <v>6623</v>
      </c>
      <c r="B6017" s="9">
        <v>0</v>
      </c>
    </row>
    <row r="6018" spans="1:2" x14ac:dyDescent="0.25">
      <c r="A6018" t="s">
        <v>6624</v>
      </c>
      <c r="B6018" s="9">
        <v>0</v>
      </c>
    </row>
    <row r="6019" spans="1:2" x14ac:dyDescent="0.25">
      <c r="A6019" t="s">
        <v>6625</v>
      </c>
      <c r="B6019" s="9">
        <v>0</v>
      </c>
    </row>
    <row r="6020" spans="1:2" x14ac:dyDescent="0.25">
      <c r="A6020" t="s">
        <v>6626</v>
      </c>
      <c r="B6020" s="9">
        <v>0</v>
      </c>
    </row>
    <row r="6021" spans="1:2" x14ac:dyDescent="0.25">
      <c r="A6021" t="s">
        <v>6627</v>
      </c>
      <c r="B6021" s="9">
        <v>0</v>
      </c>
    </row>
    <row r="6022" spans="1:2" x14ac:dyDescent="0.25">
      <c r="A6022" t="s">
        <v>6628</v>
      </c>
      <c r="B6022" s="9">
        <v>0</v>
      </c>
    </row>
    <row r="6023" spans="1:2" x14ac:dyDescent="0.25">
      <c r="A6023" t="s">
        <v>6629</v>
      </c>
      <c r="B6023" s="9">
        <v>0</v>
      </c>
    </row>
    <row r="6024" spans="1:2" x14ac:dyDescent="0.25">
      <c r="A6024" t="s">
        <v>6630</v>
      </c>
      <c r="B6024" s="9">
        <v>0</v>
      </c>
    </row>
    <row r="6025" spans="1:2" x14ac:dyDescent="0.25">
      <c r="A6025" t="s">
        <v>6631</v>
      </c>
      <c r="B6025" s="9">
        <v>0</v>
      </c>
    </row>
    <row r="6026" spans="1:2" x14ac:dyDescent="0.25">
      <c r="A6026" t="s">
        <v>6632</v>
      </c>
      <c r="B6026" s="9">
        <v>0</v>
      </c>
    </row>
    <row r="6027" spans="1:2" x14ac:dyDescent="0.25">
      <c r="A6027" t="s">
        <v>6633</v>
      </c>
      <c r="B6027" s="9">
        <v>0</v>
      </c>
    </row>
    <row r="6028" spans="1:2" x14ac:dyDescent="0.25">
      <c r="A6028" t="s">
        <v>6634</v>
      </c>
      <c r="B6028" s="9">
        <v>0</v>
      </c>
    </row>
    <row r="6029" spans="1:2" x14ac:dyDescent="0.25">
      <c r="A6029" t="s">
        <v>6635</v>
      </c>
      <c r="B6029" s="9">
        <v>0</v>
      </c>
    </row>
    <row r="6030" spans="1:2" x14ac:dyDescent="0.25">
      <c r="A6030" t="s">
        <v>6636</v>
      </c>
      <c r="B6030" s="9">
        <v>0</v>
      </c>
    </row>
    <row r="6031" spans="1:2" x14ac:dyDescent="0.25">
      <c r="A6031" t="s">
        <v>6637</v>
      </c>
      <c r="B6031" s="9">
        <v>0</v>
      </c>
    </row>
    <row r="6032" spans="1:2" x14ac:dyDescent="0.25">
      <c r="A6032" t="s">
        <v>6638</v>
      </c>
      <c r="B6032" s="9">
        <v>0</v>
      </c>
    </row>
    <row r="6033" spans="1:2" x14ac:dyDescent="0.25">
      <c r="A6033" t="s">
        <v>6639</v>
      </c>
      <c r="B6033" s="9">
        <v>0</v>
      </c>
    </row>
    <row r="6034" spans="1:2" x14ac:dyDescent="0.25">
      <c r="A6034" t="s">
        <v>6640</v>
      </c>
      <c r="B6034" s="9">
        <v>0</v>
      </c>
    </row>
    <row r="6035" spans="1:2" x14ac:dyDescent="0.25">
      <c r="A6035" t="s">
        <v>6641</v>
      </c>
      <c r="B6035" s="9">
        <v>0</v>
      </c>
    </row>
    <row r="6036" spans="1:2" x14ac:dyDescent="0.25">
      <c r="A6036" t="s">
        <v>6642</v>
      </c>
      <c r="B6036" s="9">
        <v>0</v>
      </c>
    </row>
    <row r="6037" spans="1:2" x14ac:dyDescent="0.25">
      <c r="A6037" t="s">
        <v>6643</v>
      </c>
      <c r="B6037" s="9">
        <v>0</v>
      </c>
    </row>
    <row r="6038" spans="1:2" x14ac:dyDescent="0.25">
      <c r="A6038" t="s">
        <v>6644</v>
      </c>
      <c r="B6038" s="9">
        <v>0</v>
      </c>
    </row>
    <row r="6039" spans="1:2" x14ac:dyDescent="0.25">
      <c r="A6039" t="s">
        <v>6645</v>
      </c>
      <c r="B6039" s="9">
        <v>0</v>
      </c>
    </row>
    <row r="6040" spans="1:2" x14ac:dyDescent="0.25">
      <c r="A6040" t="s">
        <v>6646</v>
      </c>
      <c r="B6040" s="9">
        <v>0</v>
      </c>
    </row>
    <row r="6041" spans="1:2" x14ac:dyDescent="0.25">
      <c r="A6041" t="s">
        <v>6647</v>
      </c>
      <c r="B6041" s="9">
        <v>0</v>
      </c>
    </row>
    <row r="6042" spans="1:2" x14ac:dyDescent="0.25">
      <c r="A6042" t="s">
        <v>6648</v>
      </c>
      <c r="B6042" s="9">
        <v>0</v>
      </c>
    </row>
    <row r="6043" spans="1:2" x14ac:dyDescent="0.25">
      <c r="A6043" t="s">
        <v>6649</v>
      </c>
      <c r="B6043" s="9">
        <v>0</v>
      </c>
    </row>
    <row r="6044" spans="1:2" x14ac:dyDescent="0.25">
      <c r="A6044" t="s">
        <v>6650</v>
      </c>
      <c r="B6044" s="9">
        <v>0</v>
      </c>
    </row>
    <row r="6045" spans="1:2" x14ac:dyDescent="0.25">
      <c r="A6045" t="s">
        <v>6651</v>
      </c>
      <c r="B6045" s="9">
        <v>0</v>
      </c>
    </row>
    <row r="6046" spans="1:2" x14ac:dyDescent="0.25">
      <c r="A6046" t="s">
        <v>6652</v>
      </c>
      <c r="B6046" s="9">
        <v>0</v>
      </c>
    </row>
    <row r="6047" spans="1:2" x14ac:dyDescent="0.25">
      <c r="A6047" t="s">
        <v>6653</v>
      </c>
      <c r="B6047" s="9">
        <v>0</v>
      </c>
    </row>
    <row r="6048" spans="1:2" x14ac:dyDescent="0.25">
      <c r="A6048" t="s">
        <v>6654</v>
      </c>
      <c r="B6048" s="9">
        <v>0</v>
      </c>
    </row>
    <row r="6049" spans="1:2" x14ac:dyDescent="0.25">
      <c r="A6049" t="s">
        <v>6655</v>
      </c>
      <c r="B6049" s="9">
        <v>0</v>
      </c>
    </row>
    <row r="6050" spans="1:2" x14ac:dyDescent="0.25">
      <c r="A6050" t="s">
        <v>6656</v>
      </c>
      <c r="B6050" s="9">
        <v>0</v>
      </c>
    </row>
    <row r="6051" spans="1:2" x14ac:dyDescent="0.25">
      <c r="A6051" t="s">
        <v>6657</v>
      </c>
      <c r="B6051" s="9">
        <v>0</v>
      </c>
    </row>
    <row r="6052" spans="1:2" x14ac:dyDescent="0.25">
      <c r="A6052" t="s">
        <v>6658</v>
      </c>
      <c r="B6052" s="9">
        <v>0</v>
      </c>
    </row>
    <row r="6053" spans="1:2" x14ac:dyDescent="0.25">
      <c r="A6053" t="s">
        <v>6659</v>
      </c>
      <c r="B6053" s="9">
        <v>0</v>
      </c>
    </row>
    <row r="6054" spans="1:2" x14ac:dyDescent="0.25">
      <c r="A6054" t="s">
        <v>6660</v>
      </c>
      <c r="B6054" s="9">
        <v>0</v>
      </c>
    </row>
    <row r="6055" spans="1:2" x14ac:dyDescent="0.25">
      <c r="A6055" t="s">
        <v>6661</v>
      </c>
      <c r="B6055" s="9">
        <v>0</v>
      </c>
    </row>
    <row r="6056" spans="1:2" x14ac:dyDescent="0.25">
      <c r="A6056" t="s">
        <v>6662</v>
      </c>
      <c r="B6056" s="9">
        <v>0</v>
      </c>
    </row>
    <row r="6057" spans="1:2" x14ac:dyDescent="0.25">
      <c r="A6057" t="s">
        <v>6663</v>
      </c>
      <c r="B6057" s="9">
        <v>0</v>
      </c>
    </row>
    <row r="6058" spans="1:2" x14ac:dyDescent="0.25">
      <c r="A6058" t="s">
        <v>6664</v>
      </c>
      <c r="B6058" s="9">
        <v>0</v>
      </c>
    </row>
    <row r="6059" spans="1:2" x14ac:dyDescent="0.25">
      <c r="A6059" t="s">
        <v>6665</v>
      </c>
      <c r="B6059" s="9">
        <v>0</v>
      </c>
    </row>
    <row r="6060" spans="1:2" x14ac:dyDescent="0.25">
      <c r="A6060" t="s">
        <v>6666</v>
      </c>
      <c r="B6060" s="9">
        <v>0</v>
      </c>
    </row>
    <row r="6061" spans="1:2" x14ac:dyDescent="0.25">
      <c r="A6061" t="s">
        <v>6667</v>
      </c>
      <c r="B6061" s="9">
        <v>0</v>
      </c>
    </row>
    <row r="6062" spans="1:2" x14ac:dyDescent="0.25">
      <c r="A6062" t="s">
        <v>6668</v>
      </c>
      <c r="B6062" s="9">
        <v>0</v>
      </c>
    </row>
    <row r="6063" spans="1:2" x14ac:dyDescent="0.25">
      <c r="A6063" t="s">
        <v>6669</v>
      </c>
      <c r="B6063" s="9">
        <v>0</v>
      </c>
    </row>
    <row r="6064" spans="1:2" x14ac:dyDescent="0.25">
      <c r="A6064" t="s">
        <v>6670</v>
      </c>
      <c r="B6064" s="9">
        <v>0</v>
      </c>
    </row>
    <row r="6065" spans="1:2" x14ac:dyDescent="0.25">
      <c r="A6065" t="s">
        <v>6671</v>
      </c>
      <c r="B6065" s="9">
        <v>0</v>
      </c>
    </row>
    <row r="6066" spans="1:2" x14ac:dyDescent="0.25">
      <c r="A6066" t="s">
        <v>6672</v>
      </c>
      <c r="B6066" s="9">
        <v>0</v>
      </c>
    </row>
    <row r="6067" spans="1:2" x14ac:dyDescent="0.25">
      <c r="A6067" t="s">
        <v>6673</v>
      </c>
      <c r="B6067" s="9">
        <v>0</v>
      </c>
    </row>
    <row r="6068" spans="1:2" x14ac:dyDescent="0.25">
      <c r="A6068" t="s">
        <v>6674</v>
      </c>
      <c r="B6068" s="9">
        <v>0</v>
      </c>
    </row>
    <row r="6069" spans="1:2" x14ac:dyDescent="0.25">
      <c r="A6069" t="s">
        <v>6675</v>
      </c>
      <c r="B6069" s="9">
        <v>0</v>
      </c>
    </row>
    <row r="6070" spans="1:2" x14ac:dyDescent="0.25">
      <c r="A6070" t="s">
        <v>6676</v>
      </c>
      <c r="B6070" s="9">
        <v>0</v>
      </c>
    </row>
    <row r="6071" spans="1:2" x14ac:dyDescent="0.25">
      <c r="A6071" t="s">
        <v>6677</v>
      </c>
      <c r="B6071" s="9">
        <v>0</v>
      </c>
    </row>
    <row r="6072" spans="1:2" x14ac:dyDescent="0.25">
      <c r="A6072" t="s">
        <v>6678</v>
      </c>
      <c r="B6072" s="9">
        <v>0</v>
      </c>
    </row>
    <row r="6073" spans="1:2" x14ac:dyDescent="0.25">
      <c r="A6073" t="s">
        <v>6679</v>
      </c>
      <c r="B6073" s="9">
        <v>0</v>
      </c>
    </row>
    <row r="6074" spans="1:2" x14ac:dyDescent="0.25">
      <c r="A6074" t="s">
        <v>6680</v>
      </c>
      <c r="B6074" s="9">
        <v>0</v>
      </c>
    </row>
    <row r="6075" spans="1:2" x14ac:dyDescent="0.25">
      <c r="A6075" t="s">
        <v>6681</v>
      </c>
      <c r="B6075" s="9">
        <v>0</v>
      </c>
    </row>
    <row r="6076" spans="1:2" x14ac:dyDescent="0.25">
      <c r="A6076" t="s">
        <v>6682</v>
      </c>
      <c r="B6076" s="9">
        <v>0</v>
      </c>
    </row>
    <row r="6077" spans="1:2" x14ac:dyDescent="0.25">
      <c r="A6077" t="s">
        <v>6683</v>
      </c>
      <c r="B6077" s="9">
        <v>0</v>
      </c>
    </row>
    <row r="6078" spans="1:2" x14ac:dyDescent="0.25">
      <c r="A6078" t="s">
        <v>6684</v>
      </c>
      <c r="B6078" s="9">
        <v>0.3</v>
      </c>
    </row>
    <row r="6079" spans="1:2" x14ac:dyDescent="0.25">
      <c r="A6079" t="s">
        <v>6685</v>
      </c>
      <c r="B6079" s="9">
        <v>0</v>
      </c>
    </row>
    <row r="6080" spans="1:2" x14ac:dyDescent="0.25">
      <c r="A6080" t="s">
        <v>6686</v>
      </c>
      <c r="B6080" s="9">
        <v>0</v>
      </c>
    </row>
    <row r="6081" spans="1:2" x14ac:dyDescent="0.25">
      <c r="A6081" t="s">
        <v>6687</v>
      </c>
      <c r="B6081" s="9">
        <v>0</v>
      </c>
    </row>
    <row r="6082" spans="1:2" x14ac:dyDescent="0.25">
      <c r="A6082" t="s">
        <v>6688</v>
      </c>
      <c r="B6082" s="9">
        <v>0</v>
      </c>
    </row>
    <row r="6083" spans="1:2" x14ac:dyDescent="0.25">
      <c r="A6083" t="s">
        <v>6689</v>
      </c>
      <c r="B6083" s="9">
        <v>0</v>
      </c>
    </row>
    <row r="6084" spans="1:2" x14ac:dyDescent="0.25">
      <c r="A6084" t="s">
        <v>6690</v>
      </c>
      <c r="B6084" s="9">
        <v>0</v>
      </c>
    </row>
    <row r="6085" spans="1:2" x14ac:dyDescent="0.25">
      <c r="A6085" t="s">
        <v>6691</v>
      </c>
      <c r="B6085" s="9">
        <v>0</v>
      </c>
    </row>
    <row r="6086" spans="1:2" x14ac:dyDescent="0.25">
      <c r="A6086" t="s">
        <v>6692</v>
      </c>
      <c r="B6086" s="9">
        <v>0</v>
      </c>
    </row>
    <row r="6087" spans="1:2" x14ac:dyDescent="0.25">
      <c r="A6087" t="s">
        <v>6693</v>
      </c>
      <c r="B6087" s="9">
        <v>0</v>
      </c>
    </row>
    <row r="6088" spans="1:2" x14ac:dyDescent="0.25">
      <c r="A6088" t="s">
        <v>6694</v>
      </c>
      <c r="B6088" s="9">
        <v>0</v>
      </c>
    </row>
    <row r="6089" spans="1:2" x14ac:dyDescent="0.25">
      <c r="A6089" t="s">
        <v>6695</v>
      </c>
      <c r="B6089" s="9">
        <v>0</v>
      </c>
    </row>
    <row r="6090" spans="1:2" x14ac:dyDescent="0.25">
      <c r="A6090" t="s">
        <v>6696</v>
      </c>
      <c r="B6090" s="9">
        <v>0</v>
      </c>
    </row>
    <row r="6091" spans="1:2" x14ac:dyDescent="0.25">
      <c r="A6091" t="s">
        <v>6697</v>
      </c>
      <c r="B6091" s="9">
        <v>0</v>
      </c>
    </row>
    <row r="6092" spans="1:2" x14ac:dyDescent="0.25">
      <c r="A6092" t="s">
        <v>6698</v>
      </c>
      <c r="B6092" s="9">
        <v>0</v>
      </c>
    </row>
    <row r="6093" spans="1:2" x14ac:dyDescent="0.25">
      <c r="A6093" t="s">
        <v>6699</v>
      </c>
      <c r="B6093" s="9">
        <v>0</v>
      </c>
    </row>
    <row r="6094" spans="1:2" x14ac:dyDescent="0.25">
      <c r="A6094" t="s">
        <v>6700</v>
      </c>
      <c r="B6094" s="9">
        <v>0</v>
      </c>
    </row>
    <row r="6095" spans="1:2" x14ac:dyDescent="0.25">
      <c r="A6095" t="s">
        <v>6701</v>
      </c>
      <c r="B6095" s="9">
        <v>0</v>
      </c>
    </row>
    <row r="6096" spans="1:2" x14ac:dyDescent="0.25">
      <c r="A6096" t="s">
        <v>6702</v>
      </c>
      <c r="B6096" s="9">
        <v>0</v>
      </c>
    </row>
    <row r="6097" spans="1:2" x14ac:dyDescent="0.25">
      <c r="A6097" t="s">
        <v>6703</v>
      </c>
      <c r="B6097" s="9">
        <v>0</v>
      </c>
    </row>
    <row r="6098" spans="1:2" x14ac:dyDescent="0.25">
      <c r="A6098" t="s">
        <v>6704</v>
      </c>
      <c r="B6098" s="9">
        <v>0</v>
      </c>
    </row>
    <row r="6099" spans="1:2" x14ac:dyDescent="0.25">
      <c r="A6099" t="s">
        <v>6705</v>
      </c>
      <c r="B6099" s="9">
        <v>0</v>
      </c>
    </row>
    <row r="6100" spans="1:2" x14ac:dyDescent="0.25">
      <c r="A6100" t="s">
        <v>6706</v>
      </c>
      <c r="B6100" s="9">
        <v>0</v>
      </c>
    </row>
    <row r="6101" spans="1:2" x14ac:dyDescent="0.25">
      <c r="A6101" t="s">
        <v>6707</v>
      </c>
      <c r="B6101" s="9">
        <v>0</v>
      </c>
    </row>
    <row r="6102" spans="1:2" x14ac:dyDescent="0.25">
      <c r="A6102" t="s">
        <v>6708</v>
      </c>
      <c r="B6102" s="9">
        <v>0</v>
      </c>
    </row>
    <row r="6103" spans="1:2" x14ac:dyDescent="0.25">
      <c r="A6103" t="s">
        <v>6709</v>
      </c>
      <c r="B6103" s="9">
        <v>0</v>
      </c>
    </row>
    <row r="6104" spans="1:2" x14ac:dyDescent="0.25">
      <c r="A6104" t="s">
        <v>6710</v>
      </c>
      <c r="B6104" s="9">
        <v>0</v>
      </c>
    </row>
    <row r="6105" spans="1:2" x14ac:dyDescent="0.25">
      <c r="A6105" t="s">
        <v>6711</v>
      </c>
      <c r="B6105" s="9">
        <v>0</v>
      </c>
    </row>
    <row r="6106" spans="1:2" x14ac:dyDescent="0.25">
      <c r="A6106" t="s">
        <v>6712</v>
      </c>
      <c r="B6106" s="9">
        <v>0</v>
      </c>
    </row>
    <row r="6107" spans="1:2" x14ac:dyDescent="0.25">
      <c r="A6107" t="s">
        <v>6713</v>
      </c>
      <c r="B6107" s="9">
        <v>0</v>
      </c>
    </row>
    <row r="6108" spans="1:2" x14ac:dyDescent="0.25">
      <c r="A6108" t="s">
        <v>6714</v>
      </c>
      <c r="B6108" s="9">
        <v>0</v>
      </c>
    </row>
    <row r="6109" spans="1:2" x14ac:dyDescent="0.25">
      <c r="A6109" t="s">
        <v>6715</v>
      </c>
      <c r="B6109" s="9">
        <v>0</v>
      </c>
    </row>
    <row r="6110" spans="1:2" x14ac:dyDescent="0.25">
      <c r="A6110" t="s">
        <v>6716</v>
      </c>
      <c r="B6110" s="9">
        <v>0</v>
      </c>
    </row>
    <row r="6111" spans="1:2" x14ac:dyDescent="0.25">
      <c r="A6111" t="s">
        <v>6717</v>
      </c>
      <c r="B6111" s="9">
        <v>0</v>
      </c>
    </row>
    <row r="6112" spans="1:2" x14ac:dyDescent="0.25">
      <c r="A6112" t="s">
        <v>6718</v>
      </c>
      <c r="B6112" s="9">
        <v>0</v>
      </c>
    </row>
    <row r="6113" spans="1:2" x14ac:dyDescent="0.25">
      <c r="A6113" t="s">
        <v>6719</v>
      </c>
      <c r="B6113" s="9">
        <v>0</v>
      </c>
    </row>
    <row r="6114" spans="1:2" x14ac:dyDescent="0.25">
      <c r="A6114" t="s">
        <v>6720</v>
      </c>
      <c r="B6114" s="9">
        <v>0</v>
      </c>
    </row>
    <row r="6115" spans="1:2" x14ac:dyDescent="0.25">
      <c r="A6115" t="s">
        <v>6721</v>
      </c>
      <c r="B6115" s="9">
        <v>0</v>
      </c>
    </row>
    <row r="6116" spans="1:2" x14ac:dyDescent="0.25">
      <c r="A6116" t="s">
        <v>6722</v>
      </c>
      <c r="B6116" s="9">
        <v>0</v>
      </c>
    </row>
    <row r="6117" spans="1:2" x14ac:dyDescent="0.25">
      <c r="A6117" t="s">
        <v>6723</v>
      </c>
      <c r="B6117" s="9">
        <v>0</v>
      </c>
    </row>
    <row r="6118" spans="1:2" x14ac:dyDescent="0.25">
      <c r="A6118" t="s">
        <v>6724</v>
      </c>
      <c r="B6118" s="9">
        <v>0</v>
      </c>
    </row>
    <row r="6119" spans="1:2" x14ac:dyDescent="0.25">
      <c r="A6119" t="s">
        <v>6725</v>
      </c>
      <c r="B6119" s="9">
        <v>0</v>
      </c>
    </row>
    <row r="6120" spans="1:2" x14ac:dyDescent="0.25">
      <c r="A6120" t="s">
        <v>6726</v>
      </c>
      <c r="B6120" s="9">
        <v>0</v>
      </c>
    </row>
    <row r="6121" spans="1:2" x14ac:dyDescent="0.25">
      <c r="A6121" t="s">
        <v>6727</v>
      </c>
      <c r="B6121" s="9">
        <v>0</v>
      </c>
    </row>
    <row r="6122" spans="1:2" x14ac:dyDescent="0.25">
      <c r="A6122" t="s">
        <v>6728</v>
      </c>
      <c r="B6122" s="9">
        <v>0</v>
      </c>
    </row>
    <row r="6123" spans="1:2" x14ac:dyDescent="0.25">
      <c r="A6123" t="s">
        <v>6729</v>
      </c>
      <c r="B6123" s="9">
        <v>0</v>
      </c>
    </row>
    <row r="6124" spans="1:2" x14ac:dyDescent="0.25">
      <c r="A6124" t="s">
        <v>6730</v>
      </c>
      <c r="B6124" s="9">
        <v>0</v>
      </c>
    </row>
    <row r="6125" spans="1:2" x14ac:dyDescent="0.25">
      <c r="A6125" t="s">
        <v>6731</v>
      </c>
      <c r="B6125" s="9">
        <v>0</v>
      </c>
    </row>
    <row r="6126" spans="1:2" x14ac:dyDescent="0.25">
      <c r="A6126" t="s">
        <v>6732</v>
      </c>
      <c r="B6126" s="9">
        <v>0</v>
      </c>
    </row>
    <row r="6127" spans="1:2" x14ac:dyDescent="0.25">
      <c r="A6127" t="s">
        <v>6733</v>
      </c>
      <c r="B6127" s="9">
        <v>0</v>
      </c>
    </row>
    <row r="6128" spans="1:2" x14ac:dyDescent="0.25">
      <c r="A6128" t="s">
        <v>6734</v>
      </c>
      <c r="B6128" s="9">
        <v>0</v>
      </c>
    </row>
    <row r="6129" spans="1:2" x14ac:dyDescent="0.25">
      <c r="A6129" t="s">
        <v>6735</v>
      </c>
      <c r="B6129" s="9">
        <v>0</v>
      </c>
    </row>
    <row r="6130" spans="1:2" x14ac:dyDescent="0.25">
      <c r="A6130" t="s">
        <v>6736</v>
      </c>
      <c r="B6130" s="9">
        <v>0</v>
      </c>
    </row>
    <row r="6131" spans="1:2" x14ac:dyDescent="0.25">
      <c r="A6131" t="s">
        <v>6737</v>
      </c>
      <c r="B6131" s="9">
        <v>0</v>
      </c>
    </row>
    <row r="6132" spans="1:2" x14ac:dyDescent="0.25">
      <c r="A6132" t="s">
        <v>6738</v>
      </c>
      <c r="B6132" s="9">
        <v>0</v>
      </c>
    </row>
    <row r="6133" spans="1:2" x14ac:dyDescent="0.25">
      <c r="A6133" t="s">
        <v>6739</v>
      </c>
      <c r="B6133" s="9">
        <v>0</v>
      </c>
    </row>
    <row r="6134" spans="1:2" x14ac:dyDescent="0.25">
      <c r="A6134" t="s">
        <v>6740</v>
      </c>
      <c r="B6134" s="9">
        <v>0</v>
      </c>
    </row>
    <row r="6135" spans="1:2" x14ac:dyDescent="0.25">
      <c r="A6135" t="s">
        <v>6741</v>
      </c>
      <c r="B6135" s="9">
        <v>0</v>
      </c>
    </row>
    <row r="6136" spans="1:2" x14ac:dyDescent="0.25">
      <c r="A6136" t="s">
        <v>6742</v>
      </c>
      <c r="B6136" s="9">
        <v>0</v>
      </c>
    </row>
    <row r="6137" spans="1:2" x14ac:dyDescent="0.25">
      <c r="A6137" t="s">
        <v>6743</v>
      </c>
      <c r="B6137" s="9">
        <v>0</v>
      </c>
    </row>
    <row r="6138" spans="1:2" x14ac:dyDescent="0.25">
      <c r="A6138" t="s">
        <v>6744</v>
      </c>
      <c r="B6138" s="9">
        <v>0</v>
      </c>
    </row>
    <row r="6139" spans="1:2" x14ac:dyDescent="0.25">
      <c r="A6139" t="s">
        <v>6745</v>
      </c>
      <c r="B6139" s="9">
        <v>0</v>
      </c>
    </row>
    <row r="6140" spans="1:2" x14ac:dyDescent="0.25">
      <c r="A6140" t="s">
        <v>6746</v>
      </c>
      <c r="B6140" s="9">
        <v>0</v>
      </c>
    </row>
    <row r="6141" spans="1:2" x14ac:dyDescent="0.25">
      <c r="A6141" t="s">
        <v>6747</v>
      </c>
      <c r="B6141" s="9">
        <v>0</v>
      </c>
    </row>
    <row r="6142" spans="1:2" x14ac:dyDescent="0.25">
      <c r="A6142" t="s">
        <v>6748</v>
      </c>
      <c r="B6142" s="9">
        <v>0</v>
      </c>
    </row>
    <row r="6143" spans="1:2" x14ac:dyDescent="0.25">
      <c r="A6143" t="s">
        <v>6749</v>
      </c>
      <c r="B6143" s="9">
        <v>0</v>
      </c>
    </row>
    <row r="6144" spans="1:2" x14ac:dyDescent="0.25">
      <c r="A6144" t="s">
        <v>6750</v>
      </c>
      <c r="B6144" s="9">
        <v>0</v>
      </c>
    </row>
    <row r="6145" spans="1:2" x14ac:dyDescent="0.25">
      <c r="A6145" t="s">
        <v>6751</v>
      </c>
      <c r="B6145" s="9">
        <v>0</v>
      </c>
    </row>
    <row r="6146" spans="1:2" x14ac:dyDescent="0.25">
      <c r="A6146" t="s">
        <v>6752</v>
      </c>
      <c r="B6146" s="9">
        <v>0</v>
      </c>
    </row>
    <row r="6147" spans="1:2" x14ac:dyDescent="0.25">
      <c r="A6147" t="s">
        <v>6753</v>
      </c>
      <c r="B6147" s="9">
        <v>0</v>
      </c>
    </row>
    <row r="6148" spans="1:2" x14ac:dyDescent="0.25">
      <c r="A6148" t="s">
        <v>6754</v>
      </c>
      <c r="B6148" s="9">
        <v>0</v>
      </c>
    </row>
    <row r="6149" spans="1:2" x14ac:dyDescent="0.25">
      <c r="A6149" t="s">
        <v>6755</v>
      </c>
      <c r="B6149" s="9">
        <v>0</v>
      </c>
    </row>
    <row r="6150" spans="1:2" x14ac:dyDescent="0.25">
      <c r="A6150" t="s">
        <v>6756</v>
      </c>
      <c r="B6150" s="9">
        <v>0</v>
      </c>
    </row>
    <row r="6151" spans="1:2" x14ac:dyDescent="0.25">
      <c r="A6151" t="s">
        <v>6757</v>
      </c>
      <c r="B6151" s="9">
        <v>0</v>
      </c>
    </row>
    <row r="6152" spans="1:2" x14ac:dyDescent="0.25">
      <c r="A6152" t="s">
        <v>6758</v>
      </c>
      <c r="B6152" s="9">
        <v>0</v>
      </c>
    </row>
    <row r="6153" spans="1:2" x14ac:dyDescent="0.25">
      <c r="A6153" t="s">
        <v>6759</v>
      </c>
      <c r="B6153" s="9">
        <v>0</v>
      </c>
    </row>
    <row r="6154" spans="1:2" x14ac:dyDescent="0.25">
      <c r="A6154" t="s">
        <v>6760</v>
      </c>
      <c r="B6154" s="9">
        <v>0</v>
      </c>
    </row>
    <row r="6155" spans="1:2" x14ac:dyDescent="0.25">
      <c r="A6155" t="s">
        <v>6761</v>
      </c>
      <c r="B6155" s="9">
        <v>0</v>
      </c>
    </row>
    <row r="6156" spans="1:2" x14ac:dyDescent="0.25">
      <c r="A6156" t="s">
        <v>6762</v>
      </c>
      <c r="B6156" s="9">
        <v>0</v>
      </c>
    </row>
    <row r="6157" spans="1:2" x14ac:dyDescent="0.25">
      <c r="A6157" t="s">
        <v>6763</v>
      </c>
      <c r="B6157" s="9">
        <v>0</v>
      </c>
    </row>
    <row r="6158" spans="1:2" x14ac:dyDescent="0.25">
      <c r="A6158" t="s">
        <v>6764</v>
      </c>
      <c r="B6158" s="9">
        <v>0</v>
      </c>
    </row>
    <row r="6159" spans="1:2" x14ac:dyDescent="0.25">
      <c r="A6159" t="s">
        <v>6765</v>
      </c>
      <c r="B6159" s="9">
        <v>0</v>
      </c>
    </row>
    <row r="6160" spans="1:2" x14ac:dyDescent="0.25">
      <c r="A6160" t="s">
        <v>6766</v>
      </c>
      <c r="B6160" s="9">
        <v>0</v>
      </c>
    </row>
    <row r="6161" spans="1:2" x14ac:dyDescent="0.25">
      <c r="A6161" t="s">
        <v>6767</v>
      </c>
      <c r="B6161" s="9">
        <v>0</v>
      </c>
    </row>
    <row r="6162" spans="1:2" x14ac:dyDescent="0.25">
      <c r="A6162" t="s">
        <v>6768</v>
      </c>
      <c r="B6162" s="9">
        <v>0</v>
      </c>
    </row>
    <row r="6163" spans="1:2" x14ac:dyDescent="0.25">
      <c r="A6163" t="s">
        <v>6769</v>
      </c>
      <c r="B6163" s="9">
        <v>0</v>
      </c>
    </row>
    <row r="6164" spans="1:2" x14ac:dyDescent="0.25">
      <c r="A6164" t="s">
        <v>6770</v>
      </c>
      <c r="B6164" s="9">
        <v>0</v>
      </c>
    </row>
    <row r="6165" spans="1:2" x14ac:dyDescent="0.25">
      <c r="A6165" t="s">
        <v>6771</v>
      </c>
      <c r="B6165" s="9">
        <v>0</v>
      </c>
    </row>
    <row r="6166" spans="1:2" x14ac:dyDescent="0.25">
      <c r="A6166" t="s">
        <v>6772</v>
      </c>
      <c r="B6166" s="9">
        <v>0</v>
      </c>
    </row>
    <row r="6167" spans="1:2" x14ac:dyDescent="0.25">
      <c r="A6167" t="s">
        <v>6773</v>
      </c>
      <c r="B6167" s="9">
        <v>0</v>
      </c>
    </row>
    <row r="6168" spans="1:2" x14ac:dyDescent="0.25">
      <c r="A6168" t="s">
        <v>6774</v>
      </c>
      <c r="B6168" s="9">
        <v>0</v>
      </c>
    </row>
    <row r="6169" spans="1:2" x14ac:dyDescent="0.25">
      <c r="A6169" t="s">
        <v>6775</v>
      </c>
      <c r="B6169" s="9">
        <v>0</v>
      </c>
    </row>
    <row r="6170" spans="1:2" x14ac:dyDescent="0.25">
      <c r="A6170" t="s">
        <v>6776</v>
      </c>
      <c r="B6170" s="9">
        <v>0</v>
      </c>
    </row>
    <row r="6171" spans="1:2" x14ac:dyDescent="0.25">
      <c r="A6171" t="s">
        <v>6777</v>
      </c>
      <c r="B6171" s="9">
        <v>0</v>
      </c>
    </row>
    <row r="6172" spans="1:2" x14ac:dyDescent="0.25">
      <c r="A6172" t="s">
        <v>6778</v>
      </c>
      <c r="B6172" s="9">
        <v>0</v>
      </c>
    </row>
    <row r="6173" spans="1:2" x14ac:dyDescent="0.25">
      <c r="A6173" t="s">
        <v>6779</v>
      </c>
      <c r="B6173" s="9">
        <v>0</v>
      </c>
    </row>
    <row r="6174" spans="1:2" x14ac:dyDescent="0.25">
      <c r="A6174" t="s">
        <v>6780</v>
      </c>
      <c r="B6174" s="9">
        <v>0</v>
      </c>
    </row>
    <row r="6175" spans="1:2" x14ac:dyDescent="0.25">
      <c r="A6175" t="s">
        <v>6781</v>
      </c>
      <c r="B6175" s="9">
        <v>0</v>
      </c>
    </row>
    <row r="6176" spans="1:2" x14ac:dyDescent="0.25">
      <c r="A6176" t="s">
        <v>6782</v>
      </c>
      <c r="B6176" s="9">
        <v>0</v>
      </c>
    </row>
    <row r="6177" spans="1:2" x14ac:dyDescent="0.25">
      <c r="A6177" t="s">
        <v>6783</v>
      </c>
      <c r="B6177" s="9">
        <v>0</v>
      </c>
    </row>
    <row r="6178" spans="1:2" x14ac:dyDescent="0.25">
      <c r="A6178" t="s">
        <v>6784</v>
      </c>
      <c r="B6178" s="9">
        <v>0</v>
      </c>
    </row>
    <row r="6179" spans="1:2" x14ac:dyDescent="0.25">
      <c r="A6179" t="s">
        <v>6785</v>
      </c>
      <c r="B6179" s="9">
        <v>0</v>
      </c>
    </row>
    <row r="6180" spans="1:2" x14ac:dyDescent="0.25">
      <c r="A6180" t="s">
        <v>6786</v>
      </c>
      <c r="B6180" s="9">
        <v>0</v>
      </c>
    </row>
    <row r="6181" spans="1:2" x14ac:dyDescent="0.25">
      <c r="A6181" t="s">
        <v>6787</v>
      </c>
      <c r="B6181" s="9">
        <v>0</v>
      </c>
    </row>
    <row r="6182" spans="1:2" x14ac:dyDescent="0.25">
      <c r="A6182" t="s">
        <v>6788</v>
      </c>
      <c r="B6182" s="9">
        <v>0</v>
      </c>
    </row>
    <row r="6183" spans="1:2" x14ac:dyDescent="0.25">
      <c r="A6183" t="s">
        <v>6789</v>
      </c>
      <c r="B6183" s="9">
        <v>0</v>
      </c>
    </row>
    <row r="6184" spans="1:2" x14ac:dyDescent="0.25">
      <c r="A6184" t="s">
        <v>6790</v>
      </c>
      <c r="B6184" s="9">
        <v>0</v>
      </c>
    </row>
    <row r="6185" spans="1:2" x14ac:dyDescent="0.25">
      <c r="A6185" t="s">
        <v>6791</v>
      </c>
      <c r="B6185" s="9">
        <v>0</v>
      </c>
    </row>
    <row r="6186" spans="1:2" x14ac:dyDescent="0.25">
      <c r="A6186" t="s">
        <v>6792</v>
      </c>
      <c r="B6186" s="9">
        <v>0</v>
      </c>
    </row>
    <row r="6187" spans="1:2" x14ac:dyDescent="0.25">
      <c r="A6187" t="s">
        <v>6793</v>
      </c>
      <c r="B6187" s="9">
        <v>0</v>
      </c>
    </row>
    <row r="6188" spans="1:2" x14ac:dyDescent="0.25">
      <c r="A6188" t="s">
        <v>6794</v>
      </c>
      <c r="B6188" s="9">
        <v>0</v>
      </c>
    </row>
    <row r="6189" spans="1:2" x14ac:dyDescent="0.25">
      <c r="A6189" t="s">
        <v>6795</v>
      </c>
      <c r="B6189" s="9">
        <v>0</v>
      </c>
    </row>
    <row r="6190" spans="1:2" x14ac:dyDescent="0.25">
      <c r="A6190" t="s">
        <v>6796</v>
      </c>
      <c r="B6190" s="9">
        <v>0</v>
      </c>
    </row>
    <row r="6191" spans="1:2" x14ac:dyDescent="0.25">
      <c r="A6191" t="s">
        <v>6797</v>
      </c>
      <c r="B6191" s="9">
        <v>0</v>
      </c>
    </row>
    <row r="6192" spans="1:2" x14ac:dyDescent="0.25">
      <c r="A6192" t="s">
        <v>6798</v>
      </c>
      <c r="B6192" s="9">
        <v>0</v>
      </c>
    </row>
    <row r="6193" spans="1:2" x14ac:dyDescent="0.25">
      <c r="A6193" t="s">
        <v>6799</v>
      </c>
      <c r="B6193" s="9">
        <v>0</v>
      </c>
    </row>
    <row r="6194" spans="1:2" x14ac:dyDescent="0.25">
      <c r="A6194" t="s">
        <v>6800</v>
      </c>
      <c r="B6194" s="9">
        <v>0</v>
      </c>
    </row>
    <row r="6195" spans="1:2" x14ac:dyDescent="0.25">
      <c r="A6195" t="s">
        <v>6801</v>
      </c>
      <c r="B6195" s="9">
        <v>0</v>
      </c>
    </row>
    <row r="6196" spans="1:2" x14ac:dyDescent="0.25">
      <c r="A6196" t="s">
        <v>6802</v>
      </c>
      <c r="B6196" s="9">
        <v>0</v>
      </c>
    </row>
    <row r="6197" spans="1:2" x14ac:dyDescent="0.25">
      <c r="A6197" t="s">
        <v>6803</v>
      </c>
      <c r="B6197" s="9">
        <v>0</v>
      </c>
    </row>
    <row r="6198" spans="1:2" x14ac:dyDescent="0.25">
      <c r="A6198" t="s">
        <v>6804</v>
      </c>
      <c r="B6198" s="9">
        <v>0</v>
      </c>
    </row>
    <row r="6199" spans="1:2" x14ac:dyDescent="0.25">
      <c r="A6199" t="s">
        <v>6805</v>
      </c>
      <c r="B6199" s="9">
        <v>0</v>
      </c>
    </row>
    <row r="6200" spans="1:2" x14ac:dyDescent="0.25">
      <c r="A6200" t="s">
        <v>6806</v>
      </c>
      <c r="B6200" s="9">
        <v>0</v>
      </c>
    </row>
    <row r="6201" spans="1:2" x14ac:dyDescent="0.25">
      <c r="A6201" t="s">
        <v>6807</v>
      </c>
      <c r="B6201" s="9">
        <v>0</v>
      </c>
    </row>
    <row r="6202" spans="1:2" x14ac:dyDescent="0.25">
      <c r="A6202" t="s">
        <v>6808</v>
      </c>
      <c r="B6202" s="9">
        <v>0</v>
      </c>
    </row>
    <row r="6203" spans="1:2" x14ac:dyDescent="0.25">
      <c r="A6203" t="s">
        <v>6809</v>
      </c>
      <c r="B6203" s="9">
        <v>0</v>
      </c>
    </row>
    <row r="6204" spans="1:2" x14ac:dyDescent="0.25">
      <c r="A6204" t="s">
        <v>6810</v>
      </c>
      <c r="B6204" s="9">
        <v>0</v>
      </c>
    </row>
    <row r="6205" spans="1:2" x14ac:dyDescent="0.25">
      <c r="A6205" t="s">
        <v>6811</v>
      </c>
      <c r="B6205" s="9">
        <v>0</v>
      </c>
    </row>
    <row r="6206" spans="1:2" x14ac:dyDescent="0.25">
      <c r="A6206" t="s">
        <v>6812</v>
      </c>
      <c r="B6206" s="9">
        <v>0</v>
      </c>
    </row>
    <row r="6207" spans="1:2" x14ac:dyDescent="0.25">
      <c r="A6207" t="s">
        <v>6813</v>
      </c>
      <c r="B6207" s="9">
        <v>0</v>
      </c>
    </row>
    <row r="6208" spans="1:2" x14ac:dyDescent="0.25">
      <c r="A6208" t="s">
        <v>6814</v>
      </c>
      <c r="B6208" s="9">
        <v>0</v>
      </c>
    </row>
    <row r="6209" spans="1:2" x14ac:dyDescent="0.25">
      <c r="A6209" t="s">
        <v>6815</v>
      </c>
      <c r="B6209" s="9">
        <v>0</v>
      </c>
    </row>
    <row r="6210" spans="1:2" x14ac:dyDescent="0.25">
      <c r="A6210" t="s">
        <v>6816</v>
      </c>
      <c r="B6210" s="9">
        <v>0</v>
      </c>
    </row>
    <row r="6211" spans="1:2" x14ac:dyDescent="0.25">
      <c r="A6211" t="s">
        <v>6817</v>
      </c>
      <c r="B6211" s="9">
        <v>0</v>
      </c>
    </row>
    <row r="6212" spans="1:2" x14ac:dyDescent="0.25">
      <c r="A6212" t="s">
        <v>6818</v>
      </c>
      <c r="B6212" s="9">
        <v>0</v>
      </c>
    </row>
    <row r="6213" spans="1:2" x14ac:dyDescent="0.25">
      <c r="A6213" t="s">
        <v>6819</v>
      </c>
      <c r="B6213" s="9">
        <v>0</v>
      </c>
    </row>
    <row r="6214" spans="1:2" x14ac:dyDescent="0.25">
      <c r="A6214" t="s">
        <v>6820</v>
      </c>
      <c r="B6214" s="9">
        <v>0</v>
      </c>
    </row>
    <row r="6215" spans="1:2" x14ac:dyDescent="0.25">
      <c r="A6215" t="s">
        <v>6821</v>
      </c>
      <c r="B6215" s="9">
        <v>0</v>
      </c>
    </row>
    <row r="6216" spans="1:2" x14ac:dyDescent="0.25">
      <c r="A6216" t="s">
        <v>6822</v>
      </c>
      <c r="B6216" s="9">
        <v>0</v>
      </c>
    </row>
    <row r="6217" spans="1:2" x14ac:dyDescent="0.25">
      <c r="A6217" t="s">
        <v>6823</v>
      </c>
      <c r="B6217" s="9">
        <v>0</v>
      </c>
    </row>
    <row r="6218" spans="1:2" x14ac:dyDescent="0.25">
      <c r="A6218" t="s">
        <v>6824</v>
      </c>
      <c r="B6218" s="9">
        <v>0</v>
      </c>
    </row>
    <row r="6219" spans="1:2" x14ac:dyDescent="0.25">
      <c r="A6219" t="s">
        <v>6825</v>
      </c>
      <c r="B6219" s="9">
        <v>0</v>
      </c>
    </row>
    <row r="6220" spans="1:2" x14ac:dyDescent="0.25">
      <c r="A6220" t="s">
        <v>6826</v>
      </c>
      <c r="B6220" s="9">
        <v>0</v>
      </c>
    </row>
    <row r="6221" spans="1:2" x14ac:dyDescent="0.25">
      <c r="A6221" t="s">
        <v>6827</v>
      </c>
      <c r="B6221" s="9">
        <v>0</v>
      </c>
    </row>
    <row r="6222" spans="1:2" x14ac:dyDescent="0.25">
      <c r="A6222" t="s">
        <v>6828</v>
      </c>
      <c r="B6222" s="9">
        <v>0</v>
      </c>
    </row>
    <row r="6223" spans="1:2" x14ac:dyDescent="0.25">
      <c r="A6223" t="s">
        <v>6829</v>
      </c>
      <c r="B6223" s="9">
        <v>0</v>
      </c>
    </row>
    <row r="6224" spans="1:2" x14ac:dyDescent="0.25">
      <c r="A6224" t="s">
        <v>6830</v>
      </c>
      <c r="B6224" s="9">
        <v>0</v>
      </c>
    </row>
    <row r="6225" spans="1:2" x14ac:dyDescent="0.25">
      <c r="A6225" t="s">
        <v>6831</v>
      </c>
      <c r="B6225" s="9">
        <v>0.3</v>
      </c>
    </row>
    <row r="6226" spans="1:2" x14ac:dyDescent="0.25">
      <c r="A6226" t="s">
        <v>6832</v>
      </c>
      <c r="B6226" s="9">
        <v>0</v>
      </c>
    </row>
    <row r="6227" spans="1:2" x14ac:dyDescent="0.25">
      <c r="A6227" t="s">
        <v>6833</v>
      </c>
      <c r="B6227" s="9">
        <v>0</v>
      </c>
    </row>
    <row r="6228" spans="1:2" x14ac:dyDescent="0.25">
      <c r="A6228" t="s">
        <v>6834</v>
      </c>
      <c r="B6228" s="9">
        <v>0</v>
      </c>
    </row>
    <row r="6229" spans="1:2" x14ac:dyDescent="0.25">
      <c r="A6229" t="s">
        <v>6835</v>
      </c>
      <c r="B6229" s="9">
        <v>0</v>
      </c>
    </row>
    <row r="6230" spans="1:2" x14ac:dyDescent="0.25">
      <c r="A6230" t="s">
        <v>6836</v>
      </c>
      <c r="B6230" s="9">
        <v>0</v>
      </c>
    </row>
    <row r="6231" spans="1:2" x14ac:dyDescent="0.25">
      <c r="A6231" t="s">
        <v>6837</v>
      </c>
      <c r="B6231" s="9">
        <v>0</v>
      </c>
    </row>
    <row r="6232" spans="1:2" x14ac:dyDescent="0.25">
      <c r="A6232" t="s">
        <v>6838</v>
      </c>
      <c r="B6232" s="9">
        <v>0</v>
      </c>
    </row>
    <row r="6233" spans="1:2" x14ac:dyDescent="0.25">
      <c r="A6233" t="s">
        <v>6839</v>
      </c>
      <c r="B6233" s="9">
        <v>0</v>
      </c>
    </row>
    <row r="6234" spans="1:2" x14ac:dyDescent="0.25">
      <c r="A6234" t="s">
        <v>6840</v>
      </c>
      <c r="B6234" s="9">
        <v>0</v>
      </c>
    </row>
    <row r="6235" spans="1:2" x14ac:dyDescent="0.25">
      <c r="A6235" t="s">
        <v>6841</v>
      </c>
      <c r="B6235" s="9">
        <v>0</v>
      </c>
    </row>
    <row r="6236" spans="1:2" x14ac:dyDescent="0.25">
      <c r="A6236" t="s">
        <v>6842</v>
      </c>
      <c r="B6236" s="9">
        <v>0</v>
      </c>
    </row>
    <row r="6237" spans="1:2" x14ac:dyDescent="0.25">
      <c r="A6237" t="s">
        <v>6843</v>
      </c>
      <c r="B6237" s="9">
        <v>0</v>
      </c>
    </row>
    <row r="6238" spans="1:2" x14ac:dyDescent="0.25">
      <c r="A6238" t="s">
        <v>6844</v>
      </c>
      <c r="B6238" s="9">
        <v>0</v>
      </c>
    </row>
    <row r="6239" spans="1:2" x14ac:dyDescent="0.25">
      <c r="A6239" t="s">
        <v>6845</v>
      </c>
      <c r="B6239" s="9">
        <v>0</v>
      </c>
    </row>
    <row r="6240" spans="1:2" x14ac:dyDescent="0.25">
      <c r="A6240" t="s">
        <v>6846</v>
      </c>
      <c r="B6240" s="9">
        <v>0</v>
      </c>
    </row>
    <row r="6241" spans="1:2" x14ac:dyDescent="0.25">
      <c r="A6241" t="s">
        <v>6847</v>
      </c>
      <c r="B6241" s="9">
        <v>0</v>
      </c>
    </row>
    <row r="6242" spans="1:2" x14ac:dyDescent="0.25">
      <c r="A6242" t="s">
        <v>6848</v>
      </c>
      <c r="B6242" s="9">
        <v>0</v>
      </c>
    </row>
    <row r="6243" spans="1:2" x14ac:dyDescent="0.25">
      <c r="A6243" t="s">
        <v>6849</v>
      </c>
      <c r="B6243" s="9">
        <v>0</v>
      </c>
    </row>
    <row r="6244" spans="1:2" x14ac:dyDescent="0.25">
      <c r="A6244" t="s">
        <v>6850</v>
      </c>
      <c r="B6244" s="9">
        <v>0</v>
      </c>
    </row>
    <row r="6245" spans="1:2" x14ac:dyDescent="0.25">
      <c r="A6245" t="s">
        <v>6851</v>
      </c>
      <c r="B6245" s="9">
        <v>0</v>
      </c>
    </row>
    <row r="6246" spans="1:2" x14ac:dyDescent="0.25">
      <c r="A6246" t="s">
        <v>6852</v>
      </c>
      <c r="B6246" s="9">
        <v>0</v>
      </c>
    </row>
    <row r="6247" spans="1:2" x14ac:dyDescent="0.25">
      <c r="A6247" t="s">
        <v>6853</v>
      </c>
      <c r="B6247" s="9">
        <v>0</v>
      </c>
    </row>
    <row r="6248" spans="1:2" x14ac:dyDescent="0.25">
      <c r="A6248" t="s">
        <v>6854</v>
      </c>
      <c r="B6248" s="9">
        <v>0</v>
      </c>
    </row>
    <row r="6249" spans="1:2" x14ac:dyDescent="0.25">
      <c r="A6249" t="s">
        <v>6855</v>
      </c>
      <c r="B6249" s="9">
        <v>0</v>
      </c>
    </row>
    <row r="6250" spans="1:2" x14ac:dyDescent="0.25">
      <c r="A6250" t="s">
        <v>6856</v>
      </c>
      <c r="B6250" s="9">
        <v>0</v>
      </c>
    </row>
    <row r="6251" spans="1:2" x14ac:dyDescent="0.25">
      <c r="A6251" t="s">
        <v>6857</v>
      </c>
      <c r="B6251" s="9">
        <v>0</v>
      </c>
    </row>
    <row r="6252" spans="1:2" x14ac:dyDescent="0.25">
      <c r="A6252" t="s">
        <v>6858</v>
      </c>
      <c r="B6252" s="9">
        <v>0</v>
      </c>
    </row>
    <row r="6253" spans="1:2" x14ac:dyDescent="0.25">
      <c r="A6253" t="s">
        <v>6859</v>
      </c>
      <c r="B6253" s="9">
        <v>0</v>
      </c>
    </row>
    <row r="6254" spans="1:2" x14ac:dyDescent="0.25">
      <c r="A6254" t="s">
        <v>6860</v>
      </c>
      <c r="B6254" s="9">
        <v>0</v>
      </c>
    </row>
    <row r="6255" spans="1:2" x14ac:dyDescent="0.25">
      <c r="A6255" t="s">
        <v>6861</v>
      </c>
      <c r="B6255" s="9">
        <v>0</v>
      </c>
    </row>
    <row r="6256" spans="1:2" x14ac:dyDescent="0.25">
      <c r="A6256" t="s">
        <v>6862</v>
      </c>
      <c r="B6256" s="9">
        <v>0</v>
      </c>
    </row>
    <row r="6257" spans="1:2" x14ac:dyDescent="0.25">
      <c r="A6257" t="s">
        <v>6863</v>
      </c>
      <c r="B6257" s="9">
        <v>0</v>
      </c>
    </row>
    <row r="6258" spans="1:2" x14ac:dyDescent="0.25">
      <c r="A6258" t="s">
        <v>6864</v>
      </c>
      <c r="B6258" s="9">
        <v>0</v>
      </c>
    </row>
    <row r="6259" spans="1:2" x14ac:dyDescent="0.25">
      <c r="A6259" t="s">
        <v>6865</v>
      </c>
      <c r="B6259" s="9">
        <v>0</v>
      </c>
    </row>
    <row r="6260" spans="1:2" x14ac:dyDescent="0.25">
      <c r="A6260" t="s">
        <v>6866</v>
      </c>
      <c r="B6260" s="9">
        <v>0</v>
      </c>
    </row>
    <row r="6261" spans="1:2" x14ac:dyDescent="0.25">
      <c r="A6261" t="s">
        <v>6867</v>
      </c>
      <c r="B6261" s="9">
        <v>0</v>
      </c>
    </row>
    <row r="6262" spans="1:2" x14ac:dyDescent="0.25">
      <c r="A6262" t="s">
        <v>6868</v>
      </c>
      <c r="B6262" s="9">
        <v>0</v>
      </c>
    </row>
    <row r="6263" spans="1:2" x14ac:dyDescent="0.25">
      <c r="A6263" t="s">
        <v>6869</v>
      </c>
      <c r="B6263" s="9">
        <v>0</v>
      </c>
    </row>
    <row r="6264" spans="1:2" x14ac:dyDescent="0.25">
      <c r="A6264" t="s">
        <v>6870</v>
      </c>
      <c r="B6264" s="9">
        <v>0</v>
      </c>
    </row>
    <row r="6265" spans="1:2" x14ac:dyDescent="0.25">
      <c r="A6265" t="s">
        <v>6871</v>
      </c>
      <c r="B6265" s="9">
        <v>0</v>
      </c>
    </row>
    <row r="6266" spans="1:2" x14ac:dyDescent="0.25">
      <c r="A6266" t="s">
        <v>6872</v>
      </c>
      <c r="B6266" s="9">
        <v>0</v>
      </c>
    </row>
    <row r="6267" spans="1:2" x14ac:dyDescent="0.25">
      <c r="A6267" t="s">
        <v>6873</v>
      </c>
      <c r="B6267" s="9">
        <v>0</v>
      </c>
    </row>
    <row r="6268" spans="1:2" x14ac:dyDescent="0.25">
      <c r="A6268" t="s">
        <v>6874</v>
      </c>
      <c r="B6268" s="9">
        <v>0</v>
      </c>
    </row>
    <row r="6269" spans="1:2" x14ac:dyDescent="0.25">
      <c r="A6269" t="s">
        <v>6875</v>
      </c>
      <c r="B6269" s="9">
        <v>0</v>
      </c>
    </row>
    <row r="6270" spans="1:2" x14ac:dyDescent="0.25">
      <c r="A6270" t="s">
        <v>6876</v>
      </c>
      <c r="B6270" s="9">
        <v>0</v>
      </c>
    </row>
    <row r="6271" spans="1:2" x14ac:dyDescent="0.25">
      <c r="A6271" t="s">
        <v>6877</v>
      </c>
      <c r="B6271" s="9">
        <v>0</v>
      </c>
    </row>
    <row r="6272" spans="1:2" x14ac:dyDescent="0.25">
      <c r="A6272" t="s">
        <v>6878</v>
      </c>
      <c r="B6272" s="9">
        <v>0</v>
      </c>
    </row>
    <row r="6273" spans="1:2" x14ac:dyDescent="0.25">
      <c r="A6273" t="s">
        <v>6879</v>
      </c>
      <c r="B6273" s="9">
        <v>0</v>
      </c>
    </row>
    <row r="6274" spans="1:2" x14ac:dyDescent="0.25">
      <c r="A6274" t="s">
        <v>6880</v>
      </c>
      <c r="B6274" s="9">
        <v>0</v>
      </c>
    </row>
    <row r="6275" spans="1:2" x14ac:dyDescent="0.25">
      <c r="A6275" t="s">
        <v>6881</v>
      </c>
      <c r="B6275" s="9">
        <v>0</v>
      </c>
    </row>
    <row r="6276" spans="1:2" x14ac:dyDescent="0.25">
      <c r="A6276" t="s">
        <v>6882</v>
      </c>
      <c r="B6276" s="9">
        <v>0</v>
      </c>
    </row>
    <row r="6277" spans="1:2" x14ac:dyDescent="0.25">
      <c r="A6277" t="s">
        <v>6883</v>
      </c>
      <c r="B6277" s="9">
        <v>0</v>
      </c>
    </row>
    <row r="6278" spans="1:2" x14ac:dyDescent="0.25">
      <c r="A6278" t="s">
        <v>6884</v>
      </c>
      <c r="B6278" s="9">
        <v>0</v>
      </c>
    </row>
    <row r="6279" spans="1:2" x14ac:dyDescent="0.25">
      <c r="A6279" t="s">
        <v>6885</v>
      </c>
      <c r="B6279" s="9">
        <v>0</v>
      </c>
    </row>
    <row r="6280" spans="1:2" x14ac:dyDescent="0.25">
      <c r="A6280" t="s">
        <v>6886</v>
      </c>
      <c r="B6280" s="9">
        <v>0</v>
      </c>
    </row>
    <row r="6281" spans="1:2" x14ac:dyDescent="0.25">
      <c r="A6281" t="s">
        <v>6887</v>
      </c>
      <c r="B6281" s="9">
        <v>0</v>
      </c>
    </row>
    <row r="6282" spans="1:2" x14ac:dyDescent="0.25">
      <c r="A6282" t="s">
        <v>6888</v>
      </c>
      <c r="B6282" s="9">
        <v>0</v>
      </c>
    </row>
    <row r="6283" spans="1:2" x14ac:dyDescent="0.25">
      <c r="A6283" t="s">
        <v>6889</v>
      </c>
      <c r="B6283" s="9">
        <v>0</v>
      </c>
    </row>
    <row r="6284" spans="1:2" x14ac:dyDescent="0.25">
      <c r="A6284" t="s">
        <v>6890</v>
      </c>
      <c r="B6284" s="9">
        <v>0</v>
      </c>
    </row>
    <row r="6285" spans="1:2" x14ac:dyDescent="0.25">
      <c r="A6285" t="s">
        <v>6891</v>
      </c>
      <c r="B6285" s="9">
        <v>0</v>
      </c>
    </row>
    <row r="6286" spans="1:2" x14ac:dyDescent="0.25">
      <c r="A6286" t="s">
        <v>6892</v>
      </c>
      <c r="B6286" s="9">
        <v>0</v>
      </c>
    </row>
    <row r="6287" spans="1:2" x14ac:dyDescent="0.25">
      <c r="A6287" t="s">
        <v>6893</v>
      </c>
      <c r="B6287" s="9">
        <v>0</v>
      </c>
    </row>
    <row r="6288" spans="1:2" x14ac:dyDescent="0.25">
      <c r="A6288" t="s">
        <v>6894</v>
      </c>
      <c r="B6288" s="9">
        <v>0</v>
      </c>
    </row>
    <row r="6289" spans="1:2" x14ac:dyDescent="0.25">
      <c r="A6289" t="s">
        <v>6895</v>
      </c>
      <c r="B6289" s="9">
        <v>0</v>
      </c>
    </row>
    <row r="6290" spans="1:2" x14ac:dyDescent="0.25">
      <c r="A6290" t="s">
        <v>6896</v>
      </c>
      <c r="B6290" s="9">
        <v>0</v>
      </c>
    </row>
    <row r="6291" spans="1:2" x14ac:dyDescent="0.25">
      <c r="A6291" t="s">
        <v>6897</v>
      </c>
      <c r="B6291" s="9">
        <v>0</v>
      </c>
    </row>
    <row r="6292" spans="1:2" x14ac:dyDescent="0.25">
      <c r="A6292" t="s">
        <v>6898</v>
      </c>
      <c r="B6292" s="9">
        <v>0</v>
      </c>
    </row>
    <row r="6293" spans="1:2" x14ac:dyDescent="0.25">
      <c r="A6293" t="s">
        <v>6899</v>
      </c>
      <c r="B6293" s="9">
        <v>0</v>
      </c>
    </row>
    <row r="6294" spans="1:2" x14ac:dyDescent="0.25">
      <c r="A6294" t="s">
        <v>6900</v>
      </c>
      <c r="B6294" s="9">
        <v>0</v>
      </c>
    </row>
    <row r="6295" spans="1:2" x14ac:dyDescent="0.25">
      <c r="A6295" t="s">
        <v>6901</v>
      </c>
      <c r="B6295" s="9">
        <v>0</v>
      </c>
    </row>
    <row r="6296" spans="1:2" x14ac:dyDescent="0.25">
      <c r="A6296" t="s">
        <v>6902</v>
      </c>
      <c r="B6296" s="9">
        <v>0</v>
      </c>
    </row>
    <row r="6297" spans="1:2" x14ac:dyDescent="0.25">
      <c r="A6297" t="s">
        <v>6903</v>
      </c>
      <c r="B6297" s="9">
        <v>0</v>
      </c>
    </row>
    <row r="6298" spans="1:2" x14ac:dyDescent="0.25">
      <c r="A6298" t="s">
        <v>6904</v>
      </c>
      <c r="B6298" s="9">
        <v>0.1</v>
      </c>
    </row>
    <row r="6299" spans="1:2" x14ac:dyDescent="0.25">
      <c r="A6299" t="s">
        <v>6905</v>
      </c>
      <c r="B6299" s="9">
        <v>0.1</v>
      </c>
    </row>
    <row r="6300" spans="1:2" x14ac:dyDescent="0.25">
      <c r="A6300" t="s">
        <v>6906</v>
      </c>
      <c r="B6300" s="9">
        <v>0.1</v>
      </c>
    </row>
    <row r="6301" spans="1:2" x14ac:dyDescent="0.25">
      <c r="A6301" t="s">
        <v>6907</v>
      </c>
      <c r="B6301" s="9">
        <v>0.1</v>
      </c>
    </row>
    <row r="6302" spans="1:2" x14ac:dyDescent="0.25">
      <c r="A6302" t="s">
        <v>6908</v>
      </c>
      <c r="B6302" s="9">
        <v>0.1</v>
      </c>
    </row>
    <row r="6303" spans="1:2" x14ac:dyDescent="0.25">
      <c r="A6303" t="s">
        <v>6909</v>
      </c>
      <c r="B6303" s="9">
        <v>0.1</v>
      </c>
    </row>
    <row r="6304" spans="1:2" x14ac:dyDescent="0.25">
      <c r="A6304" t="s">
        <v>6910</v>
      </c>
      <c r="B6304" s="9">
        <v>0.1</v>
      </c>
    </row>
    <row r="6305" spans="1:2" x14ac:dyDescent="0.25">
      <c r="A6305" t="s">
        <v>6911</v>
      </c>
      <c r="B6305" s="9">
        <v>0.1</v>
      </c>
    </row>
    <row r="6306" spans="1:2" x14ac:dyDescent="0.25">
      <c r="A6306" t="s">
        <v>6912</v>
      </c>
      <c r="B6306" s="9">
        <v>0.1</v>
      </c>
    </row>
    <row r="6307" spans="1:2" x14ac:dyDescent="0.25">
      <c r="A6307" t="s">
        <v>6913</v>
      </c>
      <c r="B6307" s="9">
        <v>0.1</v>
      </c>
    </row>
    <row r="6308" spans="1:2" x14ac:dyDescent="0.25">
      <c r="A6308" t="s">
        <v>6914</v>
      </c>
      <c r="B6308" s="9">
        <v>0.1</v>
      </c>
    </row>
    <row r="6309" spans="1:2" x14ac:dyDescent="0.25">
      <c r="A6309" t="s">
        <v>6915</v>
      </c>
      <c r="B6309" s="9">
        <v>0.1</v>
      </c>
    </row>
    <row r="6310" spans="1:2" x14ac:dyDescent="0.25">
      <c r="A6310" t="s">
        <v>6916</v>
      </c>
      <c r="B6310" s="9">
        <v>0.1</v>
      </c>
    </row>
    <row r="6311" spans="1:2" x14ac:dyDescent="0.25">
      <c r="A6311" t="s">
        <v>6917</v>
      </c>
      <c r="B6311" s="9">
        <v>0.1</v>
      </c>
    </row>
    <row r="6312" spans="1:2" x14ac:dyDescent="0.25">
      <c r="A6312" t="s">
        <v>6918</v>
      </c>
      <c r="B6312" s="9">
        <v>0.1</v>
      </c>
    </row>
    <row r="6313" spans="1:2" x14ac:dyDescent="0.25">
      <c r="A6313" t="s">
        <v>6919</v>
      </c>
      <c r="B6313" s="9">
        <v>0.1</v>
      </c>
    </row>
    <row r="6314" spans="1:2" x14ac:dyDescent="0.25">
      <c r="A6314" t="s">
        <v>6920</v>
      </c>
      <c r="B6314" s="9">
        <v>0.1</v>
      </c>
    </row>
    <row r="6315" spans="1:2" x14ac:dyDescent="0.25">
      <c r="A6315" t="s">
        <v>6921</v>
      </c>
      <c r="B6315" s="9">
        <v>0.1</v>
      </c>
    </row>
    <row r="6316" spans="1:2" x14ac:dyDescent="0.25">
      <c r="A6316" t="s">
        <v>6922</v>
      </c>
      <c r="B6316" s="9">
        <v>0.1</v>
      </c>
    </row>
    <row r="6317" spans="1:2" x14ac:dyDescent="0.25">
      <c r="A6317" t="s">
        <v>6923</v>
      </c>
      <c r="B6317" s="9">
        <v>0.1</v>
      </c>
    </row>
    <row r="6318" spans="1:2" x14ac:dyDescent="0.25">
      <c r="A6318" t="s">
        <v>6924</v>
      </c>
      <c r="B6318" s="9">
        <v>0.1</v>
      </c>
    </row>
    <row r="6319" spans="1:2" x14ac:dyDescent="0.25">
      <c r="A6319" t="s">
        <v>6925</v>
      </c>
      <c r="B6319" s="9">
        <v>0.1</v>
      </c>
    </row>
    <row r="6320" spans="1:2" x14ac:dyDescent="0.25">
      <c r="A6320" t="s">
        <v>6926</v>
      </c>
      <c r="B6320" s="9">
        <v>0.1</v>
      </c>
    </row>
    <row r="6321" spans="1:2" x14ac:dyDescent="0.25">
      <c r="A6321" t="s">
        <v>6927</v>
      </c>
      <c r="B6321" s="9">
        <v>0.1</v>
      </c>
    </row>
    <row r="6322" spans="1:2" x14ac:dyDescent="0.25">
      <c r="A6322" t="s">
        <v>6928</v>
      </c>
      <c r="B6322" s="9">
        <v>0.1</v>
      </c>
    </row>
    <row r="6323" spans="1:2" x14ac:dyDescent="0.25">
      <c r="A6323" t="s">
        <v>6929</v>
      </c>
      <c r="B6323" s="9">
        <v>0.1</v>
      </c>
    </row>
    <row r="6324" spans="1:2" x14ac:dyDescent="0.25">
      <c r="A6324" t="s">
        <v>6930</v>
      </c>
      <c r="B6324" s="9">
        <v>0</v>
      </c>
    </row>
    <row r="6325" spans="1:2" x14ac:dyDescent="0.25">
      <c r="A6325" t="s">
        <v>6931</v>
      </c>
      <c r="B6325" s="9">
        <v>0</v>
      </c>
    </row>
    <row r="6326" spans="1:2" x14ac:dyDescent="0.25">
      <c r="A6326" t="s">
        <v>6932</v>
      </c>
      <c r="B6326" s="9">
        <v>0</v>
      </c>
    </row>
    <row r="6327" spans="1:2" x14ac:dyDescent="0.25">
      <c r="A6327" t="s">
        <v>6933</v>
      </c>
      <c r="B6327" s="9">
        <v>0</v>
      </c>
    </row>
    <row r="6328" spans="1:2" x14ac:dyDescent="0.25">
      <c r="A6328" t="s">
        <v>6934</v>
      </c>
      <c r="B6328" s="9">
        <v>0</v>
      </c>
    </row>
    <row r="6329" spans="1:2" x14ac:dyDescent="0.25">
      <c r="A6329" t="s">
        <v>6935</v>
      </c>
      <c r="B6329" s="9">
        <v>0</v>
      </c>
    </row>
    <row r="6330" spans="1:2" x14ac:dyDescent="0.25">
      <c r="A6330" t="s">
        <v>6936</v>
      </c>
      <c r="B6330" s="9">
        <v>0</v>
      </c>
    </row>
    <row r="6331" spans="1:2" x14ac:dyDescent="0.25">
      <c r="A6331" t="s">
        <v>6937</v>
      </c>
      <c r="B6331" s="9">
        <v>0</v>
      </c>
    </row>
    <row r="6332" spans="1:2" x14ac:dyDescent="0.25">
      <c r="A6332" t="s">
        <v>6938</v>
      </c>
      <c r="B6332" s="9">
        <v>0</v>
      </c>
    </row>
    <row r="6333" spans="1:2" x14ac:dyDescent="0.25">
      <c r="A6333" t="s">
        <v>6939</v>
      </c>
      <c r="B6333" s="9">
        <v>0</v>
      </c>
    </row>
    <row r="6334" spans="1:2" x14ac:dyDescent="0.25">
      <c r="A6334" t="s">
        <v>6940</v>
      </c>
      <c r="B6334" s="9">
        <v>0</v>
      </c>
    </row>
    <row r="6335" spans="1:2" x14ac:dyDescent="0.25">
      <c r="A6335" t="s">
        <v>6941</v>
      </c>
      <c r="B6335" s="9">
        <v>0</v>
      </c>
    </row>
    <row r="6336" spans="1:2" x14ac:dyDescent="0.25">
      <c r="A6336" t="s">
        <v>6942</v>
      </c>
      <c r="B6336" s="9">
        <v>0</v>
      </c>
    </row>
    <row r="6337" spans="1:2" x14ac:dyDescent="0.25">
      <c r="A6337" t="s">
        <v>6943</v>
      </c>
      <c r="B6337" s="9">
        <v>0</v>
      </c>
    </row>
    <row r="6338" spans="1:2" x14ac:dyDescent="0.25">
      <c r="A6338" t="s">
        <v>6944</v>
      </c>
      <c r="B6338" s="9">
        <v>0</v>
      </c>
    </row>
    <row r="6339" spans="1:2" x14ac:dyDescent="0.25">
      <c r="A6339" t="s">
        <v>6945</v>
      </c>
      <c r="B6339" s="9">
        <v>0</v>
      </c>
    </row>
    <row r="6340" spans="1:2" x14ac:dyDescent="0.25">
      <c r="A6340" t="s">
        <v>6946</v>
      </c>
      <c r="B6340" s="9">
        <v>0</v>
      </c>
    </row>
    <row r="6341" spans="1:2" x14ac:dyDescent="0.25">
      <c r="A6341" t="s">
        <v>6947</v>
      </c>
      <c r="B6341" s="9">
        <v>0</v>
      </c>
    </row>
    <row r="6342" spans="1:2" x14ac:dyDescent="0.25">
      <c r="A6342" t="s">
        <v>6948</v>
      </c>
      <c r="B6342" s="9">
        <v>0</v>
      </c>
    </row>
    <row r="6343" spans="1:2" x14ac:dyDescent="0.25">
      <c r="A6343" t="s">
        <v>6949</v>
      </c>
      <c r="B6343" s="9">
        <v>0</v>
      </c>
    </row>
    <row r="6344" spans="1:2" x14ac:dyDescent="0.25">
      <c r="A6344" t="s">
        <v>6950</v>
      </c>
      <c r="B6344" s="9">
        <v>0</v>
      </c>
    </row>
    <row r="6345" spans="1:2" x14ac:dyDescent="0.25">
      <c r="A6345" t="s">
        <v>6951</v>
      </c>
      <c r="B6345" s="9">
        <v>0</v>
      </c>
    </row>
    <row r="6346" spans="1:2" x14ac:dyDescent="0.25">
      <c r="A6346" t="s">
        <v>6952</v>
      </c>
      <c r="B6346" s="9">
        <v>0</v>
      </c>
    </row>
    <row r="6347" spans="1:2" x14ac:dyDescent="0.25">
      <c r="A6347" t="s">
        <v>6953</v>
      </c>
      <c r="B6347" s="9">
        <v>0</v>
      </c>
    </row>
    <row r="6348" spans="1:2" x14ac:dyDescent="0.25">
      <c r="A6348" t="s">
        <v>6954</v>
      </c>
      <c r="B6348" s="9">
        <v>0</v>
      </c>
    </row>
    <row r="6349" spans="1:2" x14ac:dyDescent="0.25">
      <c r="A6349" t="s">
        <v>6955</v>
      </c>
      <c r="B6349" s="9">
        <v>0.05</v>
      </c>
    </row>
    <row r="6350" spans="1:2" x14ac:dyDescent="0.25">
      <c r="A6350" t="s">
        <v>6956</v>
      </c>
      <c r="B6350" s="9">
        <v>0.05</v>
      </c>
    </row>
    <row r="6351" spans="1:2" x14ac:dyDescent="0.25">
      <c r="A6351" t="s">
        <v>6957</v>
      </c>
      <c r="B6351" s="9">
        <v>0.05</v>
      </c>
    </row>
    <row r="6352" spans="1:2" x14ac:dyDescent="0.25">
      <c r="A6352" t="s">
        <v>6958</v>
      </c>
      <c r="B6352" s="9">
        <v>0</v>
      </c>
    </row>
    <row r="6353" spans="1:2" x14ac:dyDescent="0.25">
      <c r="A6353" t="s">
        <v>6959</v>
      </c>
      <c r="B6353" s="9">
        <v>0</v>
      </c>
    </row>
    <row r="6354" spans="1:2" x14ac:dyDescent="0.25">
      <c r="A6354" t="s">
        <v>6960</v>
      </c>
      <c r="B6354" s="9">
        <v>0</v>
      </c>
    </row>
    <row r="6355" spans="1:2" x14ac:dyDescent="0.25">
      <c r="A6355" t="s">
        <v>6961</v>
      </c>
      <c r="B6355" s="9">
        <v>0</v>
      </c>
    </row>
    <row r="6356" spans="1:2" x14ac:dyDescent="0.25">
      <c r="A6356" t="s">
        <v>6962</v>
      </c>
      <c r="B6356" s="9">
        <v>0</v>
      </c>
    </row>
    <row r="6357" spans="1:2" x14ac:dyDescent="0.25">
      <c r="A6357" t="s">
        <v>6963</v>
      </c>
      <c r="B6357" s="9">
        <v>0</v>
      </c>
    </row>
    <row r="6358" spans="1:2" x14ac:dyDescent="0.25">
      <c r="A6358" t="s">
        <v>6964</v>
      </c>
      <c r="B6358" s="9">
        <v>0</v>
      </c>
    </row>
    <row r="6359" spans="1:2" x14ac:dyDescent="0.25">
      <c r="A6359" t="s">
        <v>6965</v>
      </c>
      <c r="B6359" s="9">
        <v>0</v>
      </c>
    </row>
    <row r="6360" spans="1:2" x14ac:dyDescent="0.25">
      <c r="A6360" t="s">
        <v>6966</v>
      </c>
      <c r="B6360" s="9">
        <v>0</v>
      </c>
    </row>
    <row r="6361" spans="1:2" x14ac:dyDescent="0.25">
      <c r="A6361" t="s">
        <v>6967</v>
      </c>
      <c r="B6361" s="9">
        <v>0</v>
      </c>
    </row>
    <row r="6362" spans="1:2" x14ac:dyDescent="0.25">
      <c r="A6362" t="s">
        <v>6968</v>
      </c>
      <c r="B6362" s="9">
        <v>0</v>
      </c>
    </row>
    <row r="6363" spans="1:2" x14ac:dyDescent="0.25">
      <c r="A6363" t="s">
        <v>6969</v>
      </c>
      <c r="B6363" s="9">
        <v>0</v>
      </c>
    </row>
    <row r="6364" spans="1:2" x14ac:dyDescent="0.25">
      <c r="A6364" t="s">
        <v>6970</v>
      </c>
      <c r="B6364" s="9">
        <v>0</v>
      </c>
    </row>
    <row r="6365" spans="1:2" x14ac:dyDescent="0.25">
      <c r="A6365" t="s">
        <v>6971</v>
      </c>
      <c r="B6365" s="9">
        <v>0</v>
      </c>
    </row>
    <row r="6366" spans="1:2" x14ac:dyDescent="0.25">
      <c r="A6366" t="s">
        <v>6972</v>
      </c>
      <c r="B6366" s="9">
        <v>0</v>
      </c>
    </row>
    <row r="6367" spans="1:2" x14ac:dyDescent="0.25">
      <c r="A6367" t="s">
        <v>6973</v>
      </c>
      <c r="B6367" s="9">
        <v>0</v>
      </c>
    </row>
    <row r="6368" spans="1:2" x14ac:dyDescent="0.25">
      <c r="A6368" t="s">
        <v>6974</v>
      </c>
      <c r="B6368" s="9">
        <v>0.05</v>
      </c>
    </row>
    <row r="6369" spans="1:2" x14ac:dyDescent="0.25">
      <c r="A6369" t="s">
        <v>6975</v>
      </c>
      <c r="B6369" s="9">
        <v>0.05</v>
      </c>
    </row>
    <row r="6370" spans="1:2" x14ac:dyDescent="0.25">
      <c r="A6370" t="s">
        <v>6976</v>
      </c>
      <c r="B6370" s="9">
        <v>0.05</v>
      </c>
    </row>
    <row r="6371" spans="1:2" x14ac:dyDescent="0.25">
      <c r="A6371" t="s">
        <v>6977</v>
      </c>
      <c r="B6371" s="9">
        <v>0.05</v>
      </c>
    </row>
    <row r="6372" spans="1:2" x14ac:dyDescent="0.25">
      <c r="A6372" t="s">
        <v>6978</v>
      </c>
      <c r="B6372" s="9">
        <v>0.05</v>
      </c>
    </row>
    <row r="6373" spans="1:2" x14ac:dyDescent="0.25">
      <c r="A6373" t="s">
        <v>6979</v>
      </c>
      <c r="B6373" s="9">
        <v>0.05</v>
      </c>
    </row>
    <row r="6374" spans="1:2" x14ac:dyDescent="0.25">
      <c r="A6374" t="s">
        <v>6980</v>
      </c>
      <c r="B6374" s="9">
        <v>0.05</v>
      </c>
    </row>
    <row r="6375" spans="1:2" x14ac:dyDescent="0.25">
      <c r="A6375" t="s">
        <v>6981</v>
      </c>
      <c r="B6375" s="9">
        <v>0.05</v>
      </c>
    </row>
    <row r="6376" spans="1:2" x14ac:dyDescent="0.25">
      <c r="A6376" t="s">
        <v>6982</v>
      </c>
      <c r="B6376" s="9">
        <v>0.05</v>
      </c>
    </row>
    <row r="6377" spans="1:2" x14ac:dyDescent="0.25">
      <c r="A6377" t="s">
        <v>6983</v>
      </c>
      <c r="B6377" s="9">
        <v>0.1</v>
      </c>
    </row>
    <row r="6378" spans="1:2" x14ac:dyDescent="0.25">
      <c r="A6378" t="s">
        <v>6984</v>
      </c>
      <c r="B6378" s="9">
        <v>0.1</v>
      </c>
    </row>
    <row r="6379" spans="1:2" x14ac:dyDescent="0.25">
      <c r="A6379" t="s">
        <v>6985</v>
      </c>
      <c r="B6379" s="9">
        <v>0.1</v>
      </c>
    </row>
    <row r="6380" spans="1:2" x14ac:dyDescent="0.25">
      <c r="A6380" t="s">
        <v>6986</v>
      </c>
      <c r="B6380" s="9">
        <v>0.05</v>
      </c>
    </row>
    <row r="6381" spans="1:2" x14ac:dyDescent="0.25">
      <c r="A6381" t="s">
        <v>6987</v>
      </c>
      <c r="B6381" s="9">
        <v>0.05</v>
      </c>
    </row>
    <row r="6382" spans="1:2" x14ac:dyDescent="0.25">
      <c r="A6382" t="s">
        <v>6988</v>
      </c>
      <c r="B6382" s="9">
        <v>0.05</v>
      </c>
    </row>
    <row r="6383" spans="1:2" x14ac:dyDescent="0.25">
      <c r="A6383" t="s">
        <v>6989</v>
      </c>
      <c r="B6383" s="9">
        <v>0.05</v>
      </c>
    </row>
    <row r="6384" spans="1:2" x14ac:dyDescent="0.25">
      <c r="A6384" t="s">
        <v>6990</v>
      </c>
      <c r="B6384" s="9">
        <v>0.05</v>
      </c>
    </row>
    <row r="6385" spans="1:2" x14ac:dyDescent="0.25">
      <c r="A6385" t="s">
        <v>6991</v>
      </c>
      <c r="B6385" s="9">
        <v>0.05</v>
      </c>
    </row>
    <row r="6386" spans="1:2" x14ac:dyDescent="0.25">
      <c r="A6386" t="s">
        <v>6992</v>
      </c>
      <c r="B6386" s="9">
        <v>0.1</v>
      </c>
    </row>
    <row r="6387" spans="1:2" x14ac:dyDescent="0.25">
      <c r="A6387" t="s">
        <v>6993</v>
      </c>
      <c r="B6387" s="9">
        <v>0.05</v>
      </c>
    </row>
    <row r="6388" spans="1:2" x14ac:dyDescent="0.25">
      <c r="A6388" t="s">
        <v>6994</v>
      </c>
      <c r="B6388" s="9">
        <v>0.05</v>
      </c>
    </row>
    <row r="6389" spans="1:2" x14ac:dyDescent="0.25">
      <c r="A6389" t="s">
        <v>6995</v>
      </c>
      <c r="B6389" s="9">
        <v>0.05</v>
      </c>
    </row>
    <row r="6390" spans="1:2" x14ac:dyDescent="0.25">
      <c r="A6390" t="s">
        <v>6996</v>
      </c>
      <c r="B6390" s="9">
        <v>0.05</v>
      </c>
    </row>
    <row r="6391" spans="1:2" x14ac:dyDescent="0.25">
      <c r="A6391" t="s">
        <v>6997</v>
      </c>
      <c r="B6391" s="9">
        <v>0.05</v>
      </c>
    </row>
    <row r="6392" spans="1:2" x14ac:dyDescent="0.25">
      <c r="A6392" t="s">
        <v>6998</v>
      </c>
      <c r="B6392" s="9">
        <v>0.05</v>
      </c>
    </row>
    <row r="6393" spans="1:2" x14ac:dyDescent="0.25">
      <c r="A6393" t="s">
        <v>6999</v>
      </c>
      <c r="B6393" s="9">
        <v>0.05</v>
      </c>
    </row>
    <row r="6394" spans="1:2" x14ac:dyDescent="0.25">
      <c r="A6394" t="s">
        <v>7000</v>
      </c>
      <c r="B6394" s="9">
        <v>0</v>
      </c>
    </row>
    <row r="6395" spans="1:2" x14ac:dyDescent="0.25">
      <c r="A6395" t="s">
        <v>7001</v>
      </c>
      <c r="B6395" s="9">
        <v>0</v>
      </c>
    </row>
    <row r="6396" spans="1:2" x14ac:dyDescent="0.25">
      <c r="A6396" t="s">
        <v>7002</v>
      </c>
      <c r="B6396" s="9">
        <v>0</v>
      </c>
    </row>
    <row r="6397" spans="1:2" x14ac:dyDescent="0.25">
      <c r="A6397" t="s">
        <v>7003</v>
      </c>
      <c r="B6397" s="9">
        <v>0</v>
      </c>
    </row>
    <row r="6398" spans="1:2" x14ac:dyDescent="0.25">
      <c r="A6398" t="s">
        <v>7004</v>
      </c>
      <c r="B6398" s="9">
        <v>0</v>
      </c>
    </row>
    <row r="6399" spans="1:2" x14ac:dyDescent="0.25">
      <c r="A6399" t="s">
        <v>7005</v>
      </c>
      <c r="B6399" s="9">
        <v>0</v>
      </c>
    </row>
    <row r="6400" spans="1:2" x14ac:dyDescent="0.25">
      <c r="A6400" t="s">
        <v>7006</v>
      </c>
      <c r="B6400" s="9">
        <v>0</v>
      </c>
    </row>
    <row r="6401" spans="1:2" x14ac:dyDescent="0.25">
      <c r="A6401" t="s">
        <v>7007</v>
      </c>
      <c r="B6401" s="9">
        <v>0</v>
      </c>
    </row>
    <row r="6402" spans="1:2" x14ac:dyDescent="0.25">
      <c r="A6402" t="s">
        <v>7008</v>
      </c>
      <c r="B6402" s="9">
        <v>0</v>
      </c>
    </row>
    <row r="6403" spans="1:2" x14ac:dyDescent="0.25">
      <c r="A6403" t="s">
        <v>7009</v>
      </c>
      <c r="B6403" s="9">
        <v>0</v>
      </c>
    </row>
    <row r="6404" spans="1:2" x14ac:dyDescent="0.25">
      <c r="A6404" t="s">
        <v>7010</v>
      </c>
      <c r="B6404" s="9">
        <v>0</v>
      </c>
    </row>
    <row r="6405" spans="1:2" x14ac:dyDescent="0.25">
      <c r="A6405" t="s">
        <v>7011</v>
      </c>
      <c r="B6405" s="9">
        <v>0</v>
      </c>
    </row>
    <row r="6406" spans="1:2" x14ac:dyDescent="0.25">
      <c r="A6406" t="s">
        <v>7012</v>
      </c>
      <c r="B6406" s="9">
        <v>0</v>
      </c>
    </row>
    <row r="6407" spans="1:2" x14ac:dyDescent="0.25">
      <c r="A6407" t="s">
        <v>7013</v>
      </c>
      <c r="B6407" s="9">
        <v>0</v>
      </c>
    </row>
    <row r="6408" spans="1:2" x14ac:dyDescent="0.25">
      <c r="A6408" t="s">
        <v>7014</v>
      </c>
      <c r="B6408" s="9">
        <v>0</v>
      </c>
    </row>
    <row r="6409" spans="1:2" x14ac:dyDescent="0.25">
      <c r="A6409" t="s">
        <v>7015</v>
      </c>
      <c r="B6409" s="9">
        <v>0</v>
      </c>
    </row>
    <row r="6410" spans="1:2" x14ac:dyDescent="0.25">
      <c r="A6410" t="s">
        <v>7016</v>
      </c>
      <c r="B6410" s="9">
        <v>0</v>
      </c>
    </row>
    <row r="6411" spans="1:2" x14ac:dyDescent="0.25">
      <c r="A6411" t="s">
        <v>7017</v>
      </c>
      <c r="B6411" s="9">
        <v>0</v>
      </c>
    </row>
    <row r="6412" spans="1:2" x14ac:dyDescent="0.25">
      <c r="A6412" t="s">
        <v>7018</v>
      </c>
      <c r="B6412" s="9">
        <v>0</v>
      </c>
    </row>
    <row r="6413" spans="1:2" x14ac:dyDescent="0.25">
      <c r="A6413" t="s">
        <v>7019</v>
      </c>
      <c r="B6413" s="9">
        <v>0</v>
      </c>
    </row>
    <row r="6414" spans="1:2" x14ac:dyDescent="0.25">
      <c r="A6414" t="s">
        <v>7020</v>
      </c>
      <c r="B6414" s="9">
        <v>0</v>
      </c>
    </row>
    <row r="6415" spans="1:2" x14ac:dyDescent="0.25">
      <c r="A6415" t="s">
        <v>7021</v>
      </c>
      <c r="B6415" s="9">
        <v>0</v>
      </c>
    </row>
    <row r="6416" spans="1:2" x14ac:dyDescent="0.25">
      <c r="A6416" t="s">
        <v>7022</v>
      </c>
      <c r="B6416" s="9">
        <v>0</v>
      </c>
    </row>
    <row r="6417" spans="1:2" x14ac:dyDescent="0.25">
      <c r="A6417" t="s">
        <v>7023</v>
      </c>
      <c r="B6417" s="9">
        <v>0</v>
      </c>
    </row>
    <row r="6418" spans="1:2" x14ac:dyDescent="0.25">
      <c r="A6418" t="s">
        <v>7024</v>
      </c>
      <c r="B6418" s="9">
        <v>0</v>
      </c>
    </row>
    <row r="6419" spans="1:2" x14ac:dyDescent="0.25">
      <c r="A6419" t="s">
        <v>7025</v>
      </c>
      <c r="B6419" s="9">
        <v>0</v>
      </c>
    </row>
    <row r="6420" spans="1:2" x14ac:dyDescent="0.25">
      <c r="A6420" t="s">
        <v>7026</v>
      </c>
      <c r="B6420" s="9">
        <v>0</v>
      </c>
    </row>
    <row r="6421" spans="1:2" x14ac:dyDescent="0.25">
      <c r="A6421" t="s">
        <v>7027</v>
      </c>
      <c r="B6421" s="9">
        <v>0</v>
      </c>
    </row>
    <row r="6422" spans="1:2" x14ac:dyDescent="0.25">
      <c r="A6422" t="s">
        <v>7028</v>
      </c>
      <c r="B6422" s="9">
        <v>0</v>
      </c>
    </row>
    <row r="6423" spans="1:2" x14ac:dyDescent="0.25">
      <c r="A6423" t="s">
        <v>7029</v>
      </c>
      <c r="B6423" s="9">
        <v>0</v>
      </c>
    </row>
    <row r="6424" spans="1:2" x14ac:dyDescent="0.25">
      <c r="A6424" t="s">
        <v>7030</v>
      </c>
      <c r="B6424" s="9">
        <v>0</v>
      </c>
    </row>
    <row r="6425" spans="1:2" x14ac:dyDescent="0.25">
      <c r="A6425" t="s">
        <v>7031</v>
      </c>
      <c r="B6425" s="9">
        <v>0</v>
      </c>
    </row>
    <row r="6426" spans="1:2" x14ac:dyDescent="0.25">
      <c r="A6426" t="s">
        <v>7032</v>
      </c>
      <c r="B6426" s="9">
        <v>0</v>
      </c>
    </row>
    <row r="6427" spans="1:2" x14ac:dyDescent="0.25">
      <c r="A6427" t="s">
        <v>7033</v>
      </c>
      <c r="B6427" s="9">
        <v>0</v>
      </c>
    </row>
    <row r="6428" spans="1:2" x14ac:dyDescent="0.25">
      <c r="A6428" t="s">
        <v>7034</v>
      </c>
      <c r="B6428" s="9">
        <v>0</v>
      </c>
    </row>
    <row r="6429" spans="1:2" x14ac:dyDescent="0.25">
      <c r="A6429" t="s">
        <v>7035</v>
      </c>
      <c r="B6429" s="9">
        <v>0</v>
      </c>
    </row>
    <row r="6430" spans="1:2" x14ac:dyDescent="0.25">
      <c r="A6430" t="s">
        <v>7036</v>
      </c>
      <c r="B6430" s="9">
        <v>0</v>
      </c>
    </row>
    <row r="6431" spans="1:2" x14ac:dyDescent="0.25">
      <c r="A6431" t="s">
        <v>7037</v>
      </c>
      <c r="B6431" s="9">
        <v>0</v>
      </c>
    </row>
    <row r="6432" spans="1:2" x14ac:dyDescent="0.25">
      <c r="A6432" t="s">
        <v>7038</v>
      </c>
      <c r="B6432" s="9">
        <v>0</v>
      </c>
    </row>
    <row r="6433" spans="1:2" x14ac:dyDescent="0.25">
      <c r="A6433" t="s">
        <v>7039</v>
      </c>
      <c r="B6433" s="9">
        <v>0</v>
      </c>
    </row>
    <row r="6434" spans="1:2" x14ac:dyDescent="0.25">
      <c r="A6434" t="s">
        <v>7040</v>
      </c>
      <c r="B6434" s="9">
        <v>0</v>
      </c>
    </row>
    <row r="6435" spans="1:2" x14ac:dyDescent="0.25">
      <c r="A6435" t="s">
        <v>7041</v>
      </c>
      <c r="B6435" s="9">
        <v>0</v>
      </c>
    </row>
    <row r="6436" spans="1:2" x14ac:dyDescent="0.25">
      <c r="A6436" t="s">
        <v>7042</v>
      </c>
      <c r="B6436" s="9">
        <v>0</v>
      </c>
    </row>
    <row r="6437" spans="1:2" x14ac:dyDescent="0.25">
      <c r="A6437" t="s">
        <v>7043</v>
      </c>
      <c r="B6437" s="9">
        <v>0</v>
      </c>
    </row>
    <row r="6438" spans="1:2" x14ac:dyDescent="0.25">
      <c r="A6438" t="s">
        <v>7044</v>
      </c>
      <c r="B6438" s="9">
        <v>0</v>
      </c>
    </row>
    <row r="6439" spans="1:2" x14ac:dyDescent="0.25">
      <c r="A6439" t="s">
        <v>7045</v>
      </c>
      <c r="B6439" s="9">
        <v>0</v>
      </c>
    </row>
    <row r="6440" spans="1:2" x14ac:dyDescent="0.25">
      <c r="A6440" t="s">
        <v>7046</v>
      </c>
      <c r="B6440" s="9">
        <v>0</v>
      </c>
    </row>
    <row r="6441" spans="1:2" x14ac:dyDescent="0.25">
      <c r="A6441" t="s">
        <v>7047</v>
      </c>
      <c r="B6441" s="9">
        <v>0</v>
      </c>
    </row>
    <row r="6442" spans="1:2" x14ac:dyDescent="0.25">
      <c r="A6442" t="s">
        <v>7048</v>
      </c>
      <c r="B6442" s="9">
        <v>0</v>
      </c>
    </row>
    <row r="6443" spans="1:2" x14ac:dyDescent="0.25">
      <c r="A6443" t="s">
        <v>7049</v>
      </c>
      <c r="B6443" s="9">
        <v>0</v>
      </c>
    </row>
    <row r="6444" spans="1:2" x14ac:dyDescent="0.25">
      <c r="A6444" t="s">
        <v>7050</v>
      </c>
      <c r="B6444" s="9">
        <v>0</v>
      </c>
    </row>
    <row r="6445" spans="1:2" x14ac:dyDescent="0.25">
      <c r="A6445" t="s">
        <v>7051</v>
      </c>
      <c r="B6445" s="9">
        <v>0</v>
      </c>
    </row>
    <row r="6446" spans="1:2" x14ac:dyDescent="0.25">
      <c r="A6446" t="s">
        <v>7052</v>
      </c>
      <c r="B6446" s="9">
        <v>0</v>
      </c>
    </row>
    <row r="6447" spans="1:2" x14ac:dyDescent="0.25">
      <c r="A6447" t="s">
        <v>7053</v>
      </c>
      <c r="B6447" s="9">
        <v>0</v>
      </c>
    </row>
    <row r="6448" spans="1:2" x14ac:dyDescent="0.25">
      <c r="A6448" t="s">
        <v>7054</v>
      </c>
      <c r="B6448" s="9">
        <v>0</v>
      </c>
    </row>
    <row r="6449" spans="1:2" x14ac:dyDescent="0.25">
      <c r="A6449" t="s">
        <v>7055</v>
      </c>
      <c r="B6449" s="9">
        <v>0</v>
      </c>
    </row>
    <row r="6450" spans="1:2" x14ac:dyDescent="0.25">
      <c r="A6450" t="s">
        <v>7056</v>
      </c>
      <c r="B6450" s="9">
        <v>0</v>
      </c>
    </row>
    <row r="6451" spans="1:2" x14ac:dyDescent="0.25">
      <c r="A6451" t="s">
        <v>7057</v>
      </c>
      <c r="B6451" s="9">
        <v>0</v>
      </c>
    </row>
    <row r="6452" spans="1:2" x14ac:dyDescent="0.25">
      <c r="A6452" t="s">
        <v>7058</v>
      </c>
      <c r="B6452" s="9">
        <v>0</v>
      </c>
    </row>
    <row r="6453" spans="1:2" x14ac:dyDescent="0.25">
      <c r="A6453" t="s">
        <v>7059</v>
      </c>
      <c r="B6453" s="9">
        <v>0</v>
      </c>
    </row>
    <row r="6454" spans="1:2" x14ac:dyDescent="0.25">
      <c r="A6454" t="s">
        <v>7060</v>
      </c>
      <c r="B6454" s="9">
        <v>0</v>
      </c>
    </row>
    <row r="6455" spans="1:2" x14ac:dyDescent="0.25">
      <c r="A6455" t="s">
        <v>7061</v>
      </c>
      <c r="B6455" s="9">
        <v>0</v>
      </c>
    </row>
    <row r="6456" spans="1:2" x14ac:dyDescent="0.25">
      <c r="A6456" t="s">
        <v>7062</v>
      </c>
      <c r="B6456" s="9">
        <v>0</v>
      </c>
    </row>
    <row r="6457" spans="1:2" x14ac:dyDescent="0.25">
      <c r="A6457" t="s">
        <v>7063</v>
      </c>
      <c r="B6457" s="9">
        <v>0</v>
      </c>
    </row>
    <row r="6458" spans="1:2" x14ac:dyDescent="0.25">
      <c r="A6458" t="s">
        <v>7064</v>
      </c>
      <c r="B6458" s="9">
        <v>0</v>
      </c>
    </row>
    <row r="6459" spans="1:2" x14ac:dyDescent="0.25">
      <c r="A6459" t="s">
        <v>7065</v>
      </c>
      <c r="B6459" s="9">
        <v>0</v>
      </c>
    </row>
    <row r="6460" spans="1:2" x14ac:dyDescent="0.25">
      <c r="A6460" t="s">
        <v>7066</v>
      </c>
      <c r="B6460" s="9">
        <v>0</v>
      </c>
    </row>
    <row r="6461" spans="1:2" x14ac:dyDescent="0.25">
      <c r="A6461" t="s">
        <v>7067</v>
      </c>
      <c r="B6461" s="9">
        <v>0</v>
      </c>
    </row>
    <row r="6462" spans="1:2" x14ac:dyDescent="0.25">
      <c r="A6462" t="s">
        <v>7068</v>
      </c>
      <c r="B6462" s="9">
        <v>0</v>
      </c>
    </row>
    <row r="6463" spans="1:2" x14ac:dyDescent="0.25">
      <c r="A6463" t="s">
        <v>7069</v>
      </c>
      <c r="B6463" s="9">
        <v>0</v>
      </c>
    </row>
    <row r="6464" spans="1:2" x14ac:dyDescent="0.25">
      <c r="A6464" t="s">
        <v>7070</v>
      </c>
      <c r="B6464" s="9">
        <v>0</v>
      </c>
    </row>
    <row r="6465" spans="1:2" x14ac:dyDescent="0.25">
      <c r="A6465" t="s">
        <v>7071</v>
      </c>
      <c r="B6465" s="9">
        <v>0</v>
      </c>
    </row>
    <row r="6466" spans="1:2" x14ac:dyDescent="0.25">
      <c r="A6466" t="s">
        <v>7072</v>
      </c>
      <c r="B6466" s="9">
        <v>0</v>
      </c>
    </row>
    <row r="6467" spans="1:2" x14ac:dyDescent="0.25">
      <c r="A6467" t="s">
        <v>7073</v>
      </c>
      <c r="B6467" s="9">
        <v>0</v>
      </c>
    </row>
    <row r="6468" spans="1:2" x14ac:dyDescent="0.25">
      <c r="A6468" t="s">
        <v>7074</v>
      </c>
      <c r="B6468" s="9">
        <v>0</v>
      </c>
    </row>
    <row r="6469" spans="1:2" x14ac:dyDescent="0.25">
      <c r="A6469" t="s">
        <v>7075</v>
      </c>
      <c r="B6469" s="9">
        <v>0</v>
      </c>
    </row>
    <row r="6470" spans="1:2" x14ac:dyDescent="0.25">
      <c r="A6470" t="s">
        <v>7076</v>
      </c>
      <c r="B6470" s="9">
        <v>0</v>
      </c>
    </row>
    <row r="6471" spans="1:2" x14ac:dyDescent="0.25">
      <c r="A6471" t="s">
        <v>7077</v>
      </c>
      <c r="B6471" s="9">
        <v>0</v>
      </c>
    </row>
    <row r="6472" spans="1:2" x14ac:dyDescent="0.25">
      <c r="A6472" t="s">
        <v>7078</v>
      </c>
      <c r="B6472" s="9">
        <v>0</v>
      </c>
    </row>
    <row r="6473" spans="1:2" x14ac:dyDescent="0.25">
      <c r="A6473" t="s">
        <v>7079</v>
      </c>
      <c r="B6473" s="9">
        <v>0</v>
      </c>
    </row>
    <row r="6474" spans="1:2" x14ac:dyDescent="0.25">
      <c r="A6474" t="s">
        <v>7080</v>
      </c>
      <c r="B6474" s="9">
        <v>0</v>
      </c>
    </row>
    <row r="6475" spans="1:2" x14ac:dyDescent="0.25">
      <c r="A6475" t="s">
        <v>7081</v>
      </c>
      <c r="B6475" s="9">
        <v>0</v>
      </c>
    </row>
    <row r="6476" spans="1:2" x14ac:dyDescent="0.25">
      <c r="A6476" t="s">
        <v>7082</v>
      </c>
      <c r="B6476" s="9">
        <v>0</v>
      </c>
    </row>
    <row r="6477" spans="1:2" x14ac:dyDescent="0.25">
      <c r="A6477" t="s">
        <v>7083</v>
      </c>
      <c r="B6477" s="9">
        <v>0</v>
      </c>
    </row>
    <row r="6478" spans="1:2" x14ac:dyDescent="0.25">
      <c r="A6478" t="s">
        <v>7084</v>
      </c>
      <c r="B6478" s="9">
        <v>0</v>
      </c>
    </row>
    <row r="6479" spans="1:2" x14ac:dyDescent="0.25">
      <c r="A6479" t="s">
        <v>7085</v>
      </c>
      <c r="B6479" s="9">
        <v>0</v>
      </c>
    </row>
    <row r="6480" spans="1:2" x14ac:dyDescent="0.25">
      <c r="A6480" t="s">
        <v>7086</v>
      </c>
      <c r="B6480" s="9">
        <v>0</v>
      </c>
    </row>
    <row r="6481" spans="1:2" x14ac:dyDescent="0.25">
      <c r="A6481" t="s">
        <v>7087</v>
      </c>
      <c r="B6481" s="9">
        <v>0</v>
      </c>
    </row>
    <row r="6482" spans="1:2" x14ac:dyDescent="0.25">
      <c r="A6482" t="s">
        <v>7088</v>
      </c>
      <c r="B6482" s="9">
        <v>0</v>
      </c>
    </row>
    <row r="6483" spans="1:2" x14ac:dyDescent="0.25">
      <c r="A6483" t="s">
        <v>7089</v>
      </c>
      <c r="B6483" s="9">
        <v>0</v>
      </c>
    </row>
    <row r="6484" spans="1:2" x14ac:dyDescent="0.25">
      <c r="A6484" t="s">
        <v>7090</v>
      </c>
      <c r="B6484" s="9">
        <v>0</v>
      </c>
    </row>
    <row r="6485" spans="1:2" x14ac:dyDescent="0.25">
      <c r="A6485" t="s">
        <v>7091</v>
      </c>
      <c r="B6485" s="9">
        <v>0</v>
      </c>
    </row>
    <row r="6486" spans="1:2" x14ac:dyDescent="0.25">
      <c r="A6486" t="s">
        <v>7092</v>
      </c>
      <c r="B6486" s="9">
        <v>0</v>
      </c>
    </row>
    <row r="6487" spans="1:2" x14ac:dyDescent="0.25">
      <c r="A6487" t="s">
        <v>7093</v>
      </c>
      <c r="B6487" s="9">
        <v>0</v>
      </c>
    </row>
    <row r="6488" spans="1:2" x14ac:dyDescent="0.25">
      <c r="A6488" t="s">
        <v>7094</v>
      </c>
      <c r="B6488" s="9">
        <v>0</v>
      </c>
    </row>
    <row r="6489" spans="1:2" x14ac:dyDescent="0.25">
      <c r="A6489" t="s">
        <v>7095</v>
      </c>
      <c r="B6489" s="9">
        <v>0</v>
      </c>
    </row>
    <row r="6490" spans="1:2" x14ac:dyDescent="0.25">
      <c r="A6490" t="s">
        <v>7096</v>
      </c>
      <c r="B6490" s="9">
        <v>0</v>
      </c>
    </row>
    <row r="6491" spans="1:2" x14ac:dyDescent="0.25">
      <c r="A6491" t="s">
        <v>7097</v>
      </c>
      <c r="B6491" s="9">
        <v>0</v>
      </c>
    </row>
    <row r="6492" spans="1:2" x14ac:dyDescent="0.25">
      <c r="A6492" t="s">
        <v>7098</v>
      </c>
      <c r="B6492" s="9">
        <v>0</v>
      </c>
    </row>
    <row r="6493" spans="1:2" x14ac:dyDescent="0.25">
      <c r="A6493" t="s">
        <v>7099</v>
      </c>
      <c r="B6493" s="9">
        <v>0</v>
      </c>
    </row>
    <row r="6494" spans="1:2" x14ac:dyDescent="0.25">
      <c r="A6494" t="s">
        <v>7100</v>
      </c>
      <c r="B6494" s="9">
        <v>0</v>
      </c>
    </row>
    <row r="6495" spans="1:2" x14ac:dyDescent="0.25">
      <c r="A6495" t="s">
        <v>7101</v>
      </c>
      <c r="B6495" s="9">
        <v>0</v>
      </c>
    </row>
    <row r="6496" spans="1:2" x14ac:dyDescent="0.25">
      <c r="A6496" t="s">
        <v>7102</v>
      </c>
      <c r="B6496" s="9">
        <v>0</v>
      </c>
    </row>
    <row r="6497" spans="1:2" x14ac:dyDescent="0.25">
      <c r="A6497" t="s">
        <v>7103</v>
      </c>
      <c r="B6497" s="9">
        <v>0</v>
      </c>
    </row>
    <row r="6498" spans="1:2" x14ac:dyDescent="0.25">
      <c r="A6498" t="s">
        <v>7104</v>
      </c>
      <c r="B6498" s="9">
        <v>0</v>
      </c>
    </row>
    <row r="6499" spans="1:2" x14ac:dyDescent="0.25">
      <c r="A6499" t="s">
        <v>7105</v>
      </c>
      <c r="B6499" s="9">
        <v>0</v>
      </c>
    </row>
    <row r="6500" spans="1:2" x14ac:dyDescent="0.25">
      <c r="A6500" t="s">
        <v>7106</v>
      </c>
      <c r="B6500" s="9">
        <v>0</v>
      </c>
    </row>
    <row r="6501" spans="1:2" x14ac:dyDescent="0.25">
      <c r="A6501" t="s">
        <v>7107</v>
      </c>
      <c r="B6501" s="9">
        <v>0</v>
      </c>
    </row>
    <row r="6502" spans="1:2" x14ac:dyDescent="0.25">
      <c r="A6502" t="s">
        <v>7108</v>
      </c>
      <c r="B6502" s="9">
        <v>0</v>
      </c>
    </row>
    <row r="6503" spans="1:2" x14ac:dyDescent="0.25">
      <c r="A6503" t="s">
        <v>7109</v>
      </c>
      <c r="B6503" s="9">
        <v>0</v>
      </c>
    </row>
    <row r="6504" spans="1:2" x14ac:dyDescent="0.25">
      <c r="A6504" t="s">
        <v>7110</v>
      </c>
      <c r="B6504" s="9">
        <v>0</v>
      </c>
    </row>
    <row r="6505" spans="1:2" x14ac:dyDescent="0.25">
      <c r="A6505" t="s">
        <v>7111</v>
      </c>
      <c r="B6505" s="9">
        <v>0</v>
      </c>
    </row>
    <row r="6506" spans="1:2" x14ac:dyDescent="0.25">
      <c r="A6506" t="s">
        <v>7112</v>
      </c>
      <c r="B6506" s="9">
        <v>0</v>
      </c>
    </row>
    <row r="6507" spans="1:2" x14ac:dyDescent="0.25">
      <c r="A6507" t="s">
        <v>7113</v>
      </c>
      <c r="B6507" s="9">
        <v>0</v>
      </c>
    </row>
    <row r="6508" spans="1:2" x14ac:dyDescent="0.25">
      <c r="A6508" t="s">
        <v>7114</v>
      </c>
      <c r="B6508" s="9">
        <v>0</v>
      </c>
    </row>
    <row r="6509" spans="1:2" x14ac:dyDescent="0.25">
      <c r="A6509" t="s">
        <v>7115</v>
      </c>
      <c r="B6509" s="9">
        <v>0</v>
      </c>
    </row>
    <row r="6510" spans="1:2" x14ac:dyDescent="0.25">
      <c r="A6510" t="s">
        <v>7116</v>
      </c>
      <c r="B6510" s="9">
        <v>0</v>
      </c>
    </row>
    <row r="6511" spans="1:2" x14ac:dyDescent="0.25">
      <c r="A6511" t="s">
        <v>7117</v>
      </c>
      <c r="B6511" s="9">
        <v>0</v>
      </c>
    </row>
    <row r="6512" spans="1:2" x14ac:dyDescent="0.25">
      <c r="A6512" t="s">
        <v>7118</v>
      </c>
      <c r="B6512" s="9">
        <v>0</v>
      </c>
    </row>
    <row r="6513" spans="1:2" x14ac:dyDescent="0.25">
      <c r="A6513" t="s">
        <v>7119</v>
      </c>
      <c r="B6513" s="9">
        <v>0</v>
      </c>
    </row>
    <row r="6514" spans="1:2" x14ac:dyDescent="0.25">
      <c r="A6514" t="s">
        <v>7120</v>
      </c>
      <c r="B6514" s="9">
        <v>0</v>
      </c>
    </row>
    <row r="6515" spans="1:2" x14ac:dyDescent="0.25">
      <c r="A6515" t="s">
        <v>7121</v>
      </c>
      <c r="B6515" s="9">
        <v>0</v>
      </c>
    </row>
    <row r="6516" spans="1:2" x14ac:dyDescent="0.25">
      <c r="A6516" t="s">
        <v>7122</v>
      </c>
      <c r="B6516" s="9">
        <v>0</v>
      </c>
    </row>
    <row r="6517" spans="1:2" x14ac:dyDescent="0.25">
      <c r="A6517" t="s">
        <v>7123</v>
      </c>
      <c r="B6517" s="9">
        <v>0</v>
      </c>
    </row>
    <row r="6518" spans="1:2" x14ac:dyDescent="0.25">
      <c r="A6518" t="s">
        <v>7124</v>
      </c>
      <c r="B6518" s="9">
        <v>0</v>
      </c>
    </row>
    <row r="6519" spans="1:2" x14ac:dyDescent="0.25">
      <c r="A6519" t="s">
        <v>7125</v>
      </c>
      <c r="B6519" s="9">
        <v>0</v>
      </c>
    </row>
    <row r="6520" spans="1:2" x14ac:dyDescent="0.25">
      <c r="A6520" t="s">
        <v>7126</v>
      </c>
      <c r="B6520" s="9">
        <v>0</v>
      </c>
    </row>
    <row r="6521" spans="1:2" x14ac:dyDescent="0.25">
      <c r="A6521" t="s">
        <v>7127</v>
      </c>
      <c r="B6521" s="9">
        <v>0</v>
      </c>
    </row>
    <row r="6522" spans="1:2" x14ac:dyDescent="0.25">
      <c r="A6522" t="s">
        <v>7128</v>
      </c>
      <c r="B6522" s="9">
        <v>0</v>
      </c>
    </row>
    <row r="6523" spans="1:2" x14ac:dyDescent="0.25">
      <c r="A6523" t="s">
        <v>7129</v>
      </c>
      <c r="B6523" s="9">
        <v>0</v>
      </c>
    </row>
    <row r="6524" spans="1:2" x14ac:dyDescent="0.25">
      <c r="A6524" t="s">
        <v>7130</v>
      </c>
      <c r="B6524" s="9">
        <v>0</v>
      </c>
    </row>
    <row r="6525" spans="1:2" x14ac:dyDescent="0.25">
      <c r="A6525" t="s">
        <v>7131</v>
      </c>
      <c r="B6525" s="9">
        <v>0</v>
      </c>
    </row>
    <row r="6526" spans="1:2" x14ac:dyDescent="0.25">
      <c r="A6526" t="s">
        <v>7132</v>
      </c>
      <c r="B6526" s="9">
        <v>0</v>
      </c>
    </row>
    <row r="6527" spans="1:2" x14ac:dyDescent="0.25">
      <c r="A6527" t="s">
        <v>7133</v>
      </c>
      <c r="B6527" s="9">
        <v>0</v>
      </c>
    </row>
    <row r="6528" spans="1:2" x14ac:dyDescent="0.25">
      <c r="A6528" t="s">
        <v>7134</v>
      </c>
      <c r="B6528" s="9">
        <v>0</v>
      </c>
    </row>
    <row r="6529" spans="1:2" x14ac:dyDescent="0.25">
      <c r="A6529" t="s">
        <v>7135</v>
      </c>
      <c r="B6529" s="9">
        <v>0</v>
      </c>
    </row>
    <row r="6530" spans="1:2" x14ac:dyDescent="0.25">
      <c r="A6530" t="s">
        <v>7136</v>
      </c>
      <c r="B6530" s="9">
        <v>0</v>
      </c>
    </row>
    <row r="6531" spans="1:2" x14ac:dyDescent="0.25">
      <c r="A6531" t="s">
        <v>7137</v>
      </c>
      <c r="B6531" s="9">
        <v>0</v>
      </c>
    </row>
    <row r="6532" spans="1:2" x14ac:dyDescent="0.25">
      <c r="A6532" t="s">
        <v>7138</v>
      </c>
      <c r="B6532" s="9">
        <v>0</v>
      </c>
    </row>
    <row r="6533" spans="1:2" x14ac:dyDescent="0.25">
      <c r="A6533" t="s">
        <v>7139</v>
      </c>
      <c r="B6533" s="9">
        <v>0</v>
      </c>
    </row>
    <row r="6534" spans="1:2" x14ac:dyDescent="0.25">
      <c r="A6534" t="s">
        <v>7140</v>
      </c>
      <c r="B6534" s="9">
        <v>0</v>
      </c>
    </row>
    <row r="6535" spans="1:2" x14ac:dyDescent="0.25">
      <c r="A6535" t="s">
        <v>7141</v>
      </c>
      <c r="B6535" s="9">
        <v>0</v>
      </c>
    </row>
    <row r="6536" spans="1:2" x14ac:dyDescent="0.25">
      <c r="A6536" t="s">
        <v>7142</v>
      </c>
      <c r="B6536" s="9">
        <v>0</v>
      </c>
    </row>
    <row r="6537" spans="1:2" x14ac:dyDescent="0.25">
      <c r="A6537" t="s">
        <v>7143</v>
      </c>
      <c r="B6537" s="9">
        <v>0</v>
      </c>
    </row>
    <row r="6538" spans="1:2" x14ac:dyDescent="0.25">
      <c r="A6538" t="s">
        <v>7144</v>
      </c>
      <c r="B6538" s="9">
        <v>0</v>
      </c>
    </row>
    <row r="6539" spans="1:2" x14ac:dyDescent="0.25">
      <c r="A6539" t="s">
        <v>7145</v>
      </c>
      <c r="B6539" s="9">
        <v>0</v>
      </c>
    </row>
    <row r="6540" spans="1:2" x14ac:dyDescent="0.25">
      <c r="A6540" t="s">
        <v>7146</v>
      </c>
      <c r="B6540" s="9">
        <v>0</v>
      </c>
    </row>
    <row r="6541" spans="1:2" x14ac:dyDescent="0.25">
      <c r="A6541" t="s">
        <v>7147</v>
      </c>
      <c r="B6541" s="9">
        <v>0</v>
      </c>
    </row>
    <row r="6542" spans="1:2" x14ac:dyDescent="0.25">
      <c r="A6542" t="s">
        <v>7148</v>
      </c>
      <c r="B6542" s="9">
        <v>0</v>
      </c>
    </row>
    <row r="6543" spans="1:2" x14ac:dyDescent="0.25">
      <c r="A6543" t="s">
        <v>7149</v>
      </c>
      <c r="B6543" s="9">
        <v>0</v>
      </c>
    </row>
    <row r="6544" spans="1:2" x14ac:dyDescent="0.25">
      <c r="A6544" t="s">
        <v>7150</v>
      </c>
      <c r="B6544" s="9">
        <v>0</v>
      </c>
    </row>
    <row r="6545" spans="1:2" x14ac:dyDescent="0.25">
      <c r="A6545" t="s">
        <v>7151</v>
      </c>
      <c r="B6545" s="9">
        <v>0</v>
      </c>
    </row>
    <row r="6546" spans="1:2" x14ac:dyDescent="0.25">
      <c r="A6546" t="s">
        <v>7152</v>
      </c>
      <c r="B6546" s="9">
        <v>0</v>
      </c>
    </row>
    <row r="6547" spans="1:2" x14ac:dyDescent="0.25">
      <c r="A6547" t="s">
        <v>7153</v>
      </c>
      <c r="B6547" s="9">
        <v>0</v>
      </c>
    </row>
    <row r="6548" spans="1:2" x14ac:dyDescent="0.25">
      <c r="A6548" t="s">
        <v>7154</v>
      </c>
      <c r="B6548" s="9">
        <v>0</v>
      </c>
    </row>
    <row r="6549" spans="1:2" x14ac:dyDescent="0.25">
      <c r="A6549" t="s">
        <v>7155</v>
      </c>
      <c r="B6549" s="9">
        <v>0</v>
      </c>
    </row>
    <row r="6550" spans="1:2" x14ac:dyDescent="0.25">
      <c r="A6550" t="s">
        <v>7156</v>
      </c>
      <c r="B6550" s="9">
        <v>0</v>
      </c>
    </row>
    <row r="6551" spans="1:2" x14ac:dyDescent="0.25">
      <c r="A6551" t="s">
        <v>7157</v>
      </c>
      <c r="B6551" s="9">
        <v>0</v>
      </c>
    </row>
    <row r="6552" spans="1:2" x14ac:dyDescent="0.25">
      <c r="A6552" t="s">
        <v>7158</v>
      </c>
      <c r="B6552" s="9">
        <v>0</v>
      </c>
    </row>
    <row r="6553" spans="1:2" x14ac:dyDescent="0.25">
      <c r="A6553" t="s">
        <v>7159</v>
      </c>
      <c r="B6553" s="9">
        <v>0</v>
      </c>
    </row>
    <row r="6554" spans="1:2" x14ac:dyDescent="0.25">
      <c r="A6554" t="s">
        <v>7160</v>
      </c>
      <c r="B6554" s="9">
        <v>0</v>
      </c>
    </row>
    <row r="6555" spans="1:2" x14ac:dyDescent="0.25">
      <c r="A6555" t="s">
        <v>7161</v>
      </c>
      <c r="B6555" s="9">
        <v>0</v>
      </c>
    </row>
    <row r="6556" spans="1:2" x14ac:dyDescent="0.25">
      <c r="A6556" t="s">
        <v>7162</v>
      </c>
      <c r="B6556" s="9">
        <v>0</v>
      </c>
    </row>
    <row r="6557" spans="1:2" x14ac:dyDescent="0.25">
      <c r="A6557" t="s">
        <v>7163</v>
      </c>
      <c r="B6557" s="9">
        <v>0</v>
      </c>
    </row>
    <row r="6558" spans="1:2" x14ac:dyDescent="0.25">
      <c r="A6558" t="s">
        <v>7164</v>
      </c>
      <c r="B6558" s="9">
        <v>0</v>
      </c>
    </row>
    <row r="6559" spans="1:2" x14ac:dyDescent="0.25">
      <c r="A6559" t="s">
        <v>7165</v>
      </c>
      <c r="B6559" s="9">
        <v>0</v>
      </c>
    </row>
    <row r="6560" spans="1:2" x14ac:dyDescent="0.25">
      <c r="A6560" t="s">
        <v>7166</v>
      </c>
      <c r="B6560" s="9">
        <v>0</v>
      </c>
    </row>
    <row r="6561" spans="1:2" x14ac:dyDescent="0.25">
      <c r="A6561" t="s">
        <v>7167</v>
      </c>
      <c r="B6561" s="9">
        <v>0</v>
      </c>
    </row>
    <row r="6562" spans="1:2" x14ac:dyDescent="0.25">
      <c r="A6562" t="s">
        <v>7168</v>
      </c>
      <c r="B6562" s="9">
        <v>0</v>
      </c>
    </row>
    <row r="6563" spans="1:2" x14ac:dyDescent="0.25">
      <c r="A6563" t="s">
        <v>7169</v>
      </c>
      <c r="B6563" s="9">
        <v>0</v>
      </c>
    </row>
    <row r="6564" spans="1:2" x14ac:dyDescent="0.25">
      <c r="A6564" t="s">
        <v>7170</v>
      </c>
      <c r="B6564" s="9">
        <v>0</v>
      </c>
    </row>
    <row r="6565" spans="1:2" x14ac:dyDescent="0.25">
      <c r="A6565" t="s">
        <v>7171</v>
      </c>
      <c r="B6565" s="9">
        <v>0</v>
      </c>
    </row>
    <row r="6566" spans="1:2" x14ac:dyDescent="0.25">
      <c r="A6566" t="s">
        <v>7172</v>
      </c>
      <c r="B6566" s="9">
        <v>0</v>
      </c>
    </row>
    <row r="6567" spans="1:2" x14ac:dyDescent="0.25">
      <c r="A6567" t="s">
        <v>7173</v>
      </c>
      <c r="B6567" s="9">
        <v>0</v>
      </c>
    </row>
    <row r="6568" spans="1:2" x14ac:dyDescent="0.25">
      <c r="A6568" t="s">
        <v>7174</v>
      </c>
      <c r="B6568" s="9">
        <v>0</v>
      </c>
    </row>
    <row r="6569" spans="1:2" x14ac:dyDescent="0.25">
      <c r="A6569" t="s">
        <v>7175</v>
      </c>
      <c r="B6569" s="9">
        <v>0</v>
      </c>
    </row>
    <row r="6570" spans="1:2" x14ac:dyDescent="0.25">
      <c r="A6570" t="s">
        <v>7176</v>
      </c>
      <c r="B6570" s="9">
        <v>0</v>
      </c>
    </row>
    <row r="6571" spans="1:2" x14ac:dyDescent="0.25">
      <c r="A6571" t="s">
        <v>7177</v>
      </c>
      <c r="B6571" s="9">
        <v>0</v>
      </c>
    </row>
    <row r="6572" spans="1:2" x14ac:dyDescent="0.25">
      <c r="A6572" t="s">
        <v>7178</v>
      </c>
      <c r="B6572" s="9">
        <v>0</v>
      </c>
    </row>
    <row r="6573" spans="1:2" x14ac:dyDescent="0.25">
      <c r="A6573" t="s">
        <v>7179</v>
      </c>
      <c r="B6573" s="9">
        <v>0</v>
      </c>
    </row>
    <row r="6574" spans="1:2" x14ac:dyDescent="0.25">
      <c r="A6574" t="s">
        <v>7180</v>
      </c>
      <c r="B6574" s="9">
        <v>0</v>
      </c>
    </row>
    <row r="6575" spans="1:2" x14ac:dyDescent="0.25">
      <c r="A6575" t="s">
        <v>7181</v>
      </c>
      <c r="B6575" s="9">
        <v>0</v>
      </c>
    </row>
    <row r="6576" spans="1:2" x14ac:dyDescent="0.25">
      <c r="A6576" t="s">
        <v>7182</v>
      </c>
      <c r="B6576" s="9">
        <v>0</v>
      </c>
    </row>
    <row r="6577" spans="1:2" x14ac:dyDescent="0.25">
      <c r="A6577" t="s">
        <v>7183</v>
      </c>
      <c r="B6577" s="9">
        <v>0</v>
      </c>
    </row>
    <row r="6578" spans="1:2" x14ac:dyDescent="0.25">
      <c r="A6578" t="s">
        <v>7184</v>
      </c>
      <c r="B6578" s="9">
        <v>0</v>
      </c>
    </row>
    <row r="6579" spans="1:2" x14ac:dyDescent="0.25">
      <c r="A6579" t="s">
        <v>7185</v>
      </c>
      <c r="B6579" s="9">
        <v>0</v>
      </c>
    </row>
    <row r="6580" spans="1:2" x14ac:dyDescent="0.25">
      <c r="A6580" t="s">
        <v>7186</v>
      </c>
      <c r="B6580" s="9">
        <v>0</v>
      </c>
    </row>
    <row r="6581" spans="1:2" x14ac:dyDescent="0.25">
      <c r="A6581" t="s">
        <v>7187</v>
      </c>
      <c r="B6581" s="9">
        <v>0</v>
      </c>
    </row>
    <row r="6582" spans="1:2" x14ac:dyDescent="0.25">
      <c r="A6582" t="s">
        <v>7188</v>
      </c>
      <c r="B6582" s="9">
        <v>0</v>
      </c>
    </row>
    <row r="6583" spans="1:2" x14ac:dyDescent="0.25">
      <c r="A6583" t="s">
        <v>7189</v>
      </c>
      <c r="B6583" s="9">
        <v>0</v>
      </c>
    </row>
    <row r="6584" spans="1:2" x14ac:dyDescent="0.25">
      <c r="A6584" t="s">
        <v>7190</v>
      </c>
      <c r="B6584" s="9">
        <v>0</v>
      </c>
    </row>
    <row r="6585" spans="1:2" x14ac:dyDescent="0.25">
      <c r="A6585" t="s">
        <v>7191</v>
      </c>
      <c r="B6585" s="9">
        <v>0</v>
      </c>
    </row>
    <row r="6586" spans="1:2" x14ac:dyDescent="0.25">
      <c r="A6586" t="s">
        <v>7192</v>
      </c>
      <c r="B6586" s="9">
        <v>0</v>
      </c>
    </row>
    <row r="6587" spans="1:2" x14ac:dyDescent="0.25">
      <c r="A6587" t="s">
        <v>7193</v>
      </c>
      <c r="B6587" s="9">
        <v>0</v>
      </c>
    </row>
    <row r="6588" spans="1:2" x14ac:dyDescent="0.25">
      <c r="A6588" t="s">
        <v>7194</v>
      </c>
      <c r="B6588" s="9">
        <v>0</v>
      </c>
    </row>
    <row r="6589" spans="1:2" x14ac:dyDescent="0.25">
      <c r="A6589" t="s">
        <v>7195</v>
      </c>
      <c r="B6589" s="9">
        <v>0</v>
      </c>
    </row>
    <row r="6590" spans="1:2" x14ac:dyDescent="0.25">
      <c r="A6590" t="s">
        <v>7196</v>
      </c>
      <c r="B6590" s="9">
        <v>0</v>
      </c>
    </row>
    <row r="6591" spans="1:2" x14ac:dyDescent="0.25">
      <c r="A6591" t="s">
        <v>7197</v>
      </c>
      <c r="B6591" s="9">
        <v>0</v>
      </c>
    </row>
    <row r="6592" spans="1:2" x14ac:dyDescent="0.25">
      <c r="A6592" t="s">
        <v>7198</v>
      </c>
      <c r="B6592" s="9">
        <v>0</v>
      </c>
    </row>
    <row r="6593" spans="1:2" x14ac:dyDescent="0.25">
      <c r="A6593" t="s">
        <v>7199</v>
      </c>
      <c r="B6593" s="9">
        <v>0</v>
      </c>
    </row>
    <row r="6594" spans="1:2" x14ac:dyDescent="0.25">
      <c r="A6594" t="s">
        <v>7200</v>
      </c>
      <c r="B6594" s="9">
        <v>0</v>
      </c>
    </row>
    <row r="6595" spans="1:2" x14ac:dyDescent="0.25">
      <c r="A6595" t="s">
        <v>7201</v>
      </c>
      <c r="B6595" s="9">
        <v>0</v>
      </c>
    </row>
    <row r="6596" spans="1:2" x14ac:dyDescent="0.25">
      <c r="A6596" t="s">
        <v>7202</v>
      </c>
      <c r="B6596" s="9">
        <v>0</v>
      </c>
    </row>
    <row r="6597" spans="1:2" x14ac:dyDescent="0.25">
      <c r="A6597" t="s">
        <v>7203</v>
      </c>
      <c r="B6597" s="9">
        <v>0</v>
      </c>
    </row>
    <row r="6598" spans="1:2" x14ac:dyDescent="0.25">
      <c r="A6598" t="s">
        <v>7204</v>
      </c>
      <c r="B6598" s="9">
        <v>0</v>
      </c>
    </row>
    <row r="6599" spans="1:2" x14ac:dyDescent="0.25">
      <c r="A6599" t="s">
        <v>7205</v>
      </c>
      <c r="B6599" s="9">
        <v>0</v>
      </c>
    </row>
    <row r="6600" spans="1:2" x14ac:dyDescent="0.25">
      <c r="A6600" t="s">
        <v>7206</v>
      </c>
      <c r="B6600" s="9">
        <v>0</v>
      </c>
    </row>
    <row r="6601" spans="1:2" x14ac:dyDescent="0.25">
      <c r="A6601" t="s">
        <v>7207</v>
      </c>
      <c r="B6601" s="9">
        <v>0</v>
      </c>
    </row>
    <row r="6602" spans="1:2" x14ac:dyDescent="0.25">
      <c r="A6602" t="s">
        <v>7208</v>
      </c>
      <c r="B6602" s="9">
        <v>0</v>
      </c>
    </row>
    <row r="6603" spans="1:2" x14ac:dyDescent="0.25">
      <c r="A6603" t="s">
        <v>7209</v>
      </c>
      <c r="B6603" s="9">
        <v>0</v>
      </c>
    </row>
    <row r="6604" spans="1:2" x14ac:dyDescent="0.25">
      <c r="A6604" t="s">
        <v>7210</v>
      </c>
      <c r="B6604" s="9">
        <v>0</v>
      </c>
    </row>
    <row r="6605" spans="1:2" x14ac:dyDescent="0.25">
      <c r="A6605" t="s">
        <v>7211</v>
      </c>
      <c r="B6605" s="9">
        <v>0</v>
      </c>
    </row>
    <row r="6606" spans="1:2" x14ac:dyDescent="0.25">
      <c r="A6606" t="s">
        <v>7212</v>
      </c>
      <c r="B6606" s="9">
        <v>0</v>
      </c>
    </row>
    <row r="6607" spans="1:2" x14ac:dyDescent="0.25">
      <c r="A6607" t="s">
        <v>7213</v>
      </c>
      <c r="B6607" s="9">
        <v>0</v>
      </c>
    </row>
    <row r="6608" spans="1:2" x14ac:dyDescent="0.25">
      <c r="A6608" t="s">
        <v>7214</v>
      </c>
      <c r="B6608" s="9">
        <v>0</v>
      </c>
    </row>
    <row r="6609" spans="1:2" x14ac:dyDescent="0.25">
      <c r="A6609" t="s">
        <v>7215</v>
      </c>
      <c r="B6609" s="9">
        <v>0</v>
      </c>
    </row>
    <row r="6610" spans="1:2" x14ac:dyDescent="0.25">
      <c r="A6610" t="s">
        <v>7216</v>
      </c>
      <c r="B6610" s="9">
        <v>0</v>
      </c>
    </row>
    <row r="6611" spans="1:2" x14ac:dyDescent="0.25">
      <c r="A6611" t="s">
        <v>7217</v>
      </c>
      <c r="B6611" s="9">
        <v>0</v>
      </c>
    </row>
    <row r="6612" spans="1:2" x14ac:dyDescent="0.25">
      <c r="A6612" t="s">
        <v>7218</v>
      </c>
      <c r="B6612" s="9">
        <v>0</v>
      </c>
    </row>
    <row r="6613" spans="1:2" x14ac:dyDescent="0.25">
      <c r="A6613" t="s">
        <v>7219</v>
      </c>
      <c r="B6613" s="9">
        <v>0</v>
      </c>
    </row>
    <row r="6614" spans="1:2" x14ac:dyDescent="0.25">
      <c r="A6614" t="s">
        <v>7220</v>
      </c>
      <c r="B6614" s="9">
        <v>0</v>
      </c>
    </row>
    <row r="6615" spans="1:2" x14ac:dyDescent="0.25">
      <c r="A6615" t="s">
        <v>7221</v>
      </c>
      <c r="B6615" s="9">
        <v>0</v>
      </c>
    </row>
    <row r="6616" spans="1:2" x14ac:dyDescent="0.25">
      <c r="A6616" t="s">
        <v>7222</v>
      </c>
      <c r="B6616" s="9">
        <v>0</v>
      </c>
    </row>
    <row r="6617" spans="1:2" x14ac:dyDescent="0.25">
      <c r="A6617" t="s">
        <v>7223</v>
      </c>
      <c r="B6617" s="9">
        <v>0</v>
      </c>
    </row>
    <row r="6618" spans="1:2" x14ac:dyDescent="0.25">
      <c r="A6618" t="s">
        <v>7224</v>
      </c>
      <c r="B6618" s="9">
        <v>0</v>
      </c>
    </row>
    <row r="6619" spans="1:2" x14ac:dyDescent="0.25">
      <c r="A6619" t="s">
        <v>7225</v>
      </c>
      <c r="B6619" s="9">
        <v>0</v>
      </c>
    </row>
    <row r="6620" spans="1:2" x14ac:dyDescent="0.25">
      <c r="A6620" t="s">
        <v>7226</v>
      </c>
      <c r="B6620" s="9">
        <v>0</v>
      </c>
    </row>
    <row r="6621" spans="1:2" x14ac:dyDescent="0.25">
      <c r="A6621" t="s">
        <v>7227</v>
      </c>
      <c r="B6621" s="9">
        <v>0</v>
      </c>
    </row>
    <row r="6622" spans="1:2" x14ac:dyDescent="0.25">
      <c r="A6622" t="s">
        <v>7228</v>
      </c>
      <c r="B6622" s="9">
        <v>0</v>
      </c>
    </row>
    <row r="6623" spans="1:2" x14ac:dyDescent="0.25">
      <c r="A6623" t="s">
        <v>7229</v>
      </c>
      <c r="B6623" s="9">
        <v>0</v>
      </c>
    </row>
    <row r="6624" spans="1:2" x14ac:dyDescent="0.25">
      <c r="A6624" t="s">
        <v>7230</v>
      </c>
      <c r="B6624" s="9">
        <v>0</v>
      </c>
    </row>
    <row r="6625" spans="1:2" x14ac:dyDescent="0.25">
      <c r="A6625" t="s">
        <v>7231</v>
      </c>
      <c r="B6625" s="9">
        <v>0</v>
      </c>
    </row>
    <row r="6626" spans="1:2" x14ac:dyDescent="0.25">
      <c r="A6626" t="s">
        <v>7232</v>
      </c>
      <c r="B6626" s="9">
        <v>0</v>
      </c>
    </row>
    <row r="6627" spans="1:2" x14ac:dyDescent="0.25">
      <c r="A6627" t="s">
        <v>7233</v>
      </c>
      <c r="B6627" s="9">
        <v>0</v>
      </c>
    </row>
    <row r="6628" spans="1:2" x14ac:dyDescent="0.25">
      <c r="A6628" t="s">
        <v>7234</v>
      </c>
      <c r="B6628" s="9">
        <v>0</v>
      </c>
    </row>
    <row r="6629" spans="1:2" x14ac:dyDescent="0.25">
      <c r="A6629" t="s">
        <v>7235</v>
      </c>
      <c r="B6629" s="9">
        <v>0</v>
      </c>
    </row>
    <row r="6630" spans="1:2" x14ac:dyDescent="0.25">
      <c r="A6630" t="s">
        <v>7236</v>
      </c>
      <c r="B6630" s="9">
        <v>0</v>
      </c>
    </row>
    <row r="6631" spans="1:2" x14ac:dyDescent="0.25">
      <c r="A6631" t="s">
        <v>7237</v>
      </c>
      <c r="B6631" s="9">
        <v>0</v>
      </c>
    </row>
    <row r="6632" spans="1:2" x14ac:dyDescent="0.25">
      <c r="A6632" t="s">
        <v>7238</v>
      </c>
      <c r="B6632" s="9">
        <v>0</v>
      </c>
    </row>
    <row r="6633" spans="1:2" x14ac:dyDescent="0.25">
      <c r="A6633" t="s">
        <v>7239</v>
      </c>
      <c r="B6633" s="9">
        <v>0</v>
      </c>
    </row>
    <row r="6634" spans="1:2" x14ac:dyDescent="0.25">
      <c r="A6634" t="s">
        <v>7240</v>
      </c>
      <c r="B6634" s="9">
        <v>0</v>
      </c>
    </row>
    <row r="6635" spans="1:2" x14ac:dyDescent="0.25">
      <c r="A6635" t="s">
        <v>7241</v>
      </c>
      <c r="B6635" s="9">
        <v>0</v>
      </c>
    </row>
    <row r="6636" spans="1:2" x14ac:dyDescent="0.25">
      <c r="A6636" t="s">
        <v>7242</v>
      </c>
      <c r="B6636" s="9">
        <v>0</v>
      </c>
    </row>
    <row r="6637" spans="1:2" x14ac:dyDescent="0.25">
      <c r="A6637" t="s">
        <v>7243</v>
      </c>
      <c r="B6637" s="9">
        <v>0</v>
      </c>
    </row>
    <row r="6638" spans="1:2" x14ac:dyDescent="0.25">
      <c r="A6638" t="s">
        <v>7244</v>
      </c>
      <c r="B6638" s="9">
        <v>0</v>
      </c>
    </row>
    <row r="6639" spans="1:2" x14ac:dyDescent="0.25">
      <c r="A6639" t="s">
        <v>7245</v>
      </c>
      <c r="B6639" s="9">
        <v>0</v>
      </c>
    </row>
    <row r="6640" spans="1:2" x14ac:dyDescent="0.25">
      <c r="A6640" t="s">
        <v>7246</v>
      </c>
      <c r="B6640" s="9">
        <v>0</v>
      </c>
    </row>
    <row r="6641" spans="1:2" x14ac:dyDescent="0.25">
      <c r="A6641" t="s">
        <v>7247</v>
      </c>
      <c r="B6641" s="9">
        <v>0</v>
      </c>
    </row>
    <row r="6642" spans="1:2" x14ac:dyDescent="0.25">
      <c r="A6642" t="s">
        <v>7248</v>
      </c>
      <c r="B6642" s="9">
        <v>0</v>
      </c>
    </row>
    <row r="6643" spans="1:2" x14ac:dyDescent="0.25">
      <c r="A6643" t="s">
        <v>7249</v>
      </c>
      <c r="B6643" s="9">
        <v>0</v>
      </c>
    </row>
    <row r="6644" spans="1:2" x14ac:dyDescent="0.25">
      <c r="A6644" t="s">
        <v>7250</v>
      </c>
      <c r="B6644" s="9">
        <v>0</v>
      </c>
    </row>
    <row r="6645" spans="1:2" x14ac:dyDescent="0.25">
      <c r="A6645" t="s">
        <v>7251</v>
      </c>
      <c r="B6645" s="9">
        <v>0</v>
      </c>
    </row>
    <row r="6646" spans="1:2" x14ac:dyDescent="0.25">
      <c r="A6646" t="s">
        <v>7252</v>
      </c>
      <c r="B6646" s="9">
        <v>0</v>
      </c>
    </row>
    <row r="6647" spans="1:2" x14ac:dyDescent="0.25">
      <c r="A6647" t="s">
        <v>7253</v>
      </c>
      <c r="B6647" s="9">
        <v>0</v>
      </c>
    </row>
    <row r="6648" spans="1:2" x14ac:dyDescent="0.25">
      <c r="A6648" t="s">
        <v>7254</v>
      </c>
      <c r="B6648" s="9">
        <v>0</v>
      </c>
    </row>
    <row r="6649" spans="1:2" x14ac:dyDescent="0.25">
      <c r="A6649" t="s">
        <v>7255</v>
      </c>
      <c r="B6649" s="9">
        <v>0</v>
      </c>
    </row>
    <row r="6650" spans="1:2" x14ac:dyDescent="0.25">
      <c r="A6650" t="s">
        <v>7256</v>
      </c>
      <c r="B6650" s="9">
        <v>0</v>
      </c>
    </row>
    <row r="6651" spans="1:2" x14ac:dyDescent="0.25">
      <c r="A6651" t="s">
        <v>7257</v>
      </c>
      <c r="B6651" s="9">
        <v>0</v>
      </c>
    </row>
    <row r="6652" spans="1:2" x14ac:dyDescent="0.25">
      <c r="A6652" t="s">
        <v>7258</v>
      </c>
      <c r="B6652" s="9">
        <v>0</v>
      </c>
    </row>
    <row r="6653" spans="1:2" x14ac:dyDescent="0.25">
      <c r="A6653" t="s">
        <v>7259</v>
      </c>
      <c r="B6653" s="9">
        <v>0</v>
      </c>
    </row>
    <row r="6654" spans="1:2" x14ac:dyDescent="0.25">
      <c r="A6654" t="s">
        <v>7260</v>
      </c>
      <c r="B6654" s="9">
        <v>0</v>
      </c>
    </row>
    <row r="6655" spans="1:2" x14ac:dyDescent="0.25">
      <c r="A6655" t="s">
        <v>7261</v>
      </c>
      <c r="B6655" s="9">
        <v>0</v>
      </c>
    </row>
    <row r="6656" spans="1:2" x14ac:dyDescent="0.25">
      <c r="A6656" t="s">
        <v>7262</v>
      </c>
      <c r="B6656" s="9">
        <v>0</v>
      </c>
    </row>
    <row r="6657" spans="1:2" x14ac:dyDescent="0.25">
      <c r="A6657" t="s">
        <v>7263</v>
      </c>
      <c r="B6657" s="9">
        <v>0</v>
      </c>
    </row>
    <row r="6658" spans="1:2" x14ac:dyDescent="0.25">
      <c r="A6658" t="s">
        <v>7264</v>
      </c>
      <c r="B6658" s="9">
        <v>0</v>
      </c>
    </row>
    <row r="6659" spans="1:2" x14ac:dyDescent="0.25">
      <c r="A6659" t="s">
        <v>7265</v>
      </c>
      <c r="B6659" s="9">
        <v>0</v>
      </c>
    </row>
    <row r="6660" spans="1:2" x14ac:dyDescent="0.25">
      <c r="A6660" t="s">
        <v>7266</v>
      </c>
      <c r="B6660" s="9">
        <v>0</v>
      </c>
    </row>
    <row r="6661" spans="1:2" x14ac:dyDescent="0.25">
      <c r="A6661" t="s">
        <v>7267</v>
      </c>
      <c r="B6661" s="9">
        <v>0</v>
      </c>
    </row>
    <row r="6662" spans="1:2" x14ac:dyDescent="0.25">
      <c r="A6662" t="s">
        <v>7268</v>
      </c>
      <c r="B6662" s="9">
        <v>0</v>
      </c>
    </row>
    <row r="6663" spans="1:2" x14ac:dyDescent="0.25">
      <c r="A6663" t="s">
        <v>7269</v>
      </c>
      <c r="B6663" s="9">
        <v>0</v>
      </c>
    </row>
    <row r="6664" spans="1:2" x14ac:dyDescent="0.25">
      <c r="A6664" t="s">
        <v>7270</v>
      </c>
      <c r="B6664" s="9">
        <v>0</v>
      </c>
    </row>
    <row r="6665" spans="1:2" x14ac:dyDescent="0.25">
      <c r="A6665" t="s">
        <v>7271</v>
      </c>
      <c r="B6665" s="9">
        <v>0</v>
      </c>
    </row>
    <row r="6666" spans="1:2" x14ac:dyDescent="0.25">
      <c r="A6666" t="s">
        <v>7272</v>
      </c>
      <c r="B6666" s="9">
        <v>0</v>
      </c>
    </row>
    <row r="6667" spans="1:2" x14ac:dyDescent="0.25">
      <c r="A6667" t="s">
        <v>7273</v>
      </c>
      <c r="B6667" s="9">
        <v>0</v>
      </c>
    </row>
    <row r="6668" spans="1:2" x14ac:dyDescent="0.25">
      <c r="A6668" t="s">
        <v>7274</v>
      </c>
      <c r="B6668" s="9">
        <v>0</v>
      </c>
    </row>
    <row r="6669" spans="1:2" x14ac:dyDescent="0.25">
      <c r="A6669" t="s">
        <v>7275</v>
      </c>
      <c r="B6669" s="9">
        <v>0</v>
      </c>
    </row>
    <row r="6670" spans="1:2" x14ac:dyDescent="0.25">
      <c r="A6670" t="s">
        <v>7276</v>
      </c>
      <c r="B6670" s="9">
        <v>0</v>
      </c>
    </row>
    <row r="6671" spans="1:2" x14ac:dyDescent="0.25">
      <c r="A6671" t="s">
        <v>7277</v>
      </c>
      <c r="B6671" s="9">
        <v>0</v>
      </c>
    </row>
    <row r="6672" spans="1:2" x14ac:dyDescent="0.25">
      <c r="A6672" t="s">
        <v>7278</v>
      </c>
      <c r="B6672" s="9">
        <v>0</v>
      </c>
    </row>
    <row r="6673" spans="1:2" x14ac:dyDescent="0.25">
      <c r="A6673" t="s">
        <v>7279</v>
      </c>
      <c r="B6673" s="9">
        <v>0</v>
      </c>
    </row>
    <row r="6674" spans="1:2" x14ac:dyDescent="0.25">
      <c r="A6674" t="s">
        <v>7280</v>
      </c>
      <c r="B6674" s="9">
        <v>0</v>
      </c>
    </row>
    <row r="6675" spans="1:2" x14ac:dyDescent="0.25">
      <c r="A6675" t="s">
        <v>7281</v>
      </c>
      <c r="B6675" s="9">
        <v>0</v>
      </c>
    </row>
    <row r="6676" spans="1:2" x14ac:dyDescent="0.25">
      <c r="A6676" t="s">
        <v>7282</v>
      </c>
      <c r="B6676" s="9">
        <v>0</v>
      </c>
    </row>
    <row r="6677" spans="1:2" x14ac:dyDescent="0.25">
      <c r="A6677" t="s">
        <v>7283</v>
      </c>
      <c r="B6677" s="9">
        <v>0</v>
      </c>
    </row>
    <row r="6678" spans="1:2" x14ac:dyDescent="0.25">
      <c r="A6678" t="s">
        <v>7284</v>
      </c>
      <c r="B6678" s="9">
        <v>0</v>
      </c>
    </row>
    <row r="6679" spans="1:2" x14ac:dyDescent="0.25">
      <c r="A6679" t="s">
        <v>7285</v>
      </c>
      <c r="B6679" s="9">
        <v>0</v>
      </c>
    </row>
    <row r="6680" spans="1:2" x14ac:dyDescent="0.25">
      <c r="A6680" t="s">
        <v>7286</v>
      </c>
      <c r="B6680" s="9">
        <v>0</v>
      </c>
    </row>
    <row r="6681" spans="1:2" x14ac:dyDescent="0.25">
      <c r="A6681" t="s">
        <v>7287</v>
      </c>
      <c r="B6681" s="9">
        <v>0</v>
      </c>
    </row>
    <row r="6682" spans="1:2" x14ac:dyDescent="0.25">
      <c r="A6682" t="s">
        <v>7288</v>
      </c>
      <c r="B6682" s="9">
        <v>0</v>
      </c>
    </row>
    <row r="6683" spans="1:2" x14ac:dyDescent="0.25">
      <c r="A6683" t="s">
        <v>7289</v>
      </c>
      <c r="B6683" s="9">
        <v>0</v>
      </c>
    </row>
    <row r="6684" spans="1:2" x14ac:dyDescent="0.25">
      <c r="A6684" t="s">
        <v>7290</v>
      </c>
      <c r="B6684" s="9">
        <v>0</v>
      </c>
    </row>
    <row r="6685" spans="1:2" x14ac:dyDescent="0.25">
      <c r="A6685" t="s">
        <v>7291</v>
      </c>
      <c r="B6685" s="9">
        <v>0</v>
      </c>
    </row>
    <row r="6686" spans="1:2" x14ac:dyDescent="0.25">
      <c r="A6686" t="s">
        <v>7292</v>
      </c>
      <c r="B6686" s="9">
        <v>0</v>
      </c>
    </row>
    <row r="6687" spans="1:2" x14ac:dyDescent="0.25">
      <c r="A6687" t="s">
        <v>7293</v>
      </c>
      <c r="B6687" s="9">
        <v>0</v>
      </c>
    </row>
    <row r="6688" spans="1:2" x14ac:dyDescent="0.25">
      <c r="A6688" t="s">
        <v>7294</v>
      </c>
      <c r="B6688" s="9">
        <v>0</v>
      </c>
    </row>
    <row r="6689" spans="1:2" x14ac:dyDescent="0.25">
      <c r="A6689" t="s">
        <v>7295</v>
      </c>
      <c r="B6689" s="9">
        <v>0</v>
      </c>
    </row>
    <row r="6690" spans="1:2" x14ac:dyDescent="0.25">
      <c r="A6690" t="s">
        <v>7296</v>
      </c>
      <c r="B6690" s="9">
        <v>0</v>
      </c>
    </row>
    <row r="6691" spans="1:2" x14ac:dyDescent="0.25">
      <c r="A6691" t="s">
        <v>7297</v>
      </c>
      <c r="B6691" s="9">
        <v>0</v>
      </c>
    </row>
    <row r="6692" spans="1:2" x14ac:dyDescent="0.25">
      <c r="A6692" t="s">
        <v>7298</v>
      </c>
      <c r="B6692" s="9">
        <v>0</v>
      </c>
    </row>
    <row r="6693" spans="1:2" x14ac:dyDescent="0.25">
      <c r="A6693" t="s">
        <v>7299</v>
      </c>
      <c r="B6693" s="9">
        <v>0</v>
      </c>
    </row>
    <row r="6694" spans="1:2" x14ac:dyDescent="0.25">
      <c r="A6694" t="s">
        <v>7300</v>
      </c>
      <c r="B6694" s="9">
        <v>0</v>
      </c>
    </row>
    <row r="6695" spans="1:2" x14ac:dyDescent="0.25">
      <c r="A6695" t="s">
        <v>7301</v>
      </c>
      <c r="B6695" s="9">
        <v>0</v>
      </c>
    </row>
    <row r="6696" spans="1:2" x14ac:dyDescent="0.25">
      <c r="A6696" t="s">
        <v>7302</v>
      </c>
      <c r="B6696" s="9">
        <v>0</v>
      </c>
    </row>
    <row r="6697" spans="1:2" x14ac:dyDescent="0.25">
      <c r="A6697" t="s">
        <v>7303</v>
      </c>
      <c r="B6697" s="9">
        <v>0</v>
      </c>
    </row>
    <row r="6698" spans="1:2" x14ac:dyDescent="0.25">
      <c r="A6698" t="s">
        <v>7304</v>
      </c>
      <c r="B6698" s="9">
        <v>0</v>
      </c>
    </row>
    <row r="6699" spans="1:2" x14ac:dyDescent="0.25">
      <c r="A6699" t="s">
        <v>7305</v>
      </c>
      <c r="B6699" s="9">
        <v>0</v>
      </c>
    </row>
    <row r="6700" spans="1:2" x14ac:dyDescent="0.25">
      <c r="A6700" t="s">
        <v>7306</v>
      </c>
      <c r="B6700" s="9">
        <v>0</v>
      </c>
    </row>
    <row r="6701" spans="1:2" x14ac:dyDescent="0.25">
      <c r="A6701" t="s">
        <v>7307</v>
      </c>
      <c r="B6701" s="9">
        <v>0</v>
      </c>
    </row>
    <row r="6702" spans="1:2" x14ac:dyDescent="0.25">
      <c r="A6702" t="s">
        <v>7308</v>
      </c>
      <c r="B6702" s="9">
        <v>0</v>
      </c>
    </row>
    <row r="6703" spans="1:2" x14ac:dyDescent="0.25">
      <c r="A6703" t="s">
        <v>7309</v>
      </c>
      <c r="B6703" s="9">
        <v>0</v>
      </c>
    </row>
    <row r="6704" spans="1:2" x14ac:dyDescent="0.25">
      <c r="A6704" t="s">
        <v>7310</v>
      </c>
      <c r="B6704" s="9">
        <v>0</v>
      </c>
    </row>
    <row r="6705" spans="1:2" x14ac:dyDescent="0.25">
      <c r="A6705" t="s">
        <v>7311</v>
      </c>
      <c r="B6705" s="9">
        <v>0</v>
      </c>
    </row>
    <row r="6706" spans="1:2" x14ac:dyDescent="0.25">
      <c r="A6706" t="s">
        <v>7312</v>
      </c>
      <c r="B6706" s="9">
        <v>0</v>
      </c>
    </row>
    <row r="6707" spans="1:2" x14ac:dyDescent="0.25">
      <c r="A6707" t="s">
        <v>7313</v>
      </c>
      <c r="B6707" s="9">
        <v>0</v>
      </c>
    </row>
    <row r="6708" spans="1:2" x14ac:dyDescent="0.25">
      <c r="A6708" t="s">
        <v>7314</v>
      </c>
      <c r="B6708" s="9">
        <v>0</v>
      </c>
    </row>
    <row r="6709" spans="1:2" x14ac:dyDescent="0.25">
      <c r="A6709" t="s">
        <v>7315</v>
      </c>
      <c r="B6709" s="9">
        <v>0</v>
      </c>
    </row>
    <row r="6710" spans="1:2" x14ac:dyDescent="0.25">
      <c r="A6710" t="s">
        <v>7316</v>
      </c>
      <c r="B6710" s="9">
        <v>0</v>
      </c>
    </row>
    <row r="6711" spans="1:2" x14ac:dyDescent="0.25">
      <c r="A6711" t="s">
        <v>7317</v>
      </c>
      <c r="B6711" s="9">
        <v>0</v>
      </c>
    </row>
    <row r="6712" spans="1:2" x14ac:dyDescent="0.25">
      <c r="A6712" t="s">
        <v>7318</v>
      </c>
      <c r="B6712" s="9">
        <v>0</v>
      </c>
    </row>
    <row r="6713" spans="1:2" x14ac:dyDescent="0.25">
      <c r="A6713" t="s">
        <v>7319</v>
      </c>
      <c r="B6713" s="9">
        <v>0</v>
      </c>
    </row>
    <row r="6714" spans="1:2" x14ac:dyDescent="0.25">
      <c r="A6714" t="s">
        <v>7320</v>
      </c>
      <c r="B6714" s="9">
        <v>0</v>
      </c>
    </row>
    <row r="6715" spans="1:2" x14ac:dyDescent="0.25">
      <c r="A6715" t="s">
        <v>7321</v>
      </c>
      <c r="B6715" s="9">
        <v>0</v>
      </c>
    </row>
    <row r="6716" spans="1:2" x14ac:dyDescent="0.25">
      <c r="A6716" t="s">
        <v>7322</v>
      </c>
      <c r="B6716" s="9">
        <v>0</v>
      </c>
    </row>
    <row r="6717" spans="1:2" x14ac:dyDescent="0.25">
      <c r="A6717" t="s">
        <v>7323</v>
      </c>
      <c r="B6717" s="9">
        <v>0</v>
      </c>
    </row>
    <row r="6718" spans="1:2" x14ac:dyDescent="0.25">
      <c r="A6718" t="s">
        <v>7324</v>
      </c>
      <c r="B6718" s="9">
        <v>0</v>
      </c>
    </row>
    <row r="6719" spans="1:2" x14ac:dyDescent="0.25">
      <c r="A6719" t="s">
        <v>7325</v>
      </c>
      <c r="B6719" s="9">
        <v>0</v>
      </c>
    </row>
    <row r="6720" spans="1:2" x14ac:dyDescent="0.25">
      <c r="A6720" t="s">
        <v>7326</v>
      </c>
      <c r="B6720" s="9">
        <v>0</v>
      </c>
    </row>
    <row r="6721" spans="1:2" x14ac:dyDescent="0.25">
      <c r="A6721" t="s">
        <v>7327</v>
      </c>
      <c r="B6721" s="9">
        <v>0</v>
      </c>
    </row>
    <row r="6722" spans="1:2" x14ac:dyDescent="0.25">
      <c r="A6722" t="s">
        <v>7328</v>
      </c>
      <c r="B6722" s="9">
        <v>0</v>
      </c>
    </row>
    <row r="6723" spans="1:2" x14ac:dyDescent="0.25">
      <c r="A6723" t="s">
        <v>7329</v>
      </c>
      <c r="B6723" s="9">
        <v>0</v>
      </c>
    </row>
    <row r="6724" spans="1:2" x14ac:dyDescent="0.25">
      <c r="A6724" t="s">
        <v>7330</v>
      </c>
      <c r="B6724" s="9">
        <v>0</v>
      </c>
    </row>
    <row r="6725" spans="1:2" x14ac:dyDescent="0.25">
      <c r="A6725" t="s">
        <v>7331</v>
      </c>
      <c r="B6725" s="9">
        <v>0</v>
      </c>
    </row>
    <row r="6726" spans="1:2" x14ac:dyDescent="0.25">
      <c r="A6726" t="s">
        <v>7332</v>
      </c>
      <c r="B6726" s="9">
        <v>0</v>
      </c>
    </row>
    <row r="6727" spans="1:2" x14ac:dyDescent="0.25">
      <c r="A6727" t="s">
        <v>7333</v>
      </c>
      <c r="B6727" s="9">
        <v>0</v>
      </c>
    </row>
    <row r="6728" spans="1:2" x14ac:dyDescent="0.25">
      <c r="A6728" t="s">
        <v>7334</v>
      </c>
      <c r="B6728" s="9">
        <v>0</v>
      </c>
    </row>
    <row r="6729" spans="1:2" x14ac:dyDescent="0.25">
      <c r="A6729" t="s">
        <v>7335</v>
      </c>
      <c r="B6729" s="9">
        <v>0</v>
      </c>
    </row>
    <row r="6730" spans="1:2" x14ac:dyDescent="0.25">
      <c r="A6730" t="s">
        <v>7336</v>
      </c>
      <c r="B6730" s="9">
        <v>0</v>
      </c>
    </row>
    <row r="6731" spans="1:2" x14ac:dyDescent="0.25">
      <c r="A6731" t="s">
        <v>7337</v>
      </c>
      <c r="B6731" s="9">
        <v>0</v>
      </c>
    </row>
    <row r="6732" spans="1:2" x14ac:dyDescent="0.25">
      <c r="A6732" t="s">
        <v>7338</v>
      </c>
      <c r="B6732" s="9">
        <v>0</v>
      </c>
    </row>
    <row r="6733" spans="1:2" x14ac:dyDescent="0.25">
      <c r="A6733" t="s">
        <v>7339</v>
      </c>
      <c r="B6733" s="9">
        <v>0</v>
      </c>
    </row>
    <row r="6734" spans="1:2" x14ac:dyDescent="0.25">
      <c r="A6734" t="s">
        <v>7340</v>
      </c>
      <c r="B6734" s="9">
        <v>0</v>
      </c>
    </row>
    <row r="6735" spans="1:2" x14ac:dyDescent="0.25">
      <c r="A6735" t="s">
        <v>7341</v>
      </c>
      <c r="B6735" s="9">
        <v>0</v>
      </c>
    </row>
    <row r="6736" spans="1:2" x14ac:dyDescent="0.25">
      <c r="A6736" t="s">
        <v>7342</v>
      </c>
      <c r="B6736" s="9">
        <v>0</v>
      </c>
    </row>
    <row r="6737" spans="1:2" x14ac:dyDescent="0.25">
      <c r="A6737" t="s">
        <v>7343</v>
      </c>
      <c r="B6737" s="9">
        <v>0</v>
      </c>
    </row>
    <row r="6738" spans="1:2" x14ac:dyDescent="0.25">
      <c r="A6738" t="s">
        <v>7344</v>
      </c>
      <c r="B6738" s="9">
        <v>0</v>
      </c>
    </row>
    <row r="6739" spans="1:2" x14ac:dyDescent="0.25">
      <c r="A6739" t="s">
        <v>7345</v>
      </c>
      <c r="B6739" s="9">
        <v>0</v>
      </c>
    </row>
    <row r="6740" spans="1:2" x14ac:dyDescent="0.25">
      <c r="A6740" t="s">
        <v>7346</v>
      </c>
      <c r="B6740" s="9">
        <v>0</v>
      </c>
    </row>
    <row r="6741" spans="1:2" x14ac:dyDescent="0.25">
      <c r="A6741" t="s">
        <v>7347</v>
      </c>
      <c r="B6741" s="9">
        <v>0</v>
      </c>
    </row>
    <row r="6742" spans="1:2" x14ac:dyDescent="0.25">
      <c r="A6742" t="s">
        <v>7348</v>
      </c>
      <c r="B6742" s="9">
        <v>0</v>
      </c>
    </row>
    <row r="6743" spans="1:2" x14ac:dyDescent="0.25">
      <c r="A6743" t="s">
        <v>7349</v>
      </c>
      <c r="B6743" s="9">
        <v>0</v>
      </c>
    </row>
    <row r="6744" spans="1:2" x14ac:dyDescent="0.25">
      <c r="A6744" t="s">
        <v>7350</v>
      </c>
      <c r="B6744" s="9">
        <v>0</v>
      </c>
    </row>
    <row r="6745" spans="1:2" x14ac:dyDescent="0.25">
      <c r="A6745" t="s">
        <v>7351</v>
      </c>
      <c r="B6745" s="9">
        <v>0</v>
      </c>
    </row>
    <row r="6746" spans="1:2" x14ac:dyDescent="0.25">
      <c r="A6746" t="s">
        <v>7352</v>
      </c>
      <c r="B6746" s="9">
        <v>0</v>
      </c>
    </row>
    <row r="6747" spans="1:2" x14ac:dyDescent="0.25">
      <c r="A6747" t="s">
        <v>7353</v>
      </c>
      <c r="B6747" s="9">
        <v>0</v>
      </c>
    </row>
    <row r="6748" spans="1:2" x14ac:dyDescent="0.25">
      <c r="A6748" t="s">
        <v>7354</v>
      </c>
      <c r="B6748" s="9">
        <v>0</v>
      </c>
    </row>
    <row r="6749" spans="1:2" x14ac:dyDescent="0.25">
      <c r="A6749" t="s">
        <v>7355</v>
      </c>
      <c r="B6749" s="9">
        <v>0</v>
      </c>
    </row>
    <row r="6750" spans="1:2" x14ac:dyDescent="0.25">
      <c r="A6750" t="s">
        <v>7356</v>
      </c>
      <c r="B6750" s="9">
        <v>0</v>
      </c>
    </row>
    <row r="6751" spans="1:2" x14ac:dyDescent="0.25">
      <c r="A6751" t="s">
        <v>7357</v>
      </c>
      <c r="B6751" s="9">
        <v>0</v>
      </c>
    </row>
    <row r="6752" spans="1:2" x14ac:dyDescent="0.25">
      <c r="A6752" t="s">
        <v>7358</v>
      </c>
      <c r="B6752" s="9">
        <v>0</v>
      </c>
    </row>
    <row r="6753" spans="1:2" x14ac:dyDescent="0.25">
      <c r="A6753" t="s">
        <v>7359</v>
      </c>
      <c r="B6753" s="9">
        <v>0</v>
      </c>
    </row>
    <row r="6754" spans="1:2" x14ac:dyDescent="0.25">
      <c r="A6754" t="s">
        <v>7360</v>
      </c>
      <c r="B6754" s="9">
        <v>0</v>
      </c>
    </row>
    <row r="6755" spans="1:2" x14ac:dyDescent="0.25">
      <c r="A6755" t="s">
        <v>7361</v>
      </c>
      <c r="B6755" s="9">
        <v>0</v>
      </c>
    </row>
    <row r="6756" spans="1:2" x14ac:dyDescent="0.25">
      <c r="A6756" t="s">
        <v>7362</v>
      </c>
      <c r="B6756" s="9">
        <v>0</v>
      </c>
    </row>
    <row r="6757" spans="1:2" x14ac:dyDescent="0.25">
      <c r="A6757" t="s">
        <v>7363</v>
      </c>
      <c r="B6757" s="9">
        <v>0</v>
      </c>
    </row>
    <row r="6758" spans="1:2" x14ac:dyDescent="0.25">
      <c r="A6758" t="s">
        <v>7364</v>
      </c>
      <c r="B6758" s="9">
        <v>0</v>
      </c>
    </row>
    <row r="6759" spans="1:2" x14ac:dyDescent="0.25">
      <c r="A6759" t="s">
        <v>7365</v>
      </c>
      <c r="B6759" s="9">
        <v>0</v>
      </c>
    </row>
    <row r="6760" spans="1:2" x14ac:dyDescent="0.25">
      <c r="A6760" t="s">
        <v>7366</v>
      </c>
      <c r="B6760" s="9">
        <v>0</v>
      </c>
    </row>
    <row r="6761" spans="1:2" x14ac:dyDescent="0.25">
      <c r="A6761" t="s">
        <v>7367</v>
      </c>
      <c r="B6761" s="9">
        <v>0</v>
      </c>
    </row>
    <row r="6762" spans="1:2" x14ac:dyDescent="0.25">
      <c r="A6762" t="s">
        <v>7368</v>
      </c>
      <c r="B6762" s="9">
        <v>0.15</v>
      </c>
    </row>
    <row r="6763" spans="1:2" x14ac:dyDescent="0.25">
      <c r="A6763" t="s">
        <v>7369</v>
      </c>
      <c r="B6763" s="9">
        <v>0.15</v>
      </c>
    </row>
    <row r="6764" spans="1:2" x14ac:dyDescent="0.25">
      <c r="A6764" t="s">
        <v>7370</v>
      </c>
      <c r="B6764" s="9">
        <v>0.15</v>
      </c>
    </row>
    <row r="6765" spans="1:2" x14ac:dyDescent="0.25">
      <c r="A6765" t="s">
        <v>7371</v>
      </c>
      <c r="B6765" s="9">
        <v>0.15</v>
      </c>
    </row>
    <row r="6766" spans="1:2" x14ac:dyDescent="0.25">
      <c r="A6766" t="s">
        <v>7372</v>
      </c>
      <c r="B6766" s="9">
        <v>0.15</v>
      </c>
    </row>
    <row r="6767" spans="1:2" x14ac:dyDescent="0.25">
      <c r="A6767" t="s">
        <v>7373</v>
      </c>
      <c r="B6767" s="9">
        <v>0.15</v>
      </c>
    </row>
    <row r="6768" spans="1:2" x14ac:dyDescent="0.25">
      <c r="A6768" t="s">
        <v>7374</v>
      </c>
      <c r="B6768" s="9">
        <v>0.15</v>
      </c>
    </row>
    <row r="6769" spans="1:2" x14ac:dyDescent="0.25">
      <c r="A6769" t="s">
        <v>7375</v>
      </c>
      <c r="B6769" s="9">
        <v>0.05</v>
      </c>
    </row>
    <row r="6770" spans="1:2" x14ac:dyDescent="0.25">
      <c r="A6770" t="s">
        <v>7376</v>
      </c>
      <c r="B6770" s="9">
        <v>0.05</v>
      </c>
    </row>
    <row r="6771" spans="1:2" x14ac:dyDescent="0.25">
      <c r="A6771" t="s">
        <v>7377</v>
      </c>
      <c r="B6771" s="9">
        <v>0.05</v>
      </c>
    </row>
    <row r="6772" spans="1:2" x14ac:dyDescent="0.25">
      <c r="A6772" t="s">
        <v>7378</v>
      </c>
      <c r="B6772" s="9">
        <v>0.1</v>
      </c>
    </row>
    <row r="6773" spans="1:2" x14ac:dyDescent="0.25">
      <c r="A6773" t="s">
        <v>7379</v>
      </c>
      <c r="B6773" s="9">
        <v>0.1</v>
      </c>
    </row>
    <row r="6774" spans="1:2" x14ac:dyDescent="0.25">
      <c r="A6774" t="s">
        <v>7380</v>
      </c>
      <c r="B6774" s="9">
        <v>0.1</v>
      </c>
    </row>
    <row r="6775" spans="1:2" x14ac:dyDescent="0.25">
      <c r="A6775" t="s">
        <v>7381</v>
      </c>
      <c r="B6775" s="9">
        <v>0.1</v>
      </c>
    </row>
    <row r="6776" spans="1:2" x14ac:dyDescent="0.25">
      <c r="A6776" t="s">
        <v>7382</v>
      </c>
      <c r="B6776" s="9">
        <v>0.1</v>
      </c>
    </row>
    <row r="6777" spans="1:2" x14ac:dyDescent="0.25">
      <c r="A6777" t="s">
        <v>7383</v>
      </c>
      <c r="B6777" s="9">
        <v>0.05</v>
      </c>
    </row>
    <row r="6778" spans="1:2" x14ac:dyDescent="0.25">
      <c r="A6778" t="s">
        <v>7384</v>
      </c>
      <c r="B6778" s="9">
        <v>0.05</v>
      </c>
    </row>
    <row r="6779" spans="1:2" x14ac:dyDescent="0.25">
      <c r="A6779" t="s">
        <v>7385</v>
      </c>
      <c r="B6779" s="9">
        <v>0.05</v>
      </c>
    </row>
    <row r="6780" spans="1:2" x14ac:dyDescent="0.25">
      <c r="A6780" t="s">
        <v>7386</v>
      </c>
      <c r="B6780" s="9">
        <v>0</v>
      </c>
    </row>
    <row r="6781" spans="1:2" x14ac:dyDescent="0.25">
      <c r="A6781" t="s">
        <v>7387</v>
      </c>
      <c r="B6781" s="9">
        <v>0</v>
      </c>
    </row>
    <row r="6782" spans="1:2" x14ac:dyDescent="0.25">
      <c r="A6782" t="s">
        <v>7388</v>
      </c>
      <c r="B6782" s="9">
        <v>0</v>
      </c>
    </row>
    <row r="6783" spans="1:2" x14ac:dyDescent="0.25">
      <c r="A6783" t="s">
        <v>7389</v>
      </c>
      <c r="B6783" s="9">
        <v>0</v>
      </c>
    </row>
    <row r="6784" spans="1:2" x14ac:dyDescent="0.25">
      <c r="A6784" t="s">
        <v>7390</v>
      </c>
      <c r="B6784" s="9">
        <v>0</v>
      </c>
    </row>
    <row r="6785" spans="1:2" x14ac:dyDescent="0.25">
      <c r="A6785" t="s">
        <v>7391</v>
      </c>
      <c r="B6785" s="9">
        <v>0</v>
      </c>
    </row>
    <row r="6786" spans="1:2" x14ac:dyDescent="0.25">
      <c r="A6786" t="s">
        <v>7392</v>
      </c>
      <c r="B6786" s="9">
        <v>0</v>
      </c>
    </row>
    <row r="6787" spans="1:2" x14ac:dyDescent="0.25">
      <c r="A6787" t="s">
        <v>7393</v>
      </c>
      <c r="B6787" s="9">
        <v>0</v>
      </c>
    </row>
    <row r="6788" spans="1:2" x14ac:dyDescent="0.25">
      <c r="A6788" t="s">
        <v>7394</v>
      </c>
      <c r="B6788" s="9">
        <v>0</v>
      </c>
    </row>
    <row r="6789" spans="1:2" x14ac:dyDescent="0.25">
      <c r="A6789" t="s">
        <v>7395</v>
      </c>
      <c r="B6789" s="9">
        <v>0</v>
      </c>
    </row>
    <row r="6790" spans="1:2" x14ac:dyDescent="0.25">
      <c r="A6790" t="s">
        <v>7396</v>
      </c>
      <c r="B6790" s="9">
        <v>0</v>
      </c>
    </row>
    <row r="6791" spans="1:2" x14ac:dyDescent="0.25">
      <c r="A6791" t="s">
        <v>7397</v>
      </c>
      <c r="B6791" s="9">
        <v>0</v>
      </c>
    </row>
    <row r="6792" spans="1:2" x14ac:dyDescent="0.25">
      <c r="A6792" t="s">
        <v>7398</v>
      </c>
      <c r="B6792" s="9">
        <v>0</v>
      </c>
    </row>
    <row r="6793" spans="1:2" x14ac:dyDescent="0.25">
      <c r="A6793" t="s">
        <v>7399</v>
      </c>
      <c r="B6793" s="9">
        <v>0</v>
      </c>
    </row>
    <row r="6794" spans="1:2" x14ac:dyDescent="0.25">
      <c r="A6794" t="s">
        <v>7400</v>
      </c>
      <c r="B6794" s="9">
        <v>0</v>
      </c>
    </row>
    <row r="6795" spans="1:2" x14ac:dyDescent="0.25">
      <c r="A6795" t="s">
        <v>7401</v>
      </c>
      <c r="B6795" s="9">
        <v>0</v>
      </c>
    </row>
    <row r="6796" spans="1:2" x14ac:dyDescent="0.25">
      <c r="A6796" t="s">
        <v>7402</v>
      </c>
      <c r="B6796" s="9">
        <v>0</v>
      </c>
    </row>
    <row r="6797" spans="1:2" x14ac:dyDescent="0.25">
      <c r="A6797" t="s">
        <v>7403</v>
      </c>
      <c r="B6797" s="9">
        <v>0</v>
      </c>
    </row>
    <row r="6798" spans="1:2" x14ac:dyDescent="0.25">
      <c r="A6798" t="s">
        <v>7404</v>
      </c>
      <c r="B6798" s="9">
        <v>0</v>
      </c>
    </row>
    <row r="6799" spans="1:2" x14ac:dyDescent="0.25">
      <c r="A6799" t="s">
        <v>7405</v>
      </c>
      <c r="B6799" s="9">
        <v>0</v>
      </c>
    </row>
    <row r="6800" spans="1:2" x14ac:dyDescent="0.25">
      <c r="A6800" t="s">
        <v>7406</v>
      </c>
      <c r="B6800" s="9">
        <v>0</v>
      </c>
    </row>
    <row r="6801" spans="1:2" x14ac:dyDescent="0.25">
      <c r="A6801" t="s">
        <v>7407</v>
      </c>
      <c r="B6801" s="9">
        <v>0</v>
      </c>
    </row>
    <row r="6802" spans="1:2" x14ac:dyDescent="0.25">
      <c r="A6802" t="s">
        <v>7408</v>
      </c>
      <c r="B6802" s="9">
        <v>0</v>
      </c>
    </row>
    <row r="6803" spans="1:2" x14ac:dyDescent="0.25">
      <c r="A6803" t="s">
        <v>7409</v>
      </c>
      <c r="B6803" s="9">
        <v>0</v>
      </c>
    </row>
    <row r="6804" spans="1:2" x14ac:dyDescent="0.25">
      <c r="A6804" t="s">
        <v>7410</v>
      </c>
      <c r="B6804" s="9">
        <v>0</v>
      </c>
    </row>
    <row r="6805" spans="1:2" x14ac:dyDescent="0.25">
      <c r="A6805" t="s">
        <v>7411</v>
      </c>
      <c r="B6805" s="9">
        <v>0</v>
      </c>
    </row>
    <row r="6806" spans="1:2" x14ac:dyDescent="0.25">
      <c r="A6806" t="s">
        <v>7412</v>
      </c>
      <c r="B6806" s="9">
        <v>0</v>
      </c>
    </row>
    <row r="6807" spans="1:2" x14ac:dyDescent="0.25">
      <c r="A6807" t="s">
        <v>7413</v>
      </c>
      <c r="B6807" s="9">
        <v>0</v>
      </c>
    </row>
    <row r="6808" spans="1:2" x14ac:dyDescent="0.25">
      <c r="A6808" t="s">
        <v>7414</v>
      </c>
      <c r="B6808" s="9">
        <v>0</v>
      </c>
    </row>
    <row r="6809" spans="1:2" x14ac:dyDescent="0.25">
      <c r="A6809" t="s">
        <v>7415</v>
      </c>
      <c r="B6809" s="9">
        <v>0</v>
      </c>
    </row>
    <row r="6810" spans="1:2" x14ac:dyDescent="0.25">
      <c r="A6810" t="s">
        <v>7416</v>
      </c>
      <c r="B6810" s="9">
        <v>0</v>
      </c>
    </row>
    <row r="6811" spans="1:2" x14ac:dyDescent="0.25">
      <c r="A6811" t="s">
        <v>7417</v>
      </c>
      <c r="B6811" s="9">
        <v>0</v>
      </c>
    </row>
    <row r="6812" spans="1:2" x14ac:dyDescent="0.25">
      <c r="A6812" t="s">
        <v>7418</v>
      </c>
      <c r="B6812" s="9">
        <v>0</v>
      </c>
    </row>
    <row r="6813" spans="1:2" x14ac:dyDescent="0.25">
      <c r="A6813" t="s">
        <v>7419</v>
      </c>
      <c r="B6813" s="9">
        <v>0</v>
      </c>
    </row>
    <row r="6814" spans="1:2" x14ac:dyDescent="0.25">
      <c r="A6814" t="s">
        <v>7420</v>
      </c>
      <c r="B6814" s="9">
        <v>0</v>
      </c>
    </row>
    <row r="6815" spans="1:2" x14ac:dyDescent="0.25">
      <c r="A6815" t="s">
        <v>7421</v>
      </c>
      <c r="B6815" s="9">
        <v>0</v>
      </c>
    </row>
    <row r="6816" spans="1:2" x14ac:dyDescent="0.25">
      <c r="A6816" t="s">
        <v>7422</v>
      </c>
      <c r="B6816" s="9">
        <v>0</v>
      </c>
    </row>
    <row r="6817" spans="1:2" x14ac:dyDescent="0.25">
      <c r="A6817" t="s">
        <v>7423</v>
      </c>
      <c r="B6817" s="9">
        <v>0</v>
      </c>
    </row>
    <row r="6818" spans="1:2" x14ac:dyDescent="0.25">
      <c r="A6818" t="s">
        <v>7424</v>
      </c>
      <c r="B6818" s="9">
        <v>0</v>
      </c>
    </row>
    <row r="6819" spans="1:2" x14ac:dyDescent="0.25">
      <c r="A6819" t="s">
        <v>7425</v>
      </c>
      <c r="B6819" s="9">
        <v>0</v>
      </c>
    </row>
    <row r="6820" spans="1:2" x14ac:dyDescent="0.25">
      <c r="A6820" t="s">
        <v>7426</v>
      </c>
      <c r="B6820" s="9">
        <v>0</v>
      </c>
    </row>
    <row r="6821" spans="1:2" x14ac:dyDescent="0.25">
      <c r="A6821" t="s">
        <v>7427</v>
      </c>
      <c r="B6821" s="9">
        <v>0</v>
      </c>
    </row>
    <row r="6822" spans="1:2" x14ac:dyDescent="0.25">
      <c r="A6822" t="s">
        <v>7428</v>
      </c>
      <c r="B6822" s="9">
        <v>0</v>
      </c>
    </row>
    <row r="6823" spans="1:2" x14ac:dyDescent="0.25">
      <c r="A6823" t="s">
        <v>7429</v>
      </c>
      <c r="B6823" s="9">
        <v>0</v>
      </c>
    </row>
    <row r="6824" spans="1:2" x14ac:dyDescent="0.25">
      <c r="A6824" t="s">
        <v>7430</v>
      </c>
      <c r="B6824" s="9">
        <v>0</v>
      </c>
    </row>
    <row r="6825" spans="1:2" x14ac:dyDescent="0.25">
      <c r="A6825" t="s">
        <v>7431</v>
      </c>
      <c r="B6825" s="9">
        <v>0</v>
      </c>
    </row>
    <row r="6826" spans="1:2" x14ac:dyDescent="0.25">
      <c r="A6826" t="s">
        <v>7432</v>
      </c>
      <c r="B6826" s="9">
        <v>0</v>
      </c>
    </row>
    <row r="6827" spans="1:2" x14ac:dyDescent="0.25">
      <c r="A6827" t="s">
        <v>7433</v>
      </c>
      <c r="B6827" s="9">
        <v>0</v>
      </c>
    </row>
    <row r="6828" spans="1:2" x14ac:dyDescent="0.25">
      <c r="A6828" t="s">
        <v>7434</v>
      </c>
      <c r="B6828" s="9">
        <v>0</v>
      </c>
    </row>
    <row r="6829" spans="1:2" x14ac:dyDescent="0.25">
      <c r="A6829" t="s">
        <v>7435</v>
      </c>
      <c r="B6829" s="9">
        <v>0</v>
      </c>
    </row>
    <row r="6830" spans="1:2" x14ac:dyDescent="0.25">
      <c r="A6830" t="s">
        <v>7436</v>
      </c>
      <c r="B6830" s="9">
        <v>0</v>
      </c>
    </row>
    <row r="6831" spans="1:2" x14ac:dyDescent="0.25">
      <c r="A6831" t="s">
        <v>7437</v>
      </c>
      <c r="B6831" s="9">
        <v>0</v>
      </c>
    </row>
    <row r="6832" spans="1:2" x14ac:dyDescent="0.25">
      <c r="A6832" t="s">
        <v>7438</v>
      </c>
      <c r="B6832" s="9">
        <v>0</v>
      </c>
    </row>
    <row r="6833" spans="1:2" x14ac:dyDescent="0.25">
      <c r="A6833" t="s">
        <v>7439</v>
      </c>
      <c r="B6833" s="9">
        <v>0</v>
      </c>
    </row>
    <row r="6834" spans="1:2" x14ac:dyDescent="0.25">
      <c r="A6834" t="s">
        <v>7440</v>
      </c>
      <c r="B6834" s="9">
        <v>0</v>
      </c>
    </row>
    <row r="6835" spans="1:2" x14ac:dyDescent="0.25">
      <c r="A6835" t="s">
        <v>7441</v>
      </c>
      <c r="B6835" s="9">
        <v>0</v>
      </c>
    </row>
    <row r="6836" spans="1:2" x14ac:dyDescent="0.25">
      <c r="A6836" t="s">
        <v>7442</v>
      </c>
      <c r="B6836" s="9">
        <v>0</v>
      </c>
    </row>
    <row r="6837" spans="1:2" x14ac:dyDescent="0.25">
      <c r="A6837" t="s">
        <v>7443</v>
      </c>
      <c r="B6837" s="9">
        <v>0</v>
      </c>
    </row>
    <row r="6838" spans="1:2" x14ac:dyDescent="0.25">
      <c r="A6838" t="s">
        <v>7444</v>
      </c>
      <c r="B6838" s="9">
        <v>0</v>
      </c>
    </row>
    <row r="6839" spans="1:2" x14ac:dyDescent="0.25">
      <c r="A6839" t="s">
        <v>7445</v>
      </c>
      <c r="B6839" s="9">
        <v>0</v>
      </c>
    </row>
    <row r="6840" spans="1:2" x14ac:dyDescent="0.25">
      <c r="A6840" t="s">
        <v>7446</v>
      </c>
      <c r="B6840" s="9">
        <v>0</v>
      </c>
    </row>
    <row r="6841" spans="1:2" x14ac:dyDescent="0.25">
      <c r="A6841" t="s">
        <v>7447</v>
      </c>
      <c r="B6841" s="9">
        <v>0</v>
      </c>
    </row>
    <row r="6842" spans="1:2" x14ac:dyDescent="0.25">
      <c r="A6842" t="s">
        <v>7448</v>
      </c>
      <c r="B6842" s="9">
        <v>0</v>
      </c>
    </row>
    <row r="6843" spans="1:2" x14ac:dyDescent="0.25">
      <c r="A6843" t="s">
        <v>7449</v>
      </c>
      <c r="B6843" s="9">
        <v>0</v>
      </c>
    </row>
    <row r="6844" spans="1:2" x14ac:dyDescent="0.25">
      <c r="A6844" t="s">
        <v>7450</v>
      </c>
      <c r="B6844" s="9">
        <v>0</v>
      </c>
    </row>
    <row r="6845" spans="1:2" x14ac:dyDescent="0.25">
      <c r="A6845" t="s">
        <v>7451</v>
      </c>
      <c r="B6845" s="9">
        <v>0.05</v>
      </c>
    </row>
    <row r="6846" spans="1:2" x14ac:dyDescent="0.25">
      <c r="A6846" t="s">
        <v>7452</v>
      </c>
      <c r="B6846" s="9">
        <v>0</v>
      </c>
    </row>
    <row r="6847" spans="1:2" x14ac:dyDescent="0.25">
      <c r="A6847" t="s">
        <v>7453</v>
      </c>
      <c r="B6847" s="9">
        <v>0</v>
      </c>
    </row>
    <row r="6848" spans="1:2" x14ac:dyDescent="0.25">
      <c r="A6848" t="s">
        <v>7454</v>
      </c>
      <c r="B6848" s="9">
        <v>0</v>
      </c>
    </row>
    <row r="6849" spans="1:2" x14ac:dyDescent="0.25">
      <c r="A6849" t="s">
        <v>7455</v>
      </c>
      <c r="B6849" s="9">
        <v>0</v>
      </c>
    </row>
    <row r="6850" spans="1:2" x14ac:dyDescent="0.25">
      <c r="A6850" t="s">
        <v>7456</v>
      </c>
      <c r="B6850" s="9">
        <v>0</v>
      </c>
    </row>
    <row r="6851" spans="1:2" x14ac:dyDescent="0.25">
      <c r="A6851" t="s">
        <v>7457</v>
      </c>
      <c r="B6851" s="9">
        <v>0</v>
      </c>
    </row>
    <row r="6852" spans="1:2" x14ac:dyDescent="0.25">
      <c r="A6852" t="s">
        <v>7458</v>
      </c>
      <c r="B6852" s="9">
        <v>0</v>
      </c>
    </row>
    <row r="6853" spans="1:2" x14ac:dyDescent="0.25">
      <c r="A6853" t="s">
        <v>7459</v>
      </c>
      <c r="B6853" s="9">
        <v>0</v>
      </c>
    </row>
    <row r="6854" spans="1:2" x14ac:dyDescent="0.25">
      <c r="A6854" t="s">
        <v>7460</v>
      </c>
      <c r="B6854" s="9">
        <v>0.2</v>
      </c>
    </row>
    <row r="6855" spans="1:2" x14ac:dyDescent="0.25">
      <c r="A6855" t="s">
        <v>7461</v>
      </c>
      <c r="B6855" s="9">
        <v>0.2</v>
      </c>
    </row>
    <row r="6856" spans="1:2" x14ac:dyDescent="0.25">
      <c r="A6856" t="s">
        <v>7462</v>
      </c>
      <c r="B6856" s="9">
        <v>0.15</v>
      </c>
    </row>
    <row r="6857" spans="1:2" x14ac:dyDescent="0.25">
      <c r="A6857" t="s">
        <v>7463</v>
      </c>
      <c r="B6857" s="9">
        <v>0.15</v>
      </c>
    </row>
    <row r="6858" spans="1:2" x14ac:dyDescent="0.25">
      <c r="A6858" t="s">
        <v>7464</v>
      </c>
      <c r="B6858" s="9">
        <v>0.15</v>
      </c>
    </row>
    <row r="6859" spans="1:2" x14ac:dyDescent="0.25">
      <c r="A6859" t="s">
        <v>7465</v>
      </c>
      <c r="B6859" s="9">
        <v>0.15</v>
      </c>
    </row>
    <row r="6860" spans="1:2" x14ac:dyDescent="0.25">
      <c r="A6860" t="s">
        <v>7466</v>
      </c>
      <c r="B6860" s="9">
        <v>0.15</v>
      </c>
    </row>
    <row r="6861" spans="1:2" x14ac:dyDescent="0.25">
      <c r="A6861" t="s">
        <v>7467</v>
      </c>
      <c r="B6861" s="9">
        <v>0.15</v>
      </c>
    </row>
    <row r="6862" spans="1:2" x14ac:dyDescent="0.25">
      <c r="A6862" t="s">
        <v>7468</v>
      </c>
      <c r="B6862" s="9">
        <v>0.15</v>
      </c>
    </row>
    <row r="6863" spans="1:2" x14ac:dyDescent="0.25">
      <c r="A6863" t="s">
        <v>7469</v>
      </c>
      <c r="B6863" s="9">
        <v>0</v>
      </c>
    </row>
    <row r="6864" spans="1:2" x14ac:dyDescent="0.25">
      <c r="A6864" t="s">
        <v>7470</v>
      </c>
      <c r="B6864" s="9">
        <v>0.05</v>
      </c>
    </row>
    <row r="6865" spans="1:2" x14ac:dyDescent="0.25">
      <c r="A6865" t="s">
        <v>7471</v>
      </c>
      <c r="B6865" s="9">
        <v>0.05</v>
      </c>
    </row>
    <row r="6866" spans="1:2" x14ac:dyDescent="0.25">
      <c r="A6866" t="s">
        <v>7472</v>
      </c>
      <c r="B6866" s="9">
        <v>0.05</v>
      </c>
    </row>
    <row r="6867" spans="1:2" x14ac:dyDescent="0.25">
      <c r="A6867" t="s">
        <v>7473</v>
      </c>
      <c r="B6867" s="9">
        <v>0.05</v>
      </c>
    </row>
    <row r="6868" spans="1:2" x14ac:dyDescent="0.25">
      <c r="A6868" t="s">
        <v>7474</v>
      </c>
      <c r="B6868" s="9">
        <v>0.05</v>
      </c>
    </row>
    <row r="6869" spans="1:2" x14ac:dyDescent="0.25">
      <c r="A6869" t="s">
        <v>7475</v>
      </c>
      <c r="B6869" s="9">
        <v>0.05</v>
      </c>
    </row>
    <row r="6870" spans="1:2" x14ac:dyDescent="0.25">
      <c r="A6870" t="s">
        <v>7476</v>
      </c>
      <c r="B6870" s="9">
        <v>0.05</v>
      </c>
    </row>
    <row r="6871" spans="1:2" x14ac:dyDescent="0.25">
      <c r="A6871" t="s">
        <v>7477</v>
      </c>
      <c r="B6871" s="9">
        <v>0.05</v>
      </c>
    </row>
    <row r="6872" spans="1:2" x14ac:dyDescent="0.25">
      <c r="A6872" t="s">
        <v>7478</v>
      </c>
      <c r="B6872" s="9">
        <v>0.05</v>
      </c>
    </row>
    <row r="6873" spans="1:2" x14ac:dyDescent="0.25">
      <c r="A6873" t="s">
        <v>7479</v>
      </c>
      <c r="B6873" s="9">
        <v>0.05</v>
      </c>
    </row>
    <row r="6874" spans="1:2" x14ac:dyDescent="0.25">
      <c r="A6874" t="s">
        <v>7480</v>
      </c>
      <c r="B6874" s="9">
        <v>0.05</v>
      </c>
    </row>
    <row r="6875" spans="1:2" x14ac:dyDescent="0.25">
      <c r="A6875" t="s">
        <v>7481</v>
      </c>
      <c r="B6875" s="9">
        <v>0</v>
      </c>
    </row>
    <row r="6876" spans="1:2" x14ac:dyDescent="0.25">
      <c r="A6876" t="s">
        <v>7482</v>
      </c>
      <c r="B6876" s="9">
        <v>0</v>
      </c>
    </row>
    <row r="6877" spans="1:2" x14ac:dyDescent="0.25">
      <c r="A6877" t="s">
        <v>7483</v>
      </c>
      <c r="B6877" s="9">
        <v>0</v>
      </c>
    </row>
    <row r="6878" spans="1:2" x14ac:dyDescent="0.25">
      <c r="A6878" t="s">
        <v>7484</v>
      </c>
      <c r="B6878" s="9">
        <v>0</v>
      </c>
    </row>
    <row r="6879" spans="1:2" x14ac:dyDescent="0.25">
      <c r="A6879" t="s">
        <v>7485</v>
      </c>
      <c r="B6879" s="9">
        <v>0</v>
      </c>
    </row>
    <row r="6880" spans="1:2" x14ac:dyDescent="0.25">
      <c r="A6880" t="s">
        <v>7486</v>
      </c>
      <c r="B6880" s="9">
        <v>0</v>
      </c>
    </row>
    <row r="6881" spans="1:2" x14ac:dyDescent="0.25">
      <c r="A6881" t="s">
        <v>7487</v>
      </c>
      <c r="B6881" s="9">
        <v>0</v>
      </c>
    </row>
    <row r="6882" spans="1:2" x14ac:dyDescent="0.25">
      <c r="A6882" t="s">
        <v>7488</v>
      </c>
      <c r="B6882" s="9">
        <v>0</v>
      </c>
    </row>
    <row r="6883" spans="1:2" x14ac:dyDescent="0.25">
      <c r="A6883" t="s">
        <v>7489</v>
      </c>
      <c r="B6883" s="9">
        <v>0</v>
      </c>
    </row>
    <row r="6884" spans="1:2" x14ac:dyDescent="0.25">
      <c r="A6884" t="s">
        <v>7490</v>
      </c>
      <c r="B6884" s="9">
        <v>0</v>
      </c>
    </row>
    <row r="6885" spans="1:2" x14ac:dyDescent="0.25">
      <c r="A6885" t="s">
        <v>7491</v>
      </c>
      <c r="B6885" s="9">
        <v>0</v>
      </c>
    </row>
    <row r="6886" spans="1:2" x14ac:dyDescent="0.25">
      <c r="A6886" t="s">
        <v>7492</v>
      </c>
      <c r="B6886" s="9">
        <v>0</v>
      </c>
    </row>
    <row r="6887" spans="1:2" x14ac:dyDescent="0.25">
      <c r="A6887" t="s">
        <v>7493</v>
      </c>
      <c r="B6887" s="9">
        <v>0</v>
      </c>
    </row>
    <row r="6888" spans="1:2" x14ac:dyDescent="0.25">
      <c r="A6888" t="s">
        <v>7494</v>
      </c>
      <c r="B6888" s="9">
        <v>0</v>
      </c>
    </row>
    <row r="6889" spans="1:2" x14ac:dyDescent="0.25">
      <c r="A6889" t="s">
        <v>7495</v>
      </c>
      <c r="B6889" s="9">
        <v>0</v>
      </c>
    </row>
    <row r="6890" spans="1:2" x14ac:dyDescent="0.25">
      <c r="A6890" t="s">
        <v>7496</v>
      </c>
      <c r="B6890" s="9">
        <v>0.1</v>
      </c>
    </row>
    <row r="6891" spans="1:2" x14ac:dyDescent="0.25">
      <c r="A6891" t="s">
        <v>7497</v>
      </c>
      <c r="B6891" s="9">
        <v>0</v>
      </c>
    </row>
    <row r="6892" spans="1:2" x14ac:dyDescent="0.25">
      <c r="A6892" t="s">
        <v>7498</v>
      </c>
      <c r="B6892" s="9">
        <v>0</v>
      </c>
    </row>
    <row r="6893" spans="1:2" x14ac:dyDescent="0.25">
      <c r="A6893" t="s">
        <v>7499</v>
      </c>
      <c r="B6893" s="9">
        <v>0</v>
      </c>
    </row>
    <row r="6894" spans="1:2" x14ac:dyDescent="0.25">
      <c r="A6894" t="s">
        <v>7500</v>
      </c>
      <c r="B6894" s="9">
        <v>0.1</v>
      </c>
    </row>
    <row r="6895" spans="1:2" x14ac:dyDescent="0.25">
      <c r="A6895" t="s">
        <v>7501</v>
      </c>
      <c r="B6895" s="9">
        <v>0.05</v>
      </c>
    </row>
    <row r="6896" spans="1:2" x14ac:dyDescent="0.25">
      <c r="A6896" t="s">
        <v>7502</v>
      </c>
      <c r="B6896" s="9">
        <v>0.05</v>
      </c>
    </row>
    <row r="6897" spans="1:2" x14ac:dyDescent="0.25">
      <c r="A6897" t="s">
        <v>7503</v>
      </c>
      <c r="B6897" s="9">
        <v>0</v>
      </c>
    </row>
    <row r="6898" spans="1:2" x14ac:dyDescent="0.25">
      <c r="A6898" t="s">
        <v>7504</v>
      </c>
      <c r="B6898" s="9">
        <v>0.1</v>
      </c>
    </row>
    <row r="6899" spans="1:2" x14ac:dyDescent="0.25">
      <c r="A6899" t="s">
        <v>7505</v>
      </c>
      <c r="B6899" s="9">
        <v>0</v>
      </c>
    </row>
    <row r="6900" spans="1:2" x14ac:dyDescent="0.25">
      <c r="A6900" t="s">
        <v>7506</v>
      </c>
      <c r="B6900" s="9">
        <v>0.05</v>
      </c>
    </row>
    <row r="6901" spans="1:2" x14ac:dyDescent="0.25">
      <c r="A6901" t="s">
        <v>7507</v>
      </c>
      <c r="B6901" s="9">
        <v>0.05</v>
      </c>
    </row>
    <row r="6902" spans="1:2" x14ac:dyDescent="0.25">
      <c r="A6902" t="s">
        <v>7508</v>
      </c>
      <c r="B6902" s="9">
        <v>0</v>
      </c>
    </row>
    <row r="6903" spans="1:2" x14ac:dyDescent="0.25">
      <c r="A6903" t="s">
        <v>7509</v>
      </c>
      <c r="B6903" s="9">
        <v>0</v>
      </c>
    </row>
    <row r="6904" spans="1:2" x14ac:dyDescent="0.25">
      <c r="A6904" t="s">
        <v>7510</v>
      </c>
      <c r="B6904" s="9">
        <v>0</v>
      </c>
    </row>
    <row r="6905" spans="1:2" x14ac:dyDescent="0.25">
      <c r="A6905" t="s">
        <v>7511</v>
      </c>
      <c r="B6905" s="9">
        <v>0</v>
      </c>
    </row>
    <row r="6906" spans="1:2" x14ac:dyDescent="0.25">
      <c r="A6906" t="s">
        <v>7512</v>
      </c>
      <c r="B6906" s="9">
        <v>0.05</v>
      </c>
    </row>
    <row r="6907" spans="1:2" x14ac:dyDescent="0.25">
      <c r="A6907" t="s">
        <v>7513</v>
      </c>
      <c r="B6907" s="9">
        <v>0.05</v>
      </c>
    </row>
    <row r="6908" spans="1:2" x14ac:dyDescent="0.25">
      <c r="A6908" t="s">
        <v>7514</v>
      </c>
      <c r="B6908" s="9">
        <v>0.05</v>
      </c>
    </row>
    <row r="6909" spans="1:2" x14ac:dyDescent="0.25">
      <c r="A6909" t="s">
        <v>7515</v>
      </c>
      <c r="B6909" s="9">
        <v>0.05</v>
      </c>
    </row>
    <row r="6910" spans="1:2" x14ac:dyDescent="0.25">
      <c r="A6910" t="s">
        <v>7516</v>
      </c>
      <c r="B6910" s="9">
        <v>0.1</v>
      </c>
    </row>
    <row r="6911" spans="1:2" x14ac:dyDescent="0.25">
      <c r="A6911" t="s">
        <v>7517</v>
      </c>
      <c r="B6911" s="9">
        <v>0</v>
      </c>
    </row>
    <row r="6912" spans="1:2" x14ac:dyDescent="0.25">
      <c r="A6912" t="s">
        <v>7518</v>
      </c>
      <c r="B6912" s="9">
        <v>0.1</v>
      </c>
    </row>
    <row r="6913" spans="1:3" x14ac:dyDescent="0.25">
      <c r="A6913" t="s">
        <v>7519</v>
      </c>
      <c r="B6913" s="9">
        <v>0.1</v>
      </c>
    </row>
    <row r="6914" spans="1:3" x14ac:dyDescent="0.25">
      <c r="A6914" t="s">
        <v>7520</v>
      </c>
      <c r="B6914" s="9">
        <v>0.1</v>
      </c>
    </row>
    <row r="6915" spans="1:3" x14ac:dyDescent="0.25">
      <c r="A6915" t="s">
        <v>7521</v>
      </c>
      <c r="B6915" s="9">
        <v>0.1</v>
      </c>
    </row>
    <row r="6916" spans="1:3" x14ac:dyDescent="0.25">
      <c r="A6916" t="s">
        <v>7522</v>
      </c>
      <c r="B6916" s="9">
        <v>0.1</v>
      </c>
    </row>
    <row r="6917" spans="1:3" x14ac:dyDescent="0.25">
      <c r="A6917" t="s">
        <v>7523</v>
      </c>
      <c r="B6917" s="9">
        <v>0.1</v>
      </c>
    </row>
    <row r="6918" spans="1:3" x14ac:dyDescent="0.25">
      <c r="A6918" t="s">
        <v>16</v>
      </c>
      <c r="B6918" s="9">
        <v>0.1</v>
      </c>
      <c r="C6918" t="s">
        <v>16</v>
      </c>
    </row>
    <row r="6919" spans="1:3" x14ac:dyDescent="0.25">
      <c r="A6919" t="s">
        <v>7524</v>
      </c>
      <c r="B6919" s="9">
        <v>0.15</v>
      </c>
    </row>
    <row r="6920" spans="1:3" x14ac:dyDescent="0.25">
      <c r="A6920" t="s">
        <v>17</v>
      </c>
      <c r="B6920" s="9">
        <v>0.15</v>
      </c>
      <c r="C6920" t="s">
        <v>17</v>
      </c>
    </row>
    <row r="6921" spans="1:3" x14ac:dyDescent="0.25">
      <c r="A6921" t="s">
        <v>18</v>
      </c>
      <c r="B6921" s="9">
        <v>0.15</v>
      </c>
      <c r="C6921" t="s">
        <v>18</v>
      </c>
    </row>
    <row r="6922" spans="1:3" x14ac:dyDescent="0.25">
      <c r="A6922" t="s">
        <v>19</v>
      </c>
      <c r="B6922" s="9">
        <v>0.15</v>
      </c>
      <c r="C6922" t="s">
        <v>19</v>
      </c>
    </row>
    <row r="6923" spans="1:3" x14ac:dyDescent="0.25">
      <c r="A6923" t="s">
        <v>20</v>
      </c>
      <c r="B6923" s="9">
        <v>0.1</v>
      </c>
      <c r="C6923" t="s">
        <v>20</v>
      </c>
    </row>
    <row r="6924" spans="1:3" x14ac:dyDescent="0.25">
      <c r="A6924" t="s">
        <v>7525</v>
      </c>
      <c r="B6924" s="9">
        <v>0</v>
      </c>
    </row>
    <row r="6925" spans="1:3" x14ac:dyDescent="0.25">
      <c r="A6925" t="s">
        <v>7526</v>
      </c>
      <c r="B6925" s="9">
        <v>0</v>
      </c>
    </row>
    <row r="6926" spans="1:3" x14ac:dyDescent="0.25">
      <c r="A6926" t="s">
        <v>7527</v>
      </c>
      <c r="B6926" s="9">
        <v>0.1</v>
      </c>
    </row>
    <row r="6927" spans="1:3" x14ac:dyDescent="0.25">
      <c r="A6927" t="s">
        <v>7528</v>
      </c>
      <c r="B6927" s="9">
        <v>0.1</v>
      </c>
    </row>
    <row r="6928" spans="1:3" x14ac:dyDescent="0.25">
      <c r="A6928" t="s">
        <v>7529</v>
      </c>
      <c r="B6928" s="9">
        <v>0.1</v>
      </c>
    </row>
    <row r="6929" spans="1:2" x14ac:dyDescent="0.25">
      <c r="A6929" t="s">
        <v>7530</v>
      </c>
      <c r="B6929" s="9">
        <v>0.1</v>
      </c>
    </row>
    <row r="6930" spans="1:2" x14ac:dyDescent="0.25">
      <c r="A6930" t="s">
        <v>7531</v>
      </c>
      <c r="B6930" s="9">
        <v>0.1</v>
      </c>
    </row>
    <row r="6931" spans="1:2" x14ac:dyDescent="0.25">
      <c r="A6931" t="s">
        <v>7532</v>
      </c>
      <c r="B6931" s="9">
        <v>0.1</v>
      </c>
    </row>
    <row r="6932" spans="1:2" x14ac:dyDescent="0.25">
      <c r="A6932" t="s">
        <v>7533</v>
      </c>
      <c r="B6932" s="9">
        <v>0.1</v>
      </c>
    </row>
    <row r="6933" spans="1:2" x14ac:dyDescent="0.25">
      <c r="A6933" t="s">
        <v>7534</v>
      </c>
      <c r="B6933" s="9">
        <v>0.1</v>
      </c>
    </row>
    <row r="6934" spans="1:2" x14ac:dyDescent="0.25">
      <c r="A6934" t="s">
        <v>7535</v>
      </c>
      <c r="B6934" s="9">
        <v>0.1</v>
      </c>
    </row>
    <row r="6935" spans="1:2" x14ac:dyDescent="0.25">
      <c r="A6935" t="s">
        <v>7536</v>
      </c>
      <c r="B6935" s="9">
        <v>0.1</v>
      </c>
    </row>
    <row r="6936" spans="1:2" x14ac:dyDescent="0.25">
      <c r="A6936" t="s">
        <v>7537</v>
      </c>
      <c r="B6936" s="9">
        <v>0.1</v>
      </c>
    </row>
    <row r="6937" spans="1:2" x14ac:dyDescent="0.25">
      <c r="A6937" t="s">
        <v>7538</v>
      </c>
      <c r="B6937" s="9">
        <v>0.1</v>
      </c>
    </row>
    <row r="6938" spans="1:2" x14ac:dyDescent="0.25">
      <c r="A6938" t="s">
        <v>7539</v>
      </c>
      <c r="B6938" s="9">
        <v>0.08</v>
      </c>
    </row>
    <row r="6939" spans="1:2" x14ac:dyDescent="0.25">
      <c r="A6939" t="s">
        <v>7540</v>
      </c>
      <c r="B6939" s="9">
        <v>0.08</v>
      </c>
    </row>
    <row r="6940" spans="1:2" x14ac:dyDescent="0.25">
      <c r="A6940" t="s">
        <v>7541</v>
      </c>
      <c r="B6940" s="9">
        <v>0.08</v>
      </c>
    </row>
    <row r="6941" spans="1:2" x14ac:dyDescent="0.25">
      <c r="A6941" t="s">
        <v>7542</v>
      </c>
      <c r="B6941" s="9">
        <v>0.08</v>
      </c>
    </row>
    <row r="6942" spans="1:2" x14ac:dyDescent="0.25">
      <c r="A6942" t="s">
        <v>7543</v>
      </c>
      <c r="B6942" s="9">
        <v>0.08</v>
      </c>
    </row>
    <row r="6943" spans="1:2" x14ac:dyDescent="0.25">
      <c r="A6943" t="s">
        <v>7544</v>
      </c>
      <c r="B6943" s="9">
        <v>0.08</v>
      </c>
    </row>
    <row r="6944" spans="1:2" x14ac:dyDescent="0.25">
      <c r="A6944" t="s">
        <v>7545</v>
      </c>
      <c r="B6944" s="9">
        <v>0.08</v>
      </c>
    </row>
    <row r="6945" spans="1:2" x14ac:dyDescent="0.25">
      <c r="A6945" t="s">
        <v>7546</v>
      </c>
      <c r="B6945" s="9">
        <v>0.08</v>
      </c>
    </row>
    <row r="6946" spans="1:2" x14ac:dyDescent="0.25">
      <c r="A6946" t="s">
        <v>7547</v>
      </c>
      <c r="B6946" s="9">
        <v>0.08</v>
      </c>
    </row>
    <row r="6947" spans="1:2" x14ac:dyDescent="0.25">
      <c r="A6947" t="s">
        <v>7548</v>
      </c>
      <c r="B6947" s="9">
        <v>0.08</v>
      </c>
    </row>
    <row r="6948" spans="1:2" x14ac:dyDescent="0.25">
      <c r="A6948" t="s">
        <v>7549</v>
      </c>
      <c r="B6948" s="9">
        <v>0.08</v>
      </c>
    </row>
    <row r="6949" spans="1:2" x14ac:dyDescent="0.25">
      <c r="A6949" t="s">
        <v>7550</v>
      </c>
      <c r="B6949" s="9">
        <v>0.08</v>
      </c>
    </row>
    <row r="6950" spans="1:2" x14ac:dyDescent="0.25">
      <c r="A6950" t="s">
        <v>7551</v>
      </c>
      <c r="B6950" s="9">
        <v>0.08</v>
      </c>
    </row>
    <row r="6951" spans="1:2" x14ac:dyDescent="0.25">
      <c r="A6951" t="s">
        <v>7552</v>
      </c>
      <c r="B6951" s="9">
        <v>0.08</v>
      </c>
    </row>
    <row r="6952" spans="1:2" x14ac:dyDescent="0.25">
      <c r="A6952" t="s">
        <v>7553</v>
      </c>
      <c r="B6952" s="9">
        <v>0.08</v>
      </c>
    </row>
    <row r="6953" spans="1:2" x14ac:dyDescent="0.25">
      <c r="A6953" t="s">
        <v>7554</v>
      </c>
      <c r="B6953" s="9">
        <v>0.08</v>
      </c>
    </row>
    <row r="6954" spans="1:2" x14ac:dyDescent="0.25">
      <c r="A6954" t="s">
        <v>7555</v>
      </c>
      <c r="B6954" s="9">
        <v>0.08</v>
      </c>
    </row>
    <row r="6955" spans="1:2" x14ac:dyDescent="0.25">
      <c r="A6955" t="s">
        <v>7556</v>
      </c>
      <c r="B6955" s="9">
        <v>0.08</v>
      </c>
    </row>
    <row r="6956" spans="1:2" x14ac:dyDescent="0.25">
      <c r="A6956" t="s">
        <v>7557</v>
      </c>
      <c r="B6956" s="9">
        <v>0.08</v>
      </c>
    </row>
    <row r="6957" spans="1:2" x14ac:dyDescent="0.25">
      <c r="A6957" t="s">
        <v>7558</v>
      </c>
      <c r="B6957" s="9">
        <v>0.08</v>
      </c>
    </row>
    <row r="6958" spans="1:2" x14ac:dyDescent="0.25">
      <c r="A6958" t="s">
        <v>7559</v>
      </c>
      <c r="B6958" s="9">
        <v>0.08</v>
      </c>
    </row>
    <row r="6959" spans="1:2" x14ac:dyDescent="0.25">
      <c r="A6959" t="s">
        <v>7560</v>
      </c>
      <c r="B6959" s="9">
        <v>0.08</v>
      </c>
    </row>
    <row r="6960" spans="1:2" x14ac:dyDescent="0.25">
      <c r="A6960" t="s">
        <v>7561</v>
      </c>
      <c r="B6960" s="9">
        <v>0.08</v>
      </c>
    </row>
    <row r="6961" spans="1:2" x14ac:dyDescent="0.25">
      <c r="A6961" t="s">
        <v>7562</v>
      </c>
      <c r="B6961" s="9">
        <v>0.08</v>
      </c>
    </row>
    <row r="6962" spans="1:2" x14ac:dyDescent="0.25">
      <c r="A6962" t="s">
        <v>7563</v>
      </c>
      <c r="B6962" s="9">
        <v>0.08</v>
      </c>
    </row>
    <row r="6963" spans="1:2" x14ac:dyDescent="0.25">
      <c r="A6963" t="s">
        <v>7564</v>
      </c>
      <c r="B6963" s="9">
        <v>0.08</v>
      </c>
    </row>
    <row r="6964" spans="1:2" x14ac:dyDescent="0.25">
      <c r="A6964" t="s">
        <v>7565</v>
      </c>
      <c r="B6964" s="9">
        <v>0.08</v>
      </c>
    </row>
    <row r="6965" spans="1:2" x14ac:dyDescent="0.25">
      <c r="A6965" t="s">
        <v>7566</v>
      </c>
      <c r="B6965" s="9">
        <v>0.08</v>
      </c>
    </row>
    <row r="6966" spans="1:2" x14ac:dyDescent="0.25">
      <c r="A6966" t="s">
        <v>7567</v>
      </c>
      <c r="B6966" s="9">
        <v>0.08</v>
      </c>
    </row>
    <row r="6967" spans="1:2" x14ac:dyDescent="0.25">
      <c r="A6967" t="s">
        <v>7568</v>
      </c>
      <c r="B6967" s="9">
        <v>0.08</v>
      </c>
    </row>
    <row r="6968" spans="1:2" x14ac:dyDescent="0.25">
      <c r="A6968" t="s">
        <v>7569</v>
      </c>
      <c r="B6968" s="9">
        <v>0.08</v>
      </c>
    </row>
    <row r="6969" spans="1:2" x14ac:dyDescent="0.25">
      <c r="A6969" t="s">
        <v>7570</v>
      </c>
      <c r="B6969" s="9">
        <v>0.08</v>
      </c>
    </row>
    <row r="6970" spans="1:2" x14ac:dyDescent="0.25">
      <c r="A6970" t="s">
        <v>7571</v>
      </c>
      <c r="B6970" s="9">
        <v>0</v>
      </c>
    </row>
    <row r="6971" spans="1:2" x14ac:dyDescent="0.25">
      <c r="A6971" t="s">
        <v>7572</v>
      </c>
      <c r="B6971" s="9">
        <v>0</v>
      </c>
    </row>
    <row r="6972" spans="1:2" x14ac:dyDescent="0.25">
      <c r="A6972" t="s">
        <v>7573</v>
      </c>
      <c r="B6972" s="9">
        <v>0</v>
      </c>
    </row>
    <row r="6973" spans="1:2" x14ac:dyDescent="0.25">
      <c r="A6973" t="s">
        <v>7574</v>
      </c>
      <c r="B6973" s="9">
        <v>0</v>
      </c>
    </row>
    <row r="6974" spans="1:2" x14ac:dyDescent="0.25">
      <c r="A6974" t="s">
        <v>7575</v>
      </c>
      <c r="B6974" s="9">
        <v>0</v>
      </c>
    </row>
    <row r="6975" spans="1:2" x14ac:dyDescent="0.25">
      <c r="A6975" t="s">
        <v>7576</v>
      </c>
      <c r="B6975" s="9">
        <v>0</v>
      </c>
    </row>
    <row r="6976" spans="1:2" x14ac:dyDescent="0.25">
      <c r="A6976" t="s">
        <v>7577</v>
      </c>
      <c r="B6976" s="9">
        <v>0</v>
      </c>
    </row>
    <row r="6977" spans="1:2" x14ac:dyDescent="0.25">
      <c r="A6977" t="s">
        <v>7578</v>
      </c>
      <c r="B6977" s="9">
        <v>0</v>
      </c>
    </row>
    <row r="6978" spans="1:2" x14ac:dyDescent="0.25">
      <c r="A6978" t="s">
        <v>7579</v>
      </c>
      <c r="B6978" s="9">
        <v>0</v>
      </c>
    </row>
    <row r="6979" spans="1:2" x14ac:dyDescent="0.25">
      <c r="A6979" t="s">
        <v>7580</v>
      </c>
      <c r="B6979" s="9">
        <v>0</v>
      </c>
    </row>
    <row r="6980" spans="1:2" x14ac:dyDescent="0.25">
      <c r="A6980" t="s">
        <v>7581</v>
      </c>
      <c r="B6980" s="9">
        <v>0.1</v>
      </c>
    </row>
    <row r="6981" spans="1:2" x14ac:dyDescent="0.25">
      <c r="A6981" t="s">
        <v>7582</v>
      </c>
      <c r="B6981" s="9">
        <v>0.1</v>
      </c>
    </row>
    <row r="6982" spans="1:2" x14ac:dyDescent="0.25">
      <c r="A6982" t="s">
        <v>7583</v>
      </c>
      <c r="B6982" s="9">
        <v>0.1</v>
      </c>
    </row>
    <row r="6983" spans="1:2" x14ac:dyDescent="0.25">
      <c r="A6983" t="s">
        <v>7584</v>
      </c>
      <c r="B6983" s="9">
        <v>0.1</v>
      </c>
    </row>
    <row r="6984" spans="1:2" x14ac:dyDescent="0.25">
      <c r="A6984" t="s">
        <v>7585</v>
      </c>
      <c r="B6984" s="9">
        <v>0.1</v>
      </c>
    </row>
    <row r="6985" spans="1:2" x14ac:dyDescent="0.25">
      <c r="A6985" t="s">
        <v>7586</v>
      </c>
      <c r="B6985" s="9">
        <v>0.1</v>
      </c>
    </row>
    <row r="6986" spans="1:2" x14ac:dyDescent="0.25">
      <c r="A6986" t="s">
        <v>7587</v>
      </c>
      <c r="B6986" s="9">
        <v>0.1</v>
      </c>
    </row>
    <row r="6987" spans="1:2" x14ac:dyDescent="0.25">
      <c r="A6987" t="s">
        <v>7588</v>
      </c>
      <c r="B6987" s="9">
        <v>0.1</v>
      </c>
    </row>
    <row r="6988" spans="1:2" x14ac:dyDescent="0.25">
      <c r="A6988" t="s">
        <v>7589</v>
      </c>
      <c r="B6988" s="9">
        <v>0.1</v>
      </c>
    </row>
    <row r="6989" spans="1:2" x14ac:dyDescent="0.25">
      <c r="A6989" t="s">
        <v>7590</v>
      </c>
      <c r="B6989" s="9">
        <v>0.1</v>
      </c>
    </row>
    <row r="6990" spans="1:2" x14ac:dyDescent="0.25">
      <c r="A6990" t="s">
        <v>7591</v>
      </c>
      <c r="B6990" s="9">
        <v>0</v>
      </c>
    </row>
    <row r="6991" spans="1:2" x14ac:dyDescent="0.25">
      <c r="A6991" t="s">
        <v>7592</v>
      </c>
      <c r="B6991" s="9">
        <v>0</v>
      </c>
    </row>
    <row r="6992" spans="1:2" x14ac:dyDescent="0.25">
      <c r="A6992" t="s">
        <v>7593</v>
      </c>
      <c r="B6992" s="9">
        <v>0.15</v>
      </c>
    </row>
    <row r="6993" spans="1:2" x14ac:dyDescent="0.25">
      <c r="A6993" t="s">
        <v>7594</v>
      </c>
      <c r="B6993" s="9">
        <v>0.15</v>
      </c>
    </row>
    <row r="6994" spans="1:2" x14ac:dyDescent="0.25">
      <c r="A6994" t="s">
        <v>7595</v>
      </c>
      <c r="B6994" s="9">
        <v>0.15</v>
      </c>
    </row>
    <row r="6995" spans="1:2" x14ac:dyDescent="0.25">
      <c r="A6995" t="s">
        <v>7596</v>
      </c>
      <c r="B6995" s="9">
        <v>0.1</v>
      </c>
    </row>
    <row r="6996" spans="1:2" x14ac:dyDescent="0.25">
      <c r="A6996" t="s">
        <v>7597</v>
      </c>
      <c r="B6996" s="9">
        <v>0.2</v>
      </c>
    </row>
    <row r="6997" spans="1:2" x14ac:dyDescent="0.25">
      <c r="A6997" t="s">
        <v>7598</v>
      </c>
      <c r="B6997" s="9">
        <v>0.2</v>
      </c>
    </row>
    <row r="6998" spans="1:2" x14ac:dyDescent="0.25">
      <c r="A6998" t="s">
        <v>7599</v>
      </c>
      <c r="B6998" s="9">
        <v>0.1</v>
      </c>
    </row>
    <row r="6999" spans="1:2" x14ac:dyDescent="0.25">
      <c r="A6999" t="s">
        <v>7600</v>
      </c>
      <c r="B6999" s="9">
        <v>0.1</v>
      </c>
    </row>
    <row r="7000" spans="1:2" x14ac:dyDescent="0.25">
      <c r="A7000" t="s">
        <v>7601</v>
      </c>
      <c r="B7000" s="9">
        <v>0.1</v>
      </c>
    </row>
    <row r="7001" spans="1:2" x14ac:dyDescent="0.25">
      <c r="A7001" t="s">
        <v>7602</v>
      </c>
      <c r="B7001" s="9">
        <v>0</v>
      </c>
    </row>
    <row r="7002" spans="1:2" x14ac:dyDescent="0.25">
      <c r="A7002" t="s">
        <v>7603</v>
      </c>
      <c r="B7002" s="9">
        <v>0</v>
      </c>
    </row>
    <row r="7003" spans="1:2" x14ac:dyDescent="0.25">
      <c r="A7003" t="s">
        <v>7604</v>
      </c>
      <c r="B7003" s="9">
        <v>0.1</v>
      </c>
    </row>
    <row r="7004" spans="1:2" x14ac:dyDescent="0.25">
      <c r="A7004" t="s">
        <v>7605</v>
      </c>
      <c r="B7004" s="9">
        <v>0</v>
      </c>
    </row>
    <row r="7005" spans="1:2" x14ac:dyDescent="0.25">
      <c r="A7005" t="s">
        <v>7606</v>
      </c>
      <c r="B7005" s="9">
        <v>0.1</v>
      </c>
    </row>
    <row r="7006" spans="1:2" x14ac:dyDescent="0.25">
      <c r="A7006" t="s">
        <v>7607</v>
      </c>
      <c r="B7006" s="9">
        <v>0</v>
      </c>
    </row>
    <row r="7007" spans="1:2" x14ac:dyDescent="0.25">
      <c r="A7007" t="s">
        <v>7608</v>
      </c>
      <c r="B7007" s="9">
        <v>0.1</v>
      </c>
    </row>
    <row r="7008" spans="1:2" x14ac:dyDescent="0.25">
      <c r="A7008" t="s">
        <v>7609</v>
      </c>
      <c r="B7008" s="9">
        <v>0</v>
      </c>
    </row>
    <row r="7009" spans="1:2" x14ac:dyDescent="0.25">
      <c r="A7009" t="s">
        <v>7610</v>
      </c>
      <c r="B7009" s="9">
        <v>0.1</v>
      </c>
    </row>
    <row r="7010" spans="1:2" x14ac:dyDescent="0.25">
      <c r="A7010" t="s">
        <v>7611</v>
      </c>
      <c r="B7010" s="9">
        <v>0</v>
      </c>
    </row>
    <row r="7011" spans="1:2" x14ac:dyDescent="0.25">
      <c r="A7011" t="s">
        <v>7612</v>
      </c>
      <c r="B7011" s="9">
        <v>0.1</v>
      </c>
    </row>
    <row r="7012" spans="1:2" x14ac:dyDescent="0.25">
      <c r="A7012" t="s">
        <v>7613</v>
      </c>
      <c r="B7012" s="9">
        <v>0</v>
      </c>
    </row>
    <row r="7013" spans="1:2" x14ac:dyDescent="0.25">
      <c r="A7013" t="s">
        <v>7614</v>
      </c>
      <c r="B7013" s="9">
        <v>0.05</v>
      </c>
    </row>
    <row r="7014" spans="1:2" x14ac:dyDescent="0.25">
      <c r="A7014" t="s">
        <v>7615</v>
      </c>
      <c r="B7014" s="9">
        <v>0</v>
      </c>
    </row>
    <row r="7015" spans="1:2" x14ac:dyDescent="0.25">
      <c r="A7015" t="s">
        <v>7616</v>
      </c>
      <c r="B7015" s="9">
        <v>0.05</v>
      </c>
    </row>
    <row r="7016" spans="1:2" x14ac:dyDescent="0.25">
      <c r="A7016" t="s">
        <v>7617</v>
      </c>
      <c r="B7016" s="9">
        <v>0</v>
      </c>
    </row>
    <row r="7017" spans="1:2" x14ac:dyDescent="0.25">
      <c r="A7017" t="s">
        <v>7618</v>
      </c>
      <c r="B7017" s="9">
        <v>0.1</v>
      </c>
    </row>
    <row r="7018" spans="1:2" x14ac:dyDescent="0.25">
      <c r="A7018" t="s">
        <v>7619</v>
      </c>
      <c r="B7018" s="9">
        <v>0.1</v>
      </c>
    </row>
    <row r="7019" spans="1:2" x14ac:dyDescent="0.25">
      <c r="A7019" t="s">
        <v>7620</v>
      </c>
      <c r="B7019" s="9">
        <v>0.1</v>
      </c>
    </row>
    <row r="7020" spans="1:2" x14ac:dyDescent="0.25">
      <c r="A7020" t="s">
        <v>7621</v>
      </c>
      <c r="B7020" s="9">
        <v>0</v>
      </c>
    </row>
    <row r="7021" spans="1:2" x14ac:dyDescent="0.25">
      <c r="A7021" t="s">
        <v>7622</v>
      </c>
      <c r="B7021" s="9">
        <v>0.1</v>
      </c>
    </row>
    <row r="7022" spans="1:2" x14ac:dyDescent="0.25">
      <c r="A7022" t="s">
        <v>7623</v>
      </c>
      <c r="B7022" s="9">
        <v>0</v>
      </c>
    </row>
    <row r="7023" spans="1:2" x14ac:dyDescent="0.25">
      <c r="A7023" t="s">
        <v>7624</v>
      </c>
      <c r="B7023" s="9">
        <v>0.1</v>
      </c>
    </row>
    <row r="7024" spans="1:2" x14ac:dyDescent="0.25">
      <c r="A7024" t="s">
        <v>7625</v>
      </c>
      <c r="B7024" s="9">
        <v>0</v>
      </c>
    </row>
    <row r="7025" spans="1:3" x14ac:dyDescent="0.25">
      <c r="A7025" t="s">
        <v>7626</v>
      </c>
      <c r="B7025" s="9">
        <v>0.05</v>
      </c>
    </row>
    <row r="7026" spans="1:3" x14ac:dyDescent="0.25">
      <c r="A7026" t="s">
        <v>7627</v>
      </c>
      <c r="B7026" s="9">
        <v>0</v>
      </c>
    </row>
    <row r="7027" spans="1:3" x14ac:dyDescent="0.25">
      <c r="A7027" t="s">
        <v>7628</v>
      </c>
      <c r="B7027" s="9">
        <v>0.05</v>
      </c>
    </row>
    <row r="7028" spans="1:3" x14ac:dyDescent="0.25">
      <c r="A7028" t="s">
        <v>7629</v>
      </c>
      <c r="B7028" s="9">
        <v>0</v>
      </c>
    </row>
    <row r="7029" spans="1:3" x14ac:dyDescent="0.25">
      <c r="A7029" t="s">
        <v>7630</v>
      </c>
      <c r="B7029" s="9">
        <v>0.1</v>
      </c>
    </row>
    <row r="7030" spans="1:3" x14ac:dyDescent="0.25">
      <c r="A7030" t="s">
        <v>7631</v>
      </c>
      <c r="B7030" s="9">
        <v>0.1</v>
      </c>
    </row>
    <row r="7031" spans="1:3" x14ac:dyDescent="0.25">
      <c r="A7031" t="s">
        <v>7632</v>
      </c>
      <c r="B7031" s="9">
        <v>0</v>
      </c>
    </row>
    <row r="7032" spans="1:3" x14ac:dyDescent="0.25">
      <c r="A7032" t="s">
        <v>21</v>
      </c>
      <c r="B7032" s="9">
        <v>0.1</v>
      </c>
      <c r="C7032" t="s">
        <v>21</v>
      </c>
    </row>
    <row r="7033" spans="1:3" x14ac:dyDescent="0.25">
      <c r="A7033" t="s">
        <v>7633</v>
      </c>
      <c r="B7033" s="9">
        <v>0.03</v>
      </c>
    </row>
    <row r="7034" spans="1:3" x14ac:dyDescent="0.25">
      <c r="A7034" t="s">
        <v>7634</v>
      </c>
      <c r="B7034" s="9">
        <v>0.1</v>
      </c>
    </row>
    <row r="7035" spans="1:3" x14ac:dyDescent="0.25">
      <c r="A7035" t="s">
        <v>22</v>
      </c>
      <c r="B7035" s="9">
        <v>0.15</v>
      </c>
      <c r="C7035" t="s">
        <v>22</v>
      </c>
    </row>
    <row r="7036" spans="1:3" x14ac:dyDescent="0.25">
      <c r="A7036" t="s">
        <v>7635</v>
      </c>
      <c r="B7036" s="9">
        <v>0.03</v>
      </c>
    </row>
    <row r="7037" spans="1:3" x14ac:dyDescent="0.25">
      <c r="A7037" t="s">
        <v>7636</v>
      </c>
      <c r="B7037" s="9">
        <v>0.1</v>
      </c>
    </row>
    <row r="7038" spans="1:3" x14ac:dyDescent="0.25">
      <c r="A7038" t="s">
        <v>7637</v>
      </c>
      <c r="B7038" s="9">
        <v>0.1</v>
      </c>
    </row>
    <row r="7039" spans="1:3" x14ac:dyDescent="0.25">
      <c r="A7039" t="s">
        <v>23</v>
      </c>
      <c r="B7039" s="9">
        <v>0.15</v>
      </c>
      <c r="C7039" t="s">
        <v>23</v>
      </c>
    </row>
    <row r="7040" spans="1:3" x14ac:dyDescent="0.25">
      <c r="A7040" t="s">
        <v>24</v>
      </c>
      <c r="B7040" s="9">
        <v>0.03</v>
      </c>
      <c r="C7040" t="s">
        <v>24</v>
      </c>
    </row>
    <row r="7041" spans="1:2" x14ac:dyDescent="0.25">
      <c r="A7041" t="s">
        <v>7638</v>
      </c>
      <c r="B7041" s="9">
        <v>0.15</v>
      </c>
    </row>
    <row r="7042" spans="1:2" x14ac:dyDescent="0.25">
      <c r="A7042" t="s">
        <v>7639</v>
      </c>
      <c r="B7042" s="9">
        <v>0.15</v>
      </c>
    </row>
    <row r="7043" spans="1:2" x14ac:dyDescent="0.25">
      <c r="A7043" t="s">
        <v>7640</v>
      </c>
      <c r="B7043" s="9">
        <v>0</v>
      </c>
    </row>
    <row r="7044" spans="1:2" x14ac:dyDescent="0.25">
      <c r="A7044" t="s">
        <v>7641</v>
      </c>
      <c r="B7044" s="9">
        <v>0.15</v>
      </c>
    </row>
    <row r="7045" spans="1:2" x14ac:dyDescent="0.25">
      <c r="A7045" t="s">
        <v>7642</v>
      </c>
      <c r="B7045" s="9">
        <v>0.15</v>
      </c>
    </row>
    <row r="7046" spans="1:2" x14ac:dyDescent="0.25">
      <c r="A7046" t="s">
        <v>7643</v>
      </c>
      <c r="B7046" s="9">
        <v>0.15</v>
      </c>
    </row>
    <row r="7047" spans="1:2" x14ac:dyDescent="0.25">
      <c r="A7047" t="s">
        <v>7644</v>
      </c>
      <c r="B7047" s="9">
        <v>0.15</v>
      </c>
    </row>
    <row r="7048" spans="1:2" x14ac:dyDescent="0.25">
      <c r="A7048" t="s">
        <v>7645</v>
      </c>
      <c r="B7048" s="9">
        <v>0.15</v>
      </c>
    </row>
    <row r="7049" spans="1:2" x14ac:dyDescent="0.25">
      <c r="A7049" t="s">
        <v>7646</v>
      </c>
      <c r="B7049" s="9">
        <v>0.15</v>
      </c>
    </row>
    <row r="7050" spans="1:2" x14ac:dyDescent="0.25">
      <c r="A7050" t="s">
        <v>7647</v>
      </c>
      <c r="B7050" s="9">
        <v>0.1</v>
      </c>
    </row>
    <row r="7051" spans="1:2" x14ac:dyDescent="0.25">
      <c r="A7051" t="s">
        <v>7648</v>
      </c>
      <c r="B7051" s="9">
        <v>0.1</v>
      </c>
    </row>
    <row r="7052" spans="1:2" x14ac:dyDescent="0.25">
      <c r="A7052" t="s">
        <v>7649</v>
      </c>
      <c r="B7052" s="9">
        <v>0.1</v>
      </c>
    </row>
    <row r="7053" spans="1:2" x14ac:dyDescent="0.25">
      <c r="A7053" t="s">
        <v>7650</v>
      </c>
      <c r="B7053" s="9">
        <v>0.1</v>
      </c>
    </row>
    <row r="7054" spans="1:2" x14ac:dyDescent="0.25">
      <c r="A7054" t="s">
        <v>7651</v>
      </c>
      <c r="B7054" s="9">
        <v>0.1</v>
      </c>
    </row>
    <row r="7055" spans="1:2" x14ac:dyDescent="0.25">
      <c r="A7055" t="s">
        <v>7652</v>
      </c>
      <c r="B7055" s="9">
        <v>0.1</v>
      </c>
    </row>
    <row r="7056" spans="1:2" x14ac:dyDescent="0.25">
      <c r="A7056" t="s">
        <v>7653</v>
      </c>
      <c r="B7056" s="9">
        <v>0.1</v>
      </c>
    </row>
    <row r="7057" spans="1:2" x14ac:dyDescent="0.25">
      <c r="A7057" t="s">
        <v>7654</v>
      </c>
      <c r="B7057" s="9">
        <v>0.15</v>
      </c>
    </row>
    <row r="7058" spans="1:2" x14ac:dyDescent="0.25">
      <c r="A7058" t="s">
        <v>7655</v>
      </c>
      <c r="B7058" s="9">
        <v>0.15</v>
      </c>
    </row>
    <row r="7059" spans="1:2" x14ac:dyDescent="0.25">
      <c r="A7059" t="s">
        <v>7656</v>
      </c>
      <c r="B7059" s="9">
        <v>0.15</v>
      </c>
    </row>
    <row r="7060" spans="1:2" x14ac:dyDescent="0.25">
      <c r="A7060" t="s">
        <v>7657</v>
      </c>
      <c r="B7060" s="9">
        <v>0.15</v>
      </c>
    </row>
    <row r="7061" spans="1:2" x14ac:dyDescent="0.25">
      <c r="A7061" t="s">
        <v>7658</v>
      </c>
      <c r="B7061" s="9">
        <v>0.1</v>
      </c>
    </row>
    <row r="7062" spans="1:2" x14ac:dyDescent="0.25">
      <c r="A7062" t="s">
        <v>7659</v>
      </c>
      <c r="B7062" s="9">
        <v>0.1</v>
      </c>
    </row>
    <row r="7063" spans="1:2" x14ac:dyDescent="0.25">
      <c r="A7063" t="s">
        <v>7660</v>
      </c>
      <c r="B7063" s="9">
        <v>0.1</v>
      </c>
    </row>
    <row r="7064" spans="1:2" x14ac:dyDescent="0.25">
      <c r="A7064" t="s">
        <v>7661</v>
      </c>
      <c r="B7064" s="9">
        <v>0.15</v>
      </c>
    </row>
    <row r="7065" spans="1:2" x14ac:dyDescent="0.25">
      <c r="A7065" t="s">
        <v>7662</v>
      </c>
      <c r="B7065" s="9">
        <v>0.1</v>
      </c>
    </row>
    <row r="7066" spans="1:2" x14ac:dyDescent="0.25">
      <c r="A7066" t="s">
        <v>7663</v>
      </c>
      <c r="B7066" s="9">
        <v>0.15</v>
      </c>
    </row>
    <row r="7067" spans="1:2" x14ac:dyDescent="0.25">
      <c r="A7067" t="s">
        <v>7664</v>
      </c>
      <c r="B7067" s="9">
        <v>0.15</v>
      </c>
    </row>
    <row r="7068" spans="1:2" x14ac:dyDescent="0.25">
      <c r="A7068" t="s">
        <v>7665</v>
      </c>
      <c r="B7068" s="9">
        <v>0.15</v>
      </c>
    </row>
    <row r="7069" spans="1:2" x14ac:dyDescent="0.25">
      <c r="A7069" t="s">
        <v>7666</v>
      </c>
      <c r="B7069" s="9">
        <v>0.15</v>
      </c>
    </row>
    <row r="7070" spans="1:2" x14ac:dyDescent="0.25">
      <c r="A7070" t="s">
        <v>7667</v>
      </c>
      <c r="B7070" s="9">
        <v>0.15</v>
      </c>
    </row>
    <row r="7071" spans="1:2" x14ac:dyDescent="0.25">
      <c r="A7071" t="s">
        <v>7668</v>
      </c>
      <c r="B7071" s="9">
        <v>0</v>
      </c>
    </row>
    <row r="7072" spans="1:2" x14ac:dyDescent="0.25">
      <c r="A7072" t="s">
        <v>7669</v>
      </c>
      <c r="B7072" s="9">
        <v>0</v>
      </c>
    </row>
    <row r="7073" spans="1:2" x14ac:dyDescent="0.25">
      <c r="A7073" t="s">
        <v>7670</v>
      </c>
      <c r="B7073" s="9">
        <v>0</v>
      </c>
    </row>
    <row r="7074" spans="1:2" x14ac:dyDescent="0.25">
      <c r="A7074" t="s">
        <v>7671</v>
      </c>
      <c r="B7074" s="9">
        <v>0</v>
      </c>
    </row>
    <row r="7075" spans="1:2" x14ac:dyDescent="0.25">
      <c r="A7075" t="s">
        <v>7672</v>
      </c>
      <c r="B7075" s="9">
        <v>0.15</v>
      </c>
    </row>
    <row r="7076" spans="1:2" x14ac:dyDescent="0.25">
      <c r="A7076" t="s">
        <v>7673</v>
      </c>
      <c r="B7076" s="9">
        <v>0.15</v>
      </c>
    </row>
    <row r="7077" spans="1:2" x14ac:dyDescent="0.25">
      <c r="A7077" t="s">
        <v>7674</v>
      </c>
      <c r="B7077" s="9">
        <v>0.15</v>
      </c>
    </row>
    <row r="7078" spans="1:2" x14ac:dyDescent="0.25">
      <c r="A7078" t="s">
        <v>7675</v>
      </c>
      <c r="B7078" s="9">
        <v>0.15</v>
      </c>
    </row>
    <row r="7079" spans="1:2" x14ac:dyDescent="0.25">
      <c r="A7079" t="s">
        <v>7676</v>
      </c>
      <c r="B7079" s="9">
        <v>0.15</v>
      </c>
    </row>
    <row r="7080" spans="1:2" x14ac:dyDescent="0.25">
      <c r="A7080" t="s">
        <v>7677</v>
      </c>
      <c r="B7080" s="9">
        <v>0.15</v>
      </c>
    </row>
    <row r="7081" spans="1:2" x14ac:dyDescent="0.25">
      <c r="A7081" t="s">
        <v>7678</v>
      </c>
      <c r="B7081" s="9">
        <v>0</v>
      </c>
    </row>
    <row r="7082" spans="1:2" x14ac:dyDescent="0.25">
      <c r="A7082" t="s">
        <v>7679</v>
      </c>
      <c r="B7082" s="9">
        <v>0</v>
      </c>
    </row>
    <row r="7083" spans="1:2" x14ac:dyDescent="0.25">
      <c r="A7083" t="s">
        <v>7680</v>
      </c>
      <c r="B7083" s="9">
        <v>0</v>
      </c>
    </row>
    <row r="7084" spans="1:2" x14ac:dyDescent="0.25">
      <c r="A7084" t="s">
        <v>7681</v>
      </c>
      <c r="B7084" s="9">
        <v>0.2</v>
      </c>
    </row>
    <row r="7085" spans="1:2" x14ac:dyDescent="0.25">
      <c r="A7085" t="s">
        <v>7682</v>
      </c>
      <c r="B7085" s="9">
        <v>0.2</v>
      </c>
    </row>
    <row r="7086" spans="1:2" x14ac:dyDescent="0.25">
      <c r="A7086" t="s">
        <v>7683</v>
      </c>
      <c r="B7086" s="9">
        <v>0.2</v>
      </c>
    </row>
    <row r="7087" spans="1:2" x14ac:dyDescent="0.25">
      <c r="A7087" t="s">
        <v>7684</v>
      </c>
      <c r="B7087" s="9">
        <v>0.2</v>
      </c>
    </row>
    <row r="7088" spans="1:2" x14ac:dyDescent="0.25">
      <c r="A7088" t="s">
        <v>7685</v>
      </c>
      <c r="B7088" s="9">
        <v>0.2</v>
      </c>
    </row>
    <row r="7089" spans="1:2" x14ac:dyDescent="0.25">
      <c r="A7089" t="s">
        <v>7686</v>
      </c>
      <c r="B7089" s="9">
        <v>0.1</v>
      </c>
    </row>
    <row r="7090" spans="1:2" x14ac:dyDescent="0.25">
      <c r="A7090" t="s">
        <v>7687</v>
      </c>
      <c r="B7090" s="9">
        <v>0.1</v>
      </c>
    </row>
    <row r="7091" spans="1:2" x14ac:dyDescent="0.25">
      <c r="A7091" t="s">
        <v>7688</v>
      </c>
      <c r="B7091" s="9">
        <v>0.1</v>
      </c>
    </row>
    <row r="7092" spans="1:2" x14ac:dyDescent="0.25">
      <c r="A7092" t="s">
        <v>7689</v>
      </c>
      <c r="B7092" s="9">
        <v>0.1</v>
      </c>
    </row>
    <row r="7093" spans="1:2" x14ac:dyDescent="0.25">
      <c r="A7093" t="s">
        <v>7690</v>
      </c>
      <c r="B7093" s="9">
        <v>0.1</v>
      </c>
    </row>
    <row r="7094" spans="1:2" x14ac:dyDescent="0.25">
      <c r="A7094" t="s">
        <v>7691</v>
      </c>
      <c r="B7094" s="9">
        <v>0.1</v>
      </c>
    </row>
    <row r="7095" spans="1:2" x14ac:dyDescent="0.25">
      <c r="A7095" t="s">
        <v>7692</v>
      </c>
      <c r="B7095" s="9">
        <v>0.1</v>
      </c>
    </row>
    <row r="7096" spans="1:2" x14ac:dyDescent="0.25">
      <c r="A7096" t="s">
        <v>7693</v>
      </c>
      <c r="B7096" s="9">
        <v>0.1</v>
      </c>
    </row>
    <row r="7097" spans="1:2" x14ac:dyDescent="0.25">
      <c r="A7097" t="s">
        <v>7694</v>
      </c>
      <c r="B7097" s="9">
        <v>0.1</v>
      </c>
    </row>
    <row r="7098" spans="1:2" x14ac:dyDescent="0.25">
      <c r="A7098" t="s">
        <v>7695</v>
      </c>
      <c r="B7098" s="9">
        <v>0.1</v>
      </c>
    </row>
    <row r="7099" spans="1:2" x14ac:dyDescent="0.25">
      <c r="A7099" t="s">
        <v>7696</v>
      </c>
      <c r="B7099" s="9">
        <v>0.1</v>
      </c>
    </row>
    <row r="7100" spans="1:2" x14ac:dyDescent="0.25">
      <c r="A7100" t="s">
        <v>7697</v>
      </c>
      <c r="B7100" s="9">
        <v>0.1</v>
      </c>
    </row>
    <row r="7101" spans="1:2" x14ac:dyDescent="0.25">
      <c r="A7101" t="s">
        <v>7698</v>
      </c>
      <c r="B7101" s="9">
        <v>0.1</v>
      </c>
    </row>
    <row r="7102" spans="1:2" x14ac:dyDescent="0.25">
      <c r="A7102" t="s">
        <v>7699</v>
      </c>
      <c r="B7102" s="9">
        <v>0.1</v>
      </c>
    </row>
    <row r="7103" spans="1:2" x14ac:dyDescent="0.25">
      <c r="A7103" t="s">
        <v>7700</v>
      </c>
      <c r="B7103" s="9">
        <v>0.15</v>
      </c>
    </row>
    <row r="7104" spans="1:2" x14ac:dyDescent="0.25">
      <c r="A7104" t="s">
        <v>7701</v>
      </c>
      <c r="B7104" s="9">
        <v>0.15</v>
      </c>
    </row>
    <row r="7105" spans="1:2" x14ac:dyDescent="0.25">
      <c r="A7105" t="s">
        <v>7702</v>
      </c>
      <c r="B7105" s="9">
        <v>0.3</v>
      </c>
    </row>
    <row r="7106" spans="1:2" x14ac:dyDescent="0.25">
      <c r="A7106" t="s">
        <v>7703</v>
      </c>
      <c r="B7106" s="9">
        <v>0.3</v>
      </c>
    </row>
    <row r="7107" spans="1:2" x14ac:dyDescent="0.25">
      <c r="A7107" t="s">
        <v>7704</v>
      </c>
      <c r="B7107" s="9">
        <v>0.3</v>
      </c>
    </row>
    <row r="7108" spans="1:2" x14ac:dyDescent="0.25">
      <c r="A7108" t="s">
        <v>7705</v>
      </c>
      <c r="B7108" s="9">
        <v>0</v>
      </c>
    </row>
    <row r="7109" spans="1:2" x14ac:dyDescent="0.25">
      <c r="A7109" t="s">
        <v>7706</v>
      </c>
      <c r="B7109" s="9">
        <v>0</v>
      </c>
    </row>
    <row r="7110" spans="1:2" x14ac:dyDescent="0.25">
      <c r="A7110" t="s">
        <v>7707</v>
      </c>
      <c r="B7110" s="9">
        <v>0</v>
      </c>
    </row>
    <row r="7111" spans="1:2" x14ac:dyDescent="0.25">
      <c r="A7111" t="s">
        <v>7708</v>
      </c>
      <c r="B7111" s="9">
        <v>0</v>
      </c>
    </row>
    <row r="7112" spans="1:2" x14ac:dyDescent="0.25">
      <c r="A7112" t="s">
        <v>7709</v>
      </c>
      <c r="B7112" s="9">
        <v>0</v>
      </c>
    </row>
    <row r="7113" spans="1:2" x14ac:dyDescent="0.25">
      <c r="A7113" t="s">
        <v>7710</v>
      </c>
      <c r="B7113" s="9">
        <v>0</v>
      </c>
    </row>
    <row r="7114" spans="1:2" x14ac:dyDescent="0.25">
      <c r="A7114" t="s">
        <v>7711</v>
      </c>
      <c r="B7114" s="9">
        <v>0</v>
      </c>
    </row>
    <row r="7115" spans="1:2" x14ac:dyDescent="0.25">
      <c r="A7115" t="s">
        <v>7712</v>
      </c>
      <c r="B7115" s="9">
        <v>0</v>
      </c>
    </row>
    <row r="7116" spans="1:2" x14ac:dyDescent="0.25">
      <c r="A7116" t="s">
        <v>7713</v>
      </c>
      <c r="B7116" s="9">
        <v>0</v>
      </c>
    </row>
    <row r="7117" spans="1:2" x14ac:dyDescent="0.25">
      <c r="A7117" t="s">
        <v>7714</v>
      </c>
      <c r="B7117" s="9">
        <v>0</v>
      </c>
    </row>
    <row r="7118" spans="1:2" x14ac:dyDescent="0.25">
      <c r="A7118" t="s">
        <v>7715</v>
      </c>
      <c r="B7118" s="9">
        <v>0.12</v>
      </c>
    </row>
    <row r="7119" spans="1:2" x14ac:dyDescent="0.25">
      <c r="A7119" t="s">
        <v>7716</v>
      </c>
      <c r="B7119" s="9">
        <v>0.12</v>
      </c>
    </row>
    <row r="7120" spans="1:2" x14ac:dyDescent="0.25">
      <c r="A7120" t="s">
        <v>7717</v>
      </c>
      <c r="B7120" s="9">
        <v>0.12</v>
      </c>
    </row>
    <row r="7121" spans="1:2" x14ac:dyDescent="0.25">
      <c r="A7121" t="s">
        <v>7718</v>
      </c>
      <c r="B7121" s="9">
        <v>0.12</v>
      </c>
    </row>
    <row r="7122" spans="1:2" x14ac:dyDescent="0.25">
      <c r="A7122" t="s">
        <v>7719</v>
      </c>
      <c r="B7122" s="9">
        <v>0</v>
      </c>
    </row>
    <row r="7123" spans="1:2" x14ac:dyDescent="0.25">
      <c r="A7123" t="s">
        <v>7720</v>
      </c>
      <c r="B7123" s="9">
        <v>0</v>
      </c>
    </row>
    <row r="7124" spans="1:2" x14ac:dyDescent="0.25">
      <c r="A7124" t="s">
        <v>7721</v>
      </c>
      <c r="B7124" s="9">
        <v>0</v>
      </c>
    </row>
    <row r="7125" spans="1:2" x14ac:dyDescent="0.25">
      <c r="A7125" t="s">
        <v>7722</v>
      </c>
      <c r="B7125" s="9">
        <v>0</v>
      </c>
    </row>
    <row r="7126" spans="1:2" x14ac:dyDescent="0.25">
      <c r="A7126" t="s">
        <v>7723</v>
      </c>
      <c r="B7126" s="9">
        <v>0</v>
      </c>
    </row>
    <row r="7127" spans="1:2" x14ac:dyDescent="0.25">
      <c r="A7127" t="s">
        <v>7724</v>
      </c>
      <c r="B7127" s="9">
        <v>0</v>
      </c>
    </row>
    <row r="7128" spans="1:2" x14ac:dyDescent="0.25">
      <c r="A7128" t="s">
        <v>7725</v>
      </c>
      <c r="B7128" s="9">
        <v>0</v>
      </c>
    </row>
    <row r="7129" spans="1:2" x14ac:dyDescent="0.25">
      <c r="A7129" t="s">
        <v>7726</v>
      </c>
      <c r="B7129" s="9">
        <v>0.1</v>
      </c>
    </row>
    <row r="7130" spans="1:2" x14ac:dyDescent="0.25">
      <c r="A7130" t="s">
        <v>7727</v>
      </c>
      <c r="B7130" s="9">
        <v>0</v>
      </c>
    </row>
    <row r="7131" spans="1:2" x14ac:dyDescent="0.25">
      <c r="A7131" t="s">
        <v>7728</v>
      </c>
      <c r="B7131" s="9">
        <v>0</v>
      </c>
    </row>
    <row r="7132" spans="1:2" x14ac:dyDescent="0.25">
      <c r="A7132" t="s">
        <v>7729</v>
      </c>
      <c r="B7132" s="9">
        <v>0</v>
      </c>
    </row>
    <row r="7133" spans="1:2" x14ac:dyDescent="0.25">
      <c r="A7133" t="s">
        <v>7730</v>
      </c>
      <c r="B7133" s="9">
        <v>0</v>
      </c>
    </row>
    <row r="7134" spans="1:2" x14ac:dyDescent="0.25">
      <c r="A7134" t="s">
        <v>7731</v>
      </c>
      <c r="B7134" s="9">
        <v>0</v>
      </c>
    </row>
    <row r="7135" spans="1:2" x14ac:dyDescent="0.25">
      <c r="A7135" t="s">
        <v>7732</v>
      </c>
      <c r="B7135" s="9">
        <v>0</v>
      </c>
    </row>
    <row r="7136" spans="1:2" x14ac:dyDescent="0.25">
      <c r="A7136" t="s">
        <v>7733</v>
      </c>
      <c r="B7136" s="9">
        <v>0.1</v>
      </c>
    </row>
    <row r="7137" spans="1:2" x14ac:dyDescent="0.25">
      <c r="A7137" t="s">
        <v>7734</v>
      </c>
      <c r="B7137" s="9">
        <v>0</v>
      </c>
    </row>
    <row r="7138" spans="1:2" x14ac:dyDescent="0.25">
      <c r="A7138" t="s">
        <v>7735</v>
      </c>
      <c r="B7138" s="9">
        <v>0</v>
      </c>
    </row>
    <row r="7139" spans="1:2" x14ac:dyDescent="0.25">
      <c r="A7139" t="s">
        <v>7736</v>
      </c>
      <c r="B7139" s="9">
        <v>0</v>
      </c>
    </row>
    <row r="7140" spans="1:2" x14ac:dyDescent="0.25">
      <c r="A7140" t="s">
        <v>7737</v>
      </c>
      <c r="B7140" s="9">
        <v>0</v>
      </c>
    </row>
    <row r="7141" spans="1:2" x14ac:dyDescent="0.25">
      <c r="A7141" t="s">
        <v>7738</v>
      </c>
      <c r="B7141" s="9">
        <v>0</v>
      </c>
    </row>
    <row r="7142" spans="1:2" x14ac:dyDescent="0.25">
      <c r="A7142" t="s">
        <v>7739</v>
      </c>
      <c r="B7142" s="9">
        <v>0</v>
      </c>
    </row>
    <row r="7143" spans="1:2" x14ac:dyDescent="0.25">
      <c r="A7143" t="s">
        <v>7740</v>
      </c>
      <c r="B7143" s="9">
        <v>0</v>
      </c>
    </row>
    <row r="7144" spans="1:2" x14ac:dyDescent="0.25">
      <c r="A7144" t="s">
        <v>7741</v>
      </c>
      <c r="B7144" s="9">
        <v>0</v>
      </c>
    </row>
    <row r="7145" spans="1:2" x14ac:dyDescent="0.25">
      <c r="A7145" t="s">
        <v>7742</v>
      </c>
      <c r="B7145" s="9">
        <v>0</v>
      </c>
    </row>
    <row r="7146" spans="1:2" x14ac:dyDescent="0.25">
      <c r="A7146" t="s">
        <v>7743</v>
      </c>
      <c r="B7146" s="9">
        <v>0.1</v>
      </c>
    </row>
    <row r="7147" spans="1:2" x14ac:dyDescent="0.25">
      <c r="A7147" t="s">
        <v>7744</v>
      </c>
      <c r="B7147" s="9">
        <v>0</v>
      </c>
    </row>
    <row r="7148" spans="1:2" x14ac:dyDescent="0.25">
      <c r="A7148" t="s">
        <v>7745</v>
      </c>
      <c r="B7148" s="9">
        <v>0</v>
      </c>
    </row>
    <row r="7149" spans="1:2" x14ac:dyDescent="0.25">
      <c r="A7149" t="s">
        <v>7746</v>
      </c>
      <c r="B7149" s="9">
        <v>0</v>
      </c>
    </row>
    <row r="7150" spans="1:2" x14ac:dyDescent="0.25">
      <c r="A7150" t="s">
        <v>7747</v>
      </c>
      <c r="B7150" s="9">
        <v>0</v>
      </c>
    </row>
    <row r="7151" spans="1:2" x14ac:dyDescent="0.25">
      <c r="A7151" t="s">
        <v>7748</v>
      </c>
      <c r="B7151" s="9">
        <v>0</v>
      </c>
    </row>
    <row r="7152" spans="1:2" x14ac:dyDescent="0.25">
      <c r="A7152" t="s">
        <v>7749</v>
      </c>
      <c r="B7152" s="9">
        <v>0</v>
      </c>
    </row>
    <row r="7153" spans="1:2" x14ac:dyDescent="0.25">
      <c r="A7153" t="s">
        <v>7750</v>
      </c>
      <c r="B7153" s="9">
        <v>0</v>
      </c>
    </row>
    <row r="7154" spans="1:2" x14ac:dyDescent="0.25">
      <c r="A7154" t="s">
        <v>7751</v>
      </c>
      <c r="B7154" s="9">
        <v>0</v>
      </c>
    </row>
    <row r="7155" spans="1:2" x14ac:dyDescent="0.25">
      <c r="A7155" t="s">
        <v>7752</v>
      </c>
      <c r="B7155" s="9">
        <v>0</v>
      </c>
    </row>
    <row r="7156" spans="1:2" x14ac:dyDescent="0.25">
      <c r="A7156" t="s">
        <v>7753</v>
      </c>
      <c r="B7156" s="9">
        <v>0</v>
      </c>
    </row>
    <row r="7157" spans="1:2" x14ac:dyDescent="0.25">
      <c r="A7157" t="s">
        <v>7754</v>
      </c>
      <c r="B7157" s="9">
        <v>0</v>
      </c>
    </row>
    <row r="7158" spans="1:2" x14ac:dyDescent="0.25">
      <c r="A7158" t="s">
        <v>7755</v>
      </c>
      <c r="B7158" s="9">
        <v>0</v>
      </c>
    </row>
    <row r="7159" spans="1:2" x14ac:dyDescent="0.25">
      <c r="A7159" t="s">
        <v>7756</v>
      </c>
      <c r="B7159" s="9">
        <v>0.12</v>
      </c>
    </row>
    <row r="7160" spans="1:2" x14ac:dyDescent="0.25">
      <c r="A7160" t="s">
        <v>7757</v>
      </c>
      <c r="B7160" s="9">
        <v>0.12</v>
      </c>
    </row>
    <row r="7161" spans="1:2" x14ac:dyDescent="0.25">
      <c r="A7161" t="s">
        <v>7758</v>
      </c>
      <c r="B7161" s="9">
        <v>0.12</v>
      </c>
    </row>
    <row r="7162" spans="1:2" x14ac:dyDescent="0.25">
      <c r="A7162" t="s">
        <v>7759</v>
      </c>
      <c r="B7162" s="9">
        <v>0.12</v>
      </c>
    </row>
    <row r="7163" spans="1:2" x14ac:dyDescent="0.25">
      <c r="A7163" t="s">
        <v>7760</v>
      </c>
      <c r="B7163" s="9">
        <v>0.12</v>
      </c>
    </row>
    <row r="7164" spans="1:2" x14ac:dyDescent="0.25">
      <c r="A7164" t="s">
        <v>7761</v>
      </c>
      <c r="B7164" s="9">
        <v>0.12</v>
      </c>
    </row>
    <row r="7165" spans="1:2" x14ac:dyDescent="0.25">
      <c r="A7165" t="s">
        <v>7762</v>
      </c>
      <c r="B7165" s="9">
        <v>0.1</v>
      </c>
    </row>
    <row r="7166" spans="1:2" x14ac:dyDescent="0.25">
      <c r="A7166" t="s">
        <v>7763</v>
      </c>
      <c r="B7166" s="9">
        <v>0.1</v>
      </c>
    </row>
    <row r="7167" spans="1:2" x14ac:dyDescent="0.25">
      <c r="A7167" t="s">
        <v>7764</v>
      </c>
      <c r="B7167" s="9">
        <v>0.12</v>
      </c>
    </row>
    <row r="7168" spans="1:2" x14ac:dyDescent="0.25">
      <c r="A7168" t="s">
        <v>7765</v>
      </c>
      <c r="B7168" s="9">
        <v>0.12</v>
      </c>
    </row>
    <row r="7169" spans="1:2" x14ac:dyDescent="0.25">
      <c r="A7169" t="s">
        <v>7766</v>
      </c>
      <c r="B7169" s="9">
        <v>0.12</v>
      </c>
    </row>
    <row r="7170" spans="1:2" x14ac:dyDescent="0.25">
      <c r="A7170" t="s">
        <v>7767</v>
      </c>
      <c r="B7170" s="9">
        <v>0.12</v>
      </c>
    </row>
    <row r="7171" spans="1:2" x14ac:dyDescent="0.25">
      <c r="A7171" t="s">
        <v>7768</v>
      </c>
      <c r="B7171" s="9">
        <v>0.12</v>
      </c>
    </row>
    <row r="7172" spans="1:2" x14ac:dyDescent="0.25">
      <c r="A7172" t="s">
        <v>7769</v>
      </c>
      <c r="B7172" s="9">
        <v>0.12</v>
      </c>
    </row>
    <row r="7173" spans="1:2" x14ac:dyDescent="0.25">
      <c r="A7173" t="s">
        <v>7770</v>
      </c>
      <c r="B7173" s="9">
        <v>0.12</v>
      </c>
    </row>
    <row r="7174" spans="1:2" x14ac:dyDescent="0.25">
      <c r="A7174" t="s">
        <v>7771</v>
      </c>
      <c r="B7174" s="9">
        <v>0</v>
      </c>
    </row>
    <row r="7175" spans="1:2" x14ac:dyDescent="0.25">
      <c r="A7175" t="s">
        <v>7772</v>
      </c>
      <c r="B7175" s="9">
        <v>0</v>
      </c>
    </row>
    <row r="7176" spans="1:2" x14ac:dyDescent="0.25">
      <c r="A7176" t="s">
        <v>7773</v>
      </c>
      <c r="B7176" s="9">
        <v>0</v>
      </c>
    </row>
    <row r="7177" spans="1:2" x14ac:dyDescent="0.25">
      <c r="A7177" t="s">
        <v>7774</v>
      </c>
      <c r="B7177" s="9">
        <v>0.05</v>
      </c>
    </row>
    <row r="7178" spans="1:2" x14ac:dyDescent="0.25">
      <c r="A7178" t="s">
        <v>7775</v>
      </c>
      <c r="B7178" s="9">
        <v>0.05</v>
      </c>
    </row>
    <row r="7179" spans="1:2" x14ac:dyDescent="0.25">
      <c r="A7179" t="s">
        <v>7776</v>
      </c>
      <c r="B7179" s="9">
        <v>0.05</v>
      </c>
    </row>
    <row r="7180" spans="1:2" x14ac:dyDescent="0.25">
      <c r="A7180" t="s">
        <v>7777</v>
      </c>
      <c r="B7180" s="9">
        <v>0.05</v>
      </c>
    </row>
    <row r="7181" spans="1:2" x14ac:dyDescent="0.25">
      <c r="A7181" t="s">
        <v>7778</v>
      </c>
      <c r="B7181" s="9">
        <v>0.05</v>
      </c>
    </row>
    <row r="7182" spans="1:2" x14ac:dyDescent="0.25">
      <c r="A7182" t="s">
        <v>7779</v>
      </c>
      <c r="B7182" s="9">
        <v>0.05</v>
      </c>
    </row>
    <row r="7183" spans="1:2" x14ac:dyDescent="0.25">
      <c r="A7183" t="s">
        <v>7780</v>
      </c>
      <c r="B7183" s="9">
        <v>0.05</v>
      </c>
    </row>
    <row r="7184" spans="1:2" x14ac:dyDescent="0.25">
      <c r="A7184" t="s">
        <v>7781</v>
      </c>
      <c r="B7184" s="9">
        <v>0.05</v>
      </c>
    </row>
    <row r="7185" spans="1:3" x14ac:dyDescent="0.25">
      <c r="A7185" t="s">
        <v>7782</v>
      </c>
      <c r="B7185" s="9">
        <v>0.05</v>
      </c>
    </row>
    <row r="7186" spans="1:3" x14ac:dyDescent="0.25">
      <c r="A7186" t="s">
        <v>7783</v>
      </c>
      <c r="B7186" s="9">
        <v>0.05</v>
      </c>
    </row>
    <row r="7187" spans="1:3" x14ac:dyDescent="0.25">
      <c r="A7187" t="s">
        <v>7784</v>
      </c>
      <c r="B7187" s="9">
        <v>0.05</v>
      </c>
    </row>
    <row r="7188" spans="1:3" x14ac:dyDescent="0.25">
      <c r="A7188" t="s">
        <v>7785</v>
      </c>
      <c r="B7188" s="9">
        <v>0.05</v>
      </c>
    </row>
    <row r="7189" spans="1:3" x14ac:dyDescent="0.25">
      <c r="A7189" t="s">
        <v>7786</v>
      </c>
      <c r="B7189" s="9">
        <v>0.05</v>
      </c>
    </row>
    <row r="7190" spans="1:3" x14ac:dyDescent="0.25">
      <c r="A7190" t="s">
        <v>7787</v>
      </c>
      <c r="B7190" s="9">
        <v>0.05</v>
      </c>
    </row>
    <row r="7191" spans="1:3" x14ac:dyDescent="0.25">
      <c r="A7191" t="s">
        <v>7788</v>
      </c>
      <c r="B7191" s="9">
        <v>0.05</v>
      </c>
    </row>
    <row r="7192" spans="1:3" x14ac:dyDescent="0.25">
      <c r="A7192" t="s">
        <v>7789</v>
      </c>
      <c r="B7192" s="9">
        <v>0.05</v>
      </c>
    </row>
    <row r="7193" spans="1:3" x14ac:dyDescent="0.25">
      <c r="A7193" t="s">
        <v>7790</v>
      </c>
      <c r="B7193" s="9">
        <v>0.05</v>
      </c>
    </row>
    <row r="7194" spans="1:3" x14ac:dyDescent="0.25">
      <c r="A7194" t="s">
        <v>7791</v>
      </c>
      <c r="B7194" s="9">
        <v>0.05</v>
      </c>
    </row>
    <row r="7195" spans="1:3" x14ac:dyDescent="0.25">
      <c r="A7195" t="s">
        <v>7792</v>
      </c>
      <c r="B7195" s="9">
        <v>0.05</v>
      </c>
    </row>
    <row r="7196" spans="1:3" x14ac:dyDescent="0.25">
      <c r="A7196" t="s">
        <v>7793</v>
      </c>
      <c r="B7196" s="9">
        <v>0.05</v>
      </c>
    </row>
    <row r="7197" spans="1:3" x14ac:dyDescent="0.25">
      <c r="A7197" t="s">
        <v>7794</v>
      </c>
      <c r="B7197" s="9">
        <v>0.05</v>
      </c>
    </row>
    <row r="7198" spans="1:3" x14ac:dyDescent="0.25">
      <c r="A7198" t="s">
        <v>25</v>
      </c>
      <c r="B7198" s="9">
        <v>0</v>
      </c>
      <c r="C7198" t="s">
        <v>25</v>
      </c>
    </row>
    <row r="7199" spans="1:3" x14ac:dyDescent="0.25">
      <c r="A7199" t="s">
        <v>7795</v>
      </c>
      <c r="B7199" s="9">
        <v>0</v>
      </c>
    </row>
    <row r="7200" spans="1:3" x14ac:dyDescent="0.25">
      <c r="A7200" t="s">
        <v>26</v>
      </c>
      <c r="B7200" s="9">
        <v>0</v>
      </c>
      <c r="C7200" t="s">
        <v>26</v>
      </c>
    </row>
    <row r="7201" spans="1:2" x14ac:dyDescent="0.25">
      <c r="A7201" t="s">
        <v>7796</v>
      </c>
      <c r="B7201" s="9">
        <v>0</v>
      </c>
    </row>
    <row r="7202" spans="1:2" x14ac:dyDescent="0.25">
      <c r="A7202" t="s">
        <v>7797</v>
      </c>
      <c r="B7202" s="9">
        <v>0</v>
      </c>
    </row>
    <row r="7203" spans="1:2" x14ac:dyDescent="0.25">
      <c r="A7203" t="s">
        <v>7798</v>
      </c>
      <c r="B7203" s="9">
        <v>0</v>
      </c>
    </row>
    <row r="7204" spans="1:2" x14ac:dyDescent="0.25">
      <c r="A7204" t="s">
        <v>7799</v>
      </c>
      <c r="B7204" s="9">
        <v>0.05</v>
      </c>
    </row>
    <row r="7205" spans="1:2" x14ac:dyDescent="0.25">
      <c r="A7205" t="s">
        <v>7800</v>
      </c>
      <c r="B7205" s="9">
        <v>0.05</v>
      </c>
    </row>
    <row r="7206" spans="1:2" x14ac:dyDescent="0.25">
      <c r="A7206" t="s">
        <v>7801</v>
      </c>
      <c r="B7206" s="9">
        <v>0.05</v>
      </c>
    </row>
    <row r="7207" spans="1:2" x14ac:dyDescent="0.25">
      <c r="A7207" t="s">
        <v>7802</v>
      </c>
      <c r="B7207" s="9">
        <v>0.05</v>
      </c>
    </row>
    <row r="7208" spans="1:2" x14ac:dyDescent="0.25">
      <c r="A7208" t="s">
        <v>7803</v>
      </c>
      <c r="B7208" s="9">
        <v>0.05</v>
      </c>
    </row>
    <row r="7209" spans="1:2" x14ac:dyDescent="0.25">
      <c r="A7209" t="s">
        <v>7804</v>
      </c>
      <c r="B7209" s="9">
        <v>0.05</v>
      </c>
    </row>
    <row r="7210" spans="1:2" x14ac:dyDescent="0.25">
      <c r="A7210" t="s">
        <v>7805</v>
      </c>
      <c r="B7210" s="9">
        <v>0.05</v>
      </c>
    </row>
    <row r="7211" spans="1:2" x14ac:dyDescent="0.25">
      <c r="A7211" t="s">
        <v>7806</v>
      </c>
      <c r="B7211" s="9">
        <v>0.05</v>
      </c>
    </row>
    <row r="7212" spans="1:2" x14ac:dyDescent="0.25">
      <c r="A7212" t="s">
        <v>7807</v>
      </c>
      <c r="B7212" s="9">
        <v>0.05</v>
      </c>
    </row>
    <row r="7213" spans="1:2" x14ac:dyDescent="0.25">
      <c r="A7213" t="s">
        <v>7808</v>
      </c>
      <c r="B7213" s="9">
        <v>0.05</v>
      </c>
    </row>
    <row r="7214" spans="1:2" x14ac:dyDescent="0.25">
      <c r="A7214" t="s">
        <v>7809</v>
      </c>
      <c r="B7214" s="9">
        <v>0.05</v>
      </c>
    </row>
    <row r="7215" spans="1:2" x14ac:dyDescent="0.25">
      <c r="A7215" t="s">
        <v>7810</v>
      </c>
      <c r="B7215" s="9">
        <v>0.05</v>
      </c>
    </row>
    <row r="7216" spans="1:2" x14ac:dyDescent="0.25">
      <c r="A7216" t="s">
        <v>7811</v>
      </c>
      <c r="B7216" s="9">
        <v>0.05</v>
      </c>
    </row>
    <row r="7217" spans="1:2" x14ac:dyDescent="0.25">
      <c r="A7217" t="s">
        <v>7812</v>
      </c>
      <c r="B7217" s="9">
        <v>0.05</v>
      </c>
    </row>
    <row r="7218" spans="1:2" x14ac:dyDescent="0.25">
      <c r="A7218" t="s">
        <v>7813</v>
      </c>
      <c r="B7218" s="9">
        <v>0.05</v>
      </c>
    </row>
    <row r="7219" spans="1:2" x14ac:dyDescent="0.25">
      <c r="A7219" t="s">
        <v>7814</v>
      </c>
      <c r="B7219" s="9">
        <v>0.05</v>
      </c>
    </row>
    <row r="7220" spans="1:2" x14ac:dyDescent="0.25">
      <c r="A7220" t="s">
        <v>7815</v>
      </c>
      <c r="B7220" s="9">
        <v>0.05</v>
      </c>
    </row>
    <row r="7221" spans="1:2" x14ac:dyDescent="0.25">
      <c r="A7221" t="s">
        <v>7816</v>
      </c>
      <c r="B7221" s="9">
        <v>0.05</v>
      </c>
    </row>
    <row r="7222" spans="1:2" x14ac:dyDescent="0.25">
      <c r="A7222" t="s">
        <v>7817</v>
      </c>
      <c r="B7222" s="9">
        <v>0.05</v>
      </c>
    </row>
    <row r="7223" spans="1:2" x14ac:dyDescent="0.25">
      <c r="A7223" t="s">
        <v>7818</v>
      </c>
      <c r="B7223" s="9">
        <v>0.05</v>
      </c>
    </row>
    <row r="7224" spans="1:2" x14ac:dyDescent="0.25">
      <c r="A7224" t="s">
        <v>7819</v>
      </c>
      <c r="B7224" s="9">
        <v>0.05</v>
      </c>
    </row>
    <row r="7225" spans="1:2" x14ac:dyDescent="0.25">
      <c r="A7225" t="s">
        <v>7820</v>
      </c>
      <c r="B7225" s="9">
        <v>0.05</v>
      </c>
    </row>
    <row r="7226" spans="1:2" x14ac:dyDescent="0.25">
      <c r="A7226" t="s">
        <v>7821</v>
      </c>
      <c r="B7226" s="9">
        <v>0.05</v>
      </c>
    </row>
    <row r="7227" spans="1:2" x14ac:dyDescent="0.25">
      <c r="A7227" t="s">
        <v>7822</v>
      </c>
      <c r="B7227" s="9">
        <v>0.05</v>
      </c>
    </row>
    <row r="7228" spans="1:2" x14ac:dyDescent="0.25">
      <c r="A7228" t="s">
        <v>7823</v>
      </c>
      <c r="B7228" s="9">
        <v>0.05</v>
      </c>
    </row>
    <row r="7229" spans="1:2" x14ac:dyDescent="0.25">
      <c r="A7229" t="s">
        <v>7824</v>
      </c>
      <c r="B7229" s="9">
        <v>0.05</v>
      </c>
    </row>
    <row r="7230" spans="1:2" x14ac:dyDescent="0.25">
      <c r="A7230" t="s">
        <v>7825</v>
      </c>
      <c r="B7230" s="9">
        <v>0.05</v>
      </c>
    </row>
    <row r="7231" spans="1:2" x14ac:dyDescent="0.25">
      <c r="A7231" t="s">
        <v>7826</v>
      </c>
      <c r="B7231" s="9">
        <v>0.05</v>
      </c>
    </row>
    <row r="7232" spans="1:2" x14ac:dyDescent="0.25">
      <c r="A7232" t="s">
        <v>7827</v>
      </c>
      <c r="B7232" s="9">
        <v>0.05</v>
      </c>
    </row>
    <row r="7233" spans="1:2" x14ac:dyDescent="0.25">
      <c r="A7233" t="s">
        <v>7828</v>
      </c>
      <c r="B7233" s="9">
        <v>0.05</v>
      </c>
    </row>
    <row r="7234" spans="1:2" x14ac:dyDescent="0.25">
      <c r="A7234" t="s">
        <v>7829</v>
      </c>
      <c r="B7234" s="9">
        <v>0.05</v>
      </c>
    </row>
    <row r="7235" spans="1:2" x14ac:dyDescent="0.25">
      <c r="A7235" t="s">
        <v>7830</v>
      </c>
      <c r="B7235" s="9">
        <v>0.05</v>
      </c>
    </row>
    <row r="7236" spans="1:2" x14ac:dyDescent="0.25">
      <c r="A7236" t="s">
        <v>7831</v>
      </c>
      <c r="B7236" s="9">
        <v>0.05</v>
      </c>
    </row>
    <row r="7237" spans="1:2" x14ac:dyDescent="0.25">
      <c r="A7237" t="s">
        <v>7832</v>
      </c>
      <c r="B7237" s="9">
        <v>0.05</v>
      </c>
    </row>
    <row r="7238" spans="1:2" x14ac:dyDescent="0.25">
      <c r="A7238" t="s">
        <v>7833</v>
      </c>
      <c r="B7238" s="9">
        <v>0.05</v>
      </c>
    </row>
    <row r="7239" spans="1:2" x14ac:dyDescent="0.25">
      <c r="A7239" t="s">
        <v>7834</v>
      </c>
      <c r="B7239" s="9">
        <v>0.05</v>
      </c>
    </row>
    <row r="7240" spans="1:2" x14ac:dyDescent="0.25">
      <c r="A7240" t="s">
        <v>7835</v>
      </c>
      <c r="B7240" s="9">
        <v>0.05</v>
      </c>
    </row>
    <row r="7241" spans="1:2" x14ac:dyDescent="0.25">
      <c r="A7241" t="s">
        <v>7836</v>
      </c>
      <c r="B7241" s="9">
        <v>0.05</v>
      </c>
    </row>
    <row r="7242" spans="1:2" x14ac:dyDescent="0.25">
      <c r="A7242" t="s">
        <v>7837</v>
      </c>
      <c r="B7242" s="9">
        <v>0.05</v>
      </c>
    </row>
    <row r="7243" spans="1:2" x14ac:dyDescent="0.25">
      <c r="A7243" t="s">
        <v>7838</v>
      </c>
      <c r="B7243" s="9">
        <v>0.05</v>
      </c>
    </row>
    <row r="7244" spans="1:2" x14ac:dyDescent="0.25">
      <c r="A7244" t="s">
        <v>7839</v>
      </c>
      <c r="B7244" s="9">
        <v>0.05</v>
      </c>
    </row>
    <row r="7245" spans="1:2" x14ac:dyDescent="0.25">
      <c r="A7245" t="s">
        <v>7840</v>
      </c>
      <c r="B7245" s="9">
        <v>0.05</v>
      </c>
    </row>
    <row r="7246" spans="1:2" x14ac:dyDescent="0.25">
      <c r="A7246" t="s">
        <v>7841</v>
      </c>
      <c r="B7246" s="9">
        <v>0.05</v>
      </c>
    </row>
    <row r="7247" spans="1:2" x14ac:dyDescent="0.25">
      <c r="A7247" t="s">
        <v>7842</v>
      </c>
      <c r="B7247" s="9">
        <v>0.05</v>
      </c>
    </row>
    <row r="7248" spans="1:2" x14ac:dyDescent="0.25">
      <c r="A7248" t="s">
        <v>7843</v>
      </c>
      <c r="B7248" s="9">
        <v>0.05</v>
      </c>
    </row>
    <row r="7249" spans="1:2" x14ac:dyDescent="0.25">
      <c r="A7249" t="s">
        <v>7844</v>
      </c>
      <c r="B7249" s="9">
        <v>0.05</v>
      </c>
    </row>
    <row r="7250" spans="1:2" x14ac:dyDescent="0.25">
      <c r="A7250" t="s">
        <v>7845</v>
      </c>
      <c r="B7250" s="9">
        <v>0.05</v>
      </c>
    </row>
    <row r="7251" spans="1:2" x14ac:dyDescent="0.25">
      <c r="A7251" t="s">
        <v>7846</v>
      </c>
      <c r="B7251" s="9">
        <v>0.05</v>
      </c>
    </row>
    <row r="7252" spans="1:2" x14ac:dyDescent="0.25">
      <c r="A7252" t="s">
        <v>7847</v>
      </c>
      <c r="B7252" s="9">
        <v>0.05</v>
      </c>
    </row>
    <row r="7253" spans="1:2" x14ac:dyDescent="0.25">
      <c r="A7253" t="s">
        <v>7848</v>
      </c>
      <c r="B7253" s="9">
        <v>0.05</v>
      </c>
    </row>
    <row r="7254" spans="1:2" x14ac:dyDescent="0.25">
      <c r="A7254" t="s">
        <v>7849</v>
      </c>
      <c r="B7254" s="9">
        <v>0.05</v>
      </c>
    </row>
    <row r="7255" spans="1:2" x14ac:dyDescent="0.25">
      <c r="A7255" t="s">
        <v>7850</v>
      </c>
      <c r="B7255" s="9">
        <v>0.05</v>
      </c>
    </row>
    <row r="7256" spans="1:2" x14ac:dyDescent="0.25">
      <c r="A7256" t="s">
        <v>7851</v>
      </c>
      <c r="B7256" s="9">
        <v>0.05</v>
      </c>
    </row>
    <row r="7257" spans="1:2" x14ac:dyDescent="0.25">
      <c r="A7257" t="s">
        <v>7852</v>
      </c>
      <c r="B7257" s="9">
        <v>0.05</v>
      </c>
    </row>
    <row r="7258" spans="1:2" x14ac:dyDescent="0.25">
      <c r="A7258" t="s">
        <v>7853</v>
      </c>
      <c r="B7258" s="9">
        <v>0.05</v>
      </c>
    </row>
    <row r="7259" spans="1:2" x14ac:dyDescent="0.25">
      <c r="A7259" t="s">
        <v>7854</v>
      </c>
      <c r="B7259" s="9">
        <v>0.05</v>
      </c>
    </row>
    <row r="7260" spans="1:2" x14ac:dyDescent="0.25">
      <c r="A7260" t="s">
        <v>7855</v>
      </c>
      <c r="B7260" s="9">
        <v>0.05</v>
      </c>
    </row>
    <row r="7261" spans="1:2" x14ac:dyDescent="0.25">
      <c r="A7261" t="s">
        <v>7856</v>
      </c>
      <c r="B7261" s="9">
        <v>0.05</v>
      </c>
    </row>
    <row r="7262" spans="1:2" x14ac:dyDescent="0.25">
      <c r="A7262" t="s">
        <v>7857</v>
      </c>
      <c r="B7262" s="9">
        <v>0.05</v>
      </c>
    </row>
    <row r="7263" spans="1:2" x14ac:dyDescent="0.25">
      <c r="A7263" t="s">
        <v>7858</v>
      </c>
      <c r="B7263" s="9">
        <v>0.05</v>
      </c>
    </row>
    <row r="7264" spans="1:2" x14ac:dyDescent="0.25">
      <c r="A7264" t="s">
        <v>7859</v>
      </c>
      <c r="B7264" s="9">
        <v>0.05</v>
      </c>
    </row>
    <row r="7265" spans="1:2" x14ac:dyDescent="0.25">
      <c r="A7265" t="s">
        <v>7860</v>
      </c>
      <c r="B7265" s="9">
        <v>0.05</v>
      </c>
    </row>
    <row r="7266" spans="1:2" x14ac:dyDescent="0.25">
      <c r="A7266" t="s">
        <v>7861</v>
      </c>
      <c r="B7266" s="9">
        <v>0.05</v>
      </c>
    </row>
    <row r="7267" spans="1:2" x14ac:dyDescent="0.25">
      <c r="A7267" t="s">
        <v>7862</v>
      </c>
      <c r="B7267" s="9">
        <v>0.05</v>
      </c>
    </row>
    <row r="7268" spans="1:2" x14ac:dyDescent="0.25">
      <c r="A7268" t="s">
        <v>7863</v>
      </c>
      <c r="B7268" s="9">
        <v>0.05</v>
      </c>
    </row>
    <row r="7269" spans="1:2" x14ac:dyDescent="0.25">
      <c r="A7269" t="s">
        <v>7864</v>
      </c>
      <c r="B7269" s="9">
        <v>0.05</v>
      </c>
    </row>
    <row r="7270" spans="1:2" x14ac:dyDescent="0.25">
      <c r="A7270" t="s">
        <v>7865</v>
      </c>
      <c r="B7270" s="9">
        <v>0.05</v>
      </c>
    </row>
    <row r="7271" spans="1:2" x14ac:dyDescent="0.25">
      <c r="A7271" t="s">
        <v>7866</v>
      </c>
      <c r="B7271" s="9">
        <v>0.05</v>
      </c>
    </row>
    <row r="7272" spans="1:2" x14ac:dyDescent="0.25">
      <c r="A7272" t="s">
        <v>7867</v>
      </c>
      <c r="B7272" s="9">
        <v>0.05</v>
      </c>
    </row>
    <row r="7273" spans="1:2" x14ac:dyDescent="0.25">
      <c r="A7273" t="s">
        <v>7868</v>
      </c>
      <c r="B7273" s="9">
        <v>0.05</v>
      </c>
    </row>
    <row r="7274" spans="1:2" x14ac:dyDescent="0.25">
      <c r="A7274" t="s">
        <v>7869</v>
      </c>
      <c r="B7274" s="9">
        <v>0.05</v>
      </c>
    </row>
    <row r="7275" spans="1:2" x14ac:dyDescent="0.25">
      <c r="A7275" t="s">
        <v>7870</v>
      </c>
      <c r="B7275" s="9">
        <v>0.05</v>
      </c>
    </row>
    <row r="7276" spans="1:2" x14ac:dyDescent="0.25">
      <c r="A7276" t="s">
        <v>7871</v>
      </c>
      <c r="B7276" s="9">
        <v>0.05</v>
      </c>
    </row>
    <row r="7277" spans="1:2" x14ac:dyDescent="0.25">
      <c r="A7277" t="s">
        <v>7872</v>
      </c>
      <c r="B7277" s="9">
        <v>0.05</v>
      </c>
    </row>
    <row r="7278" spans="1:2" x14ac:dyDescent="0.25">
      <c r="A7278" t="s">
        <v>7873</v>
      </c>
      <c r="B7278" s="9">
        <v>0.05</v>
      </c>
    </row>
    <row r="7279" spans="1:2" x14ac:dyDescent="0.25">
      <c r="A7279" t="s">
        <v>7874</v>
      </c>
      <c r="B7279" s="9">
        <v>0.05</v>
      </c>
    </row>
    <row r="7280" spans="1:2" x14ac:dyDescent="0.25">
      <c r="A7280" t="s">
        <v>7875</v>
      </c>
      <c r="B7280" s="9">
        <v>0</v>
      </c>
    </row>
    <row r="7281" spans="1:2" x14ac:dyDescent="0.25">
      <c r="A7281" t="s">
        <v>7876</v>
      </c>
      <c r="B7281" s="9">
        <v>0</v>
      </c>
    </row>
    <row r="7282" spans="1:2" x14ac:dyDescent="0.25">
      <c r="A7282" t="s">
        <v>7877</v>
      </c>
      <c r="B7282" s="9">
        <v>0</v>
      </c>
    </row>
    <row r="7283" spans="1:2" x14ac:dyDescent="0.25">
      <c r="A7283" t="s">
        <v>7878</v>
      </c>
      <c r="B7283" s="9">
        <v>0</v>
      </c>
    </row>
    <row r="7284" spans="1:2" x14ac:dyDescent="0.25">
      <c r="A7284" t="s">
        <v>7879</v>
      </c>
      <c r="B7284" s="9">
        <v>0</v>
      </c>
    </row>
    <row r="7285" spans="1:2" x14ac:dyDescent="0.25">
      <c r="A7285" t="s">
        <v>7880</v>
      </c>
      <c r="B7285" s="9">
        <v>0</v>
      </c>
    </row>
    <row r="7286" spans="1:2" x14ac:dyDescent="0.25">
      <c r="A7286" t="s">
        <v>7881</v>
      </c>
      <c r="B7286" s="9">
        <v>0</v>
      </c>
    </row>
    <row r="7287" spans="1:2" x14ac:dyDescent="0.25">
      <c r="A7287" t="s">
        <v>7882</v>
      </c>
      <c r="B7287" s="9">
        <v>0</v>
      </c>
    </row>
    <row r="7288" spans="1:2" x14ac:dyDescent="0.25">
      <c r="A7288" t="s">
        <v>7883</v>
      </c>
      <c r="B7288" s="9">
        <v>0</v>
      </c>
    </row>
    <row r="7289" spans="1:2" x14ac:dyDescent="0.25">
      <c r="A7289" t="s">
        <v>7884</v>
      </c>
      <c r="B7289" s="9">
        <v>0</v>
      </c>
    </row>
    <row r="7290" spans="1:2" x14ac:dyDescent="0.25">
      <c r="A7290" t="s">
        <v>7885</v>
      </c>
      <c r="B7290" s="9">
        <v>0</v>
      </c>
    </row>
    <row r="7291" spans="1:2" x14ac:dyDescent="0.25">
      <c r="A7291" t="s">
        <v>7886</v>
      </c>
      <c r="B7291" s="9">
        <v>0</v>
      </c>
    </row>
    <row r="7292" spans="1:2" x14ac:dyDescent="0.25">
      <c r="A7292" t="s">
        <v>7887</v>
      </c>
      <c r="B7292" s="9">
        <v>0</v>
      </c>
    </row>
    <row r="7293" spans="1:2" x14ac:dyDescent="0.25">
      <c r="A7293" t="s">
        <v>7888</v>
      </c>
      <c r="B7293" s="9">
        <v>0.05</v>
      </c>
    </row>
    <row r="7294" spans="1:2" x14ac:dyDescent="0.25">
      <c r="A7294" t="s">
        <v>7889</v>
      </c>
      <c r="B7294" s="9">
        <v>0.05</v>
      </c>
    </row>
    <row r="7295" spans="1:2" x14ac:dyDescent="0.25">
      <c r="A7295" t="s">
        <v>7890</v>
      </c>
      <c r="B7295" s="9">
        <v>0.05</v>
      </c>
    </row>
    <row r="7296" spans="1:2" x14ac:dyDescent="0.25">
      <c r="A7296" t="s">
        <v>7891</v>
      </c>
      <c r="B7296" s="9">
        <v>0.05</v>
      </c>
    </row>
    <row r="7297" spans="1:2" x14ac:dyDescent="0.25">
      <c r="A7297" t="s">
        <v>7892</v>
      </c>
      <c r="B7297" s="9">
        <v>0</v>
      </c>
    </row>
    <row r="7298" spans="1:2" x14ac:dyDescent="0.25">
      <c r="A7298" t="s">
        <v>7893</v>
      </c>
      <c r="B7298" s="9">
        <v>0</v>
      </c>
    </row>
    <row r="7299" spans="1:2" x14ac:dyDescent="0.25">
      <c r="A7299" t="s">
        <v>7894</v>
      </c>
      <c r="B7299" s="9">
        <v>0</v>
      </c>
    </row>
    <row r="7300" spans="1:2" x14ac:dyDescent="0.25">
      <c r="A7300" t="s">
        <v>7895</v>
      </c>
      <c r="B7300" s="9">
        <v>0</v>
      </c>
    </row>
    <row r="7301" spans="1:2" x14ac:dyDescent="0.25">
      <c r="A7301" t="s">
        <v>7896</v>
      </c>
      <c r="B7301" s="9">
        <v>0</v>
      </c>
    </row>
    <row r="7302" spans="1:2" x14ac:dyDescent="0.25">
      <c r="A7302" t="s">
        <v>7897</v>
      </c>
      <c r="B7302" s="9">
        <v>0</v>
      </c>
    </row>
    <row r="7303" spans="1:2" x14ac:dyDescent="0.25">
      <c r="A7303" t="s">
        <v>7898</v>
      </c>
      <c r="B7303" s="9">
        <v>0</v>
      </c>
    </row>
    <row r="7304" spans="1:2" x14ac:dyDescent="0.25">
      <c r="A7304" t="s">
        <v>7899</v>
      </c>
      <c r="B7304" s="9">
        <v>0</v>
      </c>
    </row>
    <row r="7305" spans="1:2" x14ac:dyDescent="0.25">
      <c r="A7305" t="s">
        <v>7900</v>
      </c>
      <c r="B7305" s="9">
        <v>0</v>
      </c>
    </row>
    <row r="7306" spans="1:2" x14ac:dyDescent="0.25">
      <c r="A7306" t="s">
        <v>7901</v>
      </c>
      <c r="B7306" s="9">
        <v>0</v>
      </c>
    </row>
    <row r="7307" spans="1:2" x14ac:dyDescent="0.25">
      <c r="A7307" t="s">
        <v>7902</v>
      </c>
      <c r="B7307" s="9">
        <v>0</v>
      </c>
    </row>
    <row r="7308" spans="1:2" x14ac:dyDescent="0.25">
      <c r="A7308" t="s">
        <v>7903</v>
      </c>
      <c r="B7308" s="9">
        <v>0</v>
      </c>
    </row>
    <row r="7309" spans="1:2" x14ac:dyDescent="0.25">
      <c r="A7309" t="s">
        <v>7904</v>
      </c>
      <c r="B7309" s="9">
        <v>0</v>
      </c>
    </row>
    <row r="7310" spans="1:2" x14ac:dyDescent="0.25">
      <c r="A7310" t="s">
        <v>7905</v>
      </c>
      <c r="B7310" s="9">
        <v>0</v>
      </c>
    </row>
    <row r="7311" spans="1:2" x14ac:dyDescent="0.25">
      <c r="A7311" t="s">
        <v>7906</v>
      </c>
      <c r="B7311" s="9">
        <v>0</v>
      </c>
    </row>
    <row r="7312" spans="1:2" x14ac:dyDescent="0.25">
      <c r="A7312" t="s">
        <v>7907</v>
      </c>
      <c r="B7312" s="9">
        <v>0.05</v>
      </c>
    </row>
    <row r="7313" spans="1:2" x14ac:dyDescent="0.25">
      <c r="A7313" t="s">
        <v>7908</v>
      </c>
      <c r="B7313" s="9">
        <v>0.05</v>
      </c>
    </row>
    <row r="7314" spans="1:2" x14ac:dyDescent="0.25">
      <c r="A7314" t="s">
        <v>7909</v>
      </c>
      <c r="B7314" s="9">
        <v>0.05</v>
      </c>
    </row>
    <row r="7315" spans="1:2" x14ac:dyDescent="0.25">
      <c r="A7315" t="s">
        <v>7910</v>
      </c>
      <c r="B7315" s="9">
        <v>0.05</v>
      </c>
    </row>
    <row r="7316" spans="1:2" x14ac:dyDescent="0.25">
      <c r="A7316" t="s">
        <v>7911</v>
      </c>
      <c r="B7316" s="9">
        <v>0.05</v>
      </c>
    </row>
    <row r="7317" spans="1:2" x14ac:dyDescent="0.25">
      <c r="A7317" t="s">
        <v>7912</v>
      </c>
      <c r="B7317" s="9">
        <v>0.05</v>
      </c>
    </row>
    <row r="7318" spans="1:2" x14ac:dyDescent="0.25">
      <c r="A7318" t="s">
        <v>7913</v>
      </c>
      <c r="B7318" s="9">
        <v>0.05</v>
      </c>
    </row>
    <row r="7319" spans="1:2" x14ac:dyDescent="0.25">
      <c r="A7319" t="s">
        <v>7914</v>
      </c>
      <c r="B7319" s="9">
        <v>0.05</v>
      </c>
    </row>
    <row r="7320" spans="1:2" x14ac:dyDescent="0.25">
      <c r="A7320" t="s">
        <v>7915</v>
      </c>
      <c r="B7320" s="9">
        <v>0.05</v>
      </c>
    </row>
    <row r="7321" spans="1:2" x14ac:dyDescent="0.25">
      <c r="A7321" t="s">
        <v>7916</v>
      </c>
      <c r="B7321" s="9">
        <v>0.05</v>
      </c>
    </row>
    <row r="7322" spans="1:2" x14ac:dyDescent="0.25">
      <c r="A7322" t="s">
        <v>7917</v>
      </c>
      <c r="B7322" s="9">
        <v>0.05</v>
      </c>
    </row>
    <row r="7323" spans="1:2" x14ac:dyDescent="0.25">
      <c r="A7323" t="s">
        <v>7918</v>
      </c>
      <c r="B7323" s="9">
        <v>0.05</v>
      </c>
    </row>
    <row r="7324" spans="1:2" x14ac:dyDescent="0.25">
      <c r="A7324" t="s">
        <v>7919</v>
      </c>
      <c r="B7324" s="9">
        <v>0.05</v>
      </c>
    </row>
    <row r="7325" spans="1:2" x14ac:dyDescent="0.25">
      <c r="A7325" t="s">
        <v>7920</v>
      </c>
      <c r="B7325" s="9">
        <v>0.05</v>
      </c>
    </row>
    <row r="7326" spans="1:2" x14ac:dyDescent="0.25">
      <c r="A7326" t="s">
        <v>7921</v>
      </c>
      <c r="B7326" s="9">
        <v>0.05</v>
      </c>
    </row>
    <row r="7327" spans="1:2" x14ac:dyDescent="0.25">
      <c r="A7327" t="s">
        <v>7922</v>
      </c>
      <c r="B7327" s="9">
        <v>0.05</v>
      </c>
    </row>
    <row r="7328" spans="1:2" x14ac:dyDescent="0.25">
      <c r="A7328" t="s">
        <v>7923</v>
      </c>
      <c r="B7328" s="9">
        <v>0.05</v>
      </c>
    </row>
    <row r="7329" spans="1:2" x14ac:dyDescent="0.25">
      <c r="A7329" t="s">
        <v>7924</v>
      </c>
      <c r="B7329" s="9">
        <v>0.05</v>
      </c>
    </row>
    <row r="7330" spans="1:2" x14ac:dyDescent="0.25">
      <c r="A7330" t="s">
        <v>7925</v>
      </c>
      <c r="B7330" s="9">
        <v>0.05</v>
      </c>
    </row>
    <row r="7331" spans="1:2" x14ac:dyDescent="0.25">
      <c r="A7331" t="s">
        <v>7926</v>
      </c>
      <c r="B7331" s="9">
        <v>0.05</v>
      </c>
    </row>
    <row r="7332" spans="1:2" x14ac:dyDescent="0.25">
      <c r="A7332" t="s">
        <v>7927</v>
      </c>
      <c r="B7332" s="9">
        <v>0.05</v>
      </c>
    </row>
    <row r="7333" spans="1:2" x14ac:dyDescent="0.25">
      <c r="A7333" t="s">
        <v>7928</v>
      </c>
      <c r="B7333" s="9">
        <v>0.05</v>
      </c>
    </row>
    <row r="7334" spans="1:2" x14ac:dyDescent="0.25">
      <c r="A7334" t="s">
        <v>7929</v>
      </c>
      <c r="B7334" s="9">
        <v>0.05</v>
      </c>
    </row>
    <row r="7335" spans="1:2" x14ac:dyDescent="0.25">
      <c r="A7335" t="s">
        <v>7930</v>
      </c>
      <c r="B7335" s="9">
        <v>0.05</v>
      </c>
    </row>
    <row r="7336" spans="1:2" x14ac:dyDescent="0.25">
      <c r="A7336" t="s">
        <v>7931</v>
      </c>
      <c r="B7336" s="9">
        <v>0.05</v>
      </c>
    </row>
    <row r="7337" spans="1:2" x14ac:dyDescent="0.25">
      <c r="A7337" t="s">
        <v>7932</v>
      </c>
      <c r="B7337" s="9">
        <v>0.05</v>
      </c>
    </row>
    <row r="7338" spans="1:2" x14ac:dyDescent="0.25">
      <c r="A7338" t="s">
        <v>7933</v>
      </c>
      <c r="B7338" s="9">
        <v>0.05</v>
      </c>
    </row>
    <row r="7339" spans="1:2" x14ac:dyDescent="0.25">
      <c r="A7339" t="s">
        <v>7934</v>
      </c>
      <c r="B7339" s="9">
        <v>0.05</v>
      </c>
    </row>
    <row r="7340" spans="1:2" x14ac:dyDescent="0.25">
      <c r="A7340" t="s">
        <v>7935</v>
      </c>
      <c r="B7340" s="9">
        <v>0.05</v>
      </c>
    </row>
    <row r="7341" spans="1:2" x14ac:dyDescent="0.25">
      <c r="A7341" t="s">
        <v>7936</v>
      </c>
      <c r="B7341" s="9">
        <v>0.05</v>
      </c>
    </row>
    <row r="7342" spans="1:2" x14ac:dyDescent="0.25">
      <c r="A7342" t="s">
        <v>7937</v>
      </c>
      <c r="B7342" s="9">
        <v>0.05</v>
      </c>
    </row>
    <row r="7343" spans="1:2" x14ac:dyDescent="0.25">
      <c r="A7343" t="s">
        <v>7938</v>
      </c>
      <c r="B7343" s="9">
        <v>0.05</v>
      </c>
    </row>
    <row r="7344" spans="1:2" x14ac:dyDescent="0.25">
      <c r="A7344" t="s">
        <v>7939</v>
      </c>
      <c r="B7344" s="9">
        <v>0.05</v>
      </c>
    </row>
    <row r="7345" spans="1:2" x14ac:dyDescent="0.25">
      <c r="A7345" t="s">
        <v>7940</v>
      </c>
      <c r="B7345" s="9">
        <v>0.05</v>
      </c>
    </row>
    <row r="7346" spans="1:2" x14ac:dyDescent="0.25">
      <c r="A7346" t="s">
        <v>7941</v>
      </c>
      <c r="B7346" s="9">
        <v>0.05</v>
      </c>
    </row>
    <row r="7347" spans="1:2" x14ac:dyDescent="0.25">
      <c r="A7347" t="s">
        <v>7942</v>
      </c>
      <c r="B7347" s="9">
        <v>0.05</v>
      </c>
    </row>
    <row r="7348" spans="1:2" x14ac:dyDescent="0.25">
      <c r="A7348" t="s">
        <v>7943</v>
      </c>
      <c r="B7348" s="9">
        <v>0.05</v>
      </c>
    </row>
    <row r="7349" spans="1:2" x14ac:dyDescent="0.25">
      <c r="A7349" t="s">
        <v>7944</v>
      </c>
      <c r="B7349" s="9">
        <v>0.05</v>
      </c>
    </row>
    <row r="7350" spans="1:2" x14ac:dyDescent="0.25">
      <c r="A7350" t="s">
        <v>7945</v>
      </c>
      <c r="B7350" s="9">
        <v>0.05</v>
      </c>
    </row>
    <row r="7351" spans="1:2" x14ac:dyDescent="0.25">
      <c r="A7351" t="s">
        <v>7946</v>
      </c>
      <c r="B7351" s="9">
        <v>0.05</v>
      </c>
    </row>
    <row r="7352" spans="1:2" x14ac:dyDescent="0.25">
      <c r="A7352" t="s">
        <v>7947</v>
      </c>
      <c r="B7352" s="9">
        <v>0.05</v>
      </c>
    </row>
    <row r="7353" spans="1:2" x14ac:dyDescent="0.25">
      <c r="A7353" t="s">
        <v>7948</v>
      </c>
      <c r="B7353" s="9">
        <v>0.05</v>
      </c>
    </row>
    <row r="7354" spans="1:2" x14ac:dyDescent="0.25">
      <c r="A7354" t="s">
        <v>7949</v>
      </c>
      <c r="B7354" s="9">
        <v>0.05</v>
      </c>
    </row>
    <row r="7355" spans="1:2" x14ac:dyDescent="0.25">
      <c r="A7355" t="s">
        <v>7950</v>
      </c>
      <c r="B7355" s="9">
        <v>0.05</v>
      </c>
    </row>
    <row r="7356" spans="1:2" x14ac:dyDescent="0.25">
      <c r="A7356" t="s">
        <v>7951</v>
      </c>
      <c r="B7356" s="9">
        <v>0.05</v>
      </c>
    </row>
    <row r="7357" spans="1:2" x14ac:dyDescent="0.25">
      <c r="A7357" t="s">
        <v>7952</v>
      </c>
      <c r="B7357" s="9">
        <v>0.05</v>
      </c>
    </row>
    <row r="7358" spans="1:2" x14ac:dyDescent="0.25">
      <c r="A7358" t="s">
        <v>7953</v>
      </c>
      <c r="B7358" s="9">
        <v>0.05</v>
      </c>
    </row>
    <row r="7359" spans="1:2" x14ac:dyDescent="0.25">
      <c r="A7359" t="s">
        <v>7954</v>
      </c>
      <c r="B7359" s="9">
        <v>0.05</v>
      </c>
    </row>
    <row r="7360" spans="1:2" x14ac:dyDescent="0.25">
      <c r="A7360" t="s">
        <v>7955</v>
      </c>
      <c r="B7360" s="9">
        <v>0.05</v>
      </c>
    </row>
    <row r="7361" spans="1:2" x14ac:dyDescent="0.25">
      <c r="A7361" t="s">
        <v>7956</v>
      </c>
      <c r="B7361" s="9">
        <v>0.05</v>
      </c>
    </row>
    <row r="7362" spans="1:2" x14ac:dyDescent="0.25">
      <c r="A7362" t="s">
        <v>7957</v>
      </c>
      <c r="B7362" s="9">
        <v>0.05</v>
      </c>
    </row>
    <row r="7363" spans="1:2" x14ac:dyDescent="0.25">
      <c r="A7363" t="s">
        <v>7958</v>
      </c>
      <c r="B7363" s="9">
        <v>0.05</v>
      </c>
    </row>
    <row r="7364" spans="1:2" x14ac:dyDescent="0.25">
      <c r="A7364" t="s">
        <v>7959</v>
      </c>
      <c r="B7364" s="9">
        <v>0.05</v>
      </c>
    </row>
    <row r="7365" spans="1:2" x14ac:dyDescent="0.25">
      <c r="A7365" t="s">
        <v>7960</v>
      </c>
      <c r="B7365" s="9">
        <v>0.05</v>
      </c>
    </row>
    <row r="7366" spans="1:2" x14ac:dyDescent="0.25">
      <c r="A7366" t="s">
        <v>7961</v>
      </c>
      <c r="B7366" s="9">
        <v>0.05</v>
      </c>
    </row>
    <row r="7367" spans="1:2" x14ac:dyDescent="0.25">
      <c r="A7367" t="s">
        <v>7962</v>
      </c>
      <c r="B7367" s="9">
        <v>0.05</v>
      </c>
    </row>
    <row r="7368" spans="1:2" x14ac:dyDescent="0.25">
      <c r="A7368" t="s">
        <v>7963</v>
      </c>
      <c r="B7368" s="9">
        <v>0.05</v>
      </c>
    </row>
    <row r="7369" spans="1:2" x14ac:dyDescent="0.25">
      <c r="A7369" t="s">
        <v>7964</v>
      </c>
      <c r="B7369" s="9">
        <v>0.05</v>
      </c>
    </row>
    <row r="7370" spans="1:2" x14ac:dyDescent="0.25">
      <c r="A7370" t="s">
        <v>7965</v>
      </c>
      <c r="B7370" s="9">
        <v>0.05</v>
      </c>
    </row>
    <row r="7371" spans="1:2" x14ac:dyDescent="0.25">
      <c r="A7371" t="s">
        <v>7966</v>
      </c>
      <c r="B7371" s="9">
        <v>0.05</v>
      </c>
    </row>
    <row r="7372" spans="1:2" x14ac:dyDescent="0.25">
      <c r="A7372" t="s">
        <v>7967</v>
      </c>
      <c r="B7372" s="9">
        <v>0.05</v>
      </c>
    </row>
    <row r="7373" spans="1:2" x14ac:dyDescent="0.25">
      <c r="A7373" t="s">
        <v>7968</v>
      </c>
      <c r="B7373" s="9">
        <v>0.05</v>
      </c>
    </row>
    <row r="7374" spans="1:2" x14ac:dyDescent="0.25">
      <c r="A7374" t="s">
        <v>7969</v>
      </c>
      <c r="B7374" s="9">
        <v>0.05</v>
      </c>
    </row>
    <row r="7375" spans="1:2" x14ac:dyDescent="0.25">
      <c r="A7375" t="s">
        <v>7970</v>
      </c>
      <c r="B7375" s="9">
        <v>0.05</v>
      </c>
    </row>
    <row r="7376" spans="1:2" x14ac:dyDescent="0.25">
      <c r="A7376" t="s">
        <v>7971</v>
      </c>
      <c r="B7376" s="9">
        <v>0.05</v>
      </c>
    </row>
    <row r="7377" spans="1:2" x14ac:dyDescent="0.25">
      <c r="A7377" t="s">
        <v>7972</v>
      </c>
      <c r="B7377" s="9">
        <v>0.05</v>
      </c>
    </row>
    <row r="7378" spans="1:2" x14ac:dyDescent="0.25">
      <c r="A7378" t="s">
        <v>7973</v>
      </c>
      <c r="B7378" s="9">
        <v>0.05</v>
      </c>
    </row>
    <row r="7379" spans="1:2" x14ac:dyDescent="0.25">
      <c r="A7379" t="s">
        <v>7974</v>
      </c>
      <c r="B7379" s="9">
        <v>0.05</v>
      </c>
    </row>
    <row r="7380" spans="1:2" x14ac:dyDescent="0.25">
      <c r="A7380" t="s">
        <v>7975</v>
      </c>
      <c r="B7380" s="9">
        <v>0.05</v>
      </c>
    </row>
    <row r="7381" spans="1:2" x14ac:dyDescent="0.25">
      <c r="A7381" t="s">
        <v>7976</v>
      </c>
      <c r="B7381" s="9">
        <v>0.05</v>
      </c>
    </row>
    <row r="7382" spans="1:2" x14ac:dyDescent="0.25">
      <c r="A7382" t="s">
        <v>7977</v>
      </c>
      <c r="B7382" s="9">
        <v>0.05</v>
      </c>
    </row>
    <row r="7383" spans="1:2" x14ac:dyDescent="0.25">
      <c r="A7383" t="s">
        <v>7978</v>
      </c>
      <c r="B7383" s="9">
        <v>0.05</v>
      </c>
    </row>
    <row r="7384" spans="1:2" x14ac:dyDescent="0.25">
      <c r="A7384" t="s">
        <v>7979</v>
      </c>
      <c r="B7384" s="9">
        <v>0.05</v>
      </c>
    </row>
    <row r="7385" spans="1:2" x14ac:dyDescent="0.25">
      <c r="A7385" t="s">
        <v>7980</v>
      </c>
      <c r="B7385" s="9">
        <v>0.05</v>
      </c>
    </row>
    <row r="7386" spans="1:2" x14ac:dyDescent="0.25">
      <c r="A7386" t="s">
        <v>7981</v>
      </c>
      <c r="B7386" s="9">
        <v>0.05</v>
      </c>
    </row>
    <row r="7387" spans="1:2" x14ac:dyDescent="0.25">
      <c r="A7387" t="s">
        <v>7982</v>
      </c>
      <c r="B7387" s="9">
        <v>0.05</v>
      </c>
    </row>
    <row r="7388" spans="1:2" x14ac:dyDescent="0.25">
      <c r="A7388" t="s">
        <v>7983</v>
      </c>
      <c r="B7388" s="9">
        <v>0.05</v>
      </c>
    </row>
    <row r="7389" spans="1:2" x14ac:dyDescent="0.25">
      <c r="A7389" t="s">
        <v>7984</v>
      </c>
      <c r="B7389" s="9">
        <v>0</v>
      </c>
    </row>
    <row r="7390" spans="1:2" x14ac:dyDescent="0.25">
      <c r="A7390" t="s">
        <v>7985</v>
      </c>
      <c r="B7390" s="9">
        <v>0.1</v>
      </c>
    </row>
    <row r="7391" spans="1:2" x14ac:dyDescent="0.25">
      <c r="A7391" t="s">
        <v>7986</v>
      </c>
      <c r="B7391" s="9">
        <v>0</v>
      </c>
    </row>
    <row r="7392" spans="1:2" x14ac:dyDescent="0.25">
      <c r="A7392" t="s">
        <v>7987</v>
      </c>
      <c r="B7392" s="9">
        <v>0</v>
      </c>
    </row>
    <row r="7393" spans="1:2" x14ac:dyDescent="0.25">
      <c r="A7393" t="s">
        <v>7988</v>
      </c>
      <c r="B7393" s="9">
        <v>0</v>
      </c>
    </row>
    <row r="7394" spans="1:2" x14ac:dyDescent="0.25">
      <c r="A7394" t="s">
        <v>7989</v>
      </c>
      <c r="B7394" s="9">
        <v>0</v>
      </c>
    </row>
    <row r="7395" spans="1:2" x14ac:dyDescent="0.25">
      <c r="A7395" t="s">
        <v>7990</v>
      </c>
      <c r="B7395" s="9">
        <v>0</v>
      </c>
    </row>
    <row r="7396" spans="1:2" x14ac:dyDescent="0.25">
      <c r="A7396" t="s">
        <v>7991</v>
      </c>
      <c r="B7396" s="9">
        <v>0.05</v>
      </c>
    </row>
    <row r="7397" spans="1:2" x14ac:dyDescent="0.25">
      <c r="A7397" t="s">
        <v>7992</v>
      </c>
      <c r="B7397" s="9">
        <v>0</v>
      </c>
    </row>
    <row r="7398" spans="1:2" x14ac:dyDescent="0.25">
      <c r="A7398" t="s">
        <v>7993</v>
      </c>
      <c r="B7398" s="9">
        <v>0</v>
      </c>
    </row>
    <row r="7399" spans="1:2" x14ac:dyDescent="0.25">
      <c r="A7399" t="s">
        <v>7994</v>
      </c>
      <c r="B7399" s="9">
        <v>0</v>
      </c>
    </row>
    <row r="7400" spans="1:2" x14ac:dyDescent="0.25">
      <c r="A7400" t="s">
        <v>7995</v>
      </c>
      <c r="B7400" s="9">
        <v>0</v>
      </c>
    </row>
    <row r="7401" spans="1:2" x14ac:dyDescent="0.25">
      <c r="A7401" t="s">
        <v>7996</v>
      </c>
      <c r="B7401" s="9">
        <v>0</v>
      </c>
    </row>
    <row r="7402" spans="1:2" x14ac:dyDescent="0.25">
      <c r="A7402" t="s">
        <v>7997</v>
      </c>
      <c r="B7402" s="9">
        <v>0</v>
      </c>
    </row>
    <row r="7403" spans="1:2" x14ac:dyDescent="0.25">
      <c r="A7403" t="s">
        <v>7998</v>
      </c>
      <c r="B7403" s="9">
        <v>0</v>
      </c>
    </row>
    <row r="7404" spans="1:2" x14ac:dyDescent="0.25">
      <c r="A7404" t="s">
        <v>7999</v>
      </c>
      <c r="B7404" s="9">
        <v>0</v>
      </c>
    </row>
    <row r="7405" spans="1:2" x14ac:dyDescent="0.25">
      <c r="A7405" t="s">
        <v>8000</v>
      </c>
      <c r="B7405" s="9">
        <v>0</v>
      </c>
    </row>
    <row r="7406" spans="1:2" x14ac:dyDescent="0.25">
      <c r="A7406" t="s">
        <v>8001</v>
      </c>
      <c r="B7406" s="9">
        <v>0</v>
      </c>
    </row>
    <row r="7407" spans="1:2" x14ac:dyDescent="0.25">
      <c r="A7407" t="s">
        <v>8002</v>
      </c>
      <c r="B7407" s="9">
        <v>0.05</v>
      </c>
    </row>
    <row r="7408" spans="1:2" x14ac:dyDescent="0.25">
      <c r="A7408" t="s">
        <v>8003</v>
      </c>
      <c r="B7408" s="9">
        <v>0.05</v>
      </c>
    </row>
    <row r="7409" spans="1:2" x14ac:dyDescent="0.25">
      <c r="A7409" t="s">
        <v>8004</v>
      </c>
      <c r="B7409" s="9">
        <v>0.05</v>
      </c>
    </row>
    <row r="7410" spans="1:2" x14ac:dyDescent="0.25">
      <c r="A7410" t="s">
        <v>8005</v>
      </c>
      <c r="B7410" s="9">
        <v>0.05</v>
      </c>
    </row>
    <row r="7411" spans="1:2" x14ac:dyDescent="0.25">
      <c r="A7411" t="s">
        <v>8006</v>
      </c>
      <c r="B7411" s="9">
        <v>0.05</v>
      </c>
    </row>
    <row r="7412" spans="1:2" x14ac:dyDescent="0.25">
      <c r="A7412" t="s">
        <v>8007</v>
      </c>
      <c r="B7412" s="9">
        <v>0.05</v>
      </c>
    </row>
    <row r="7413" spans="1:2" x14ac:dyDescent="0.25">
      <c r="A7413" t="s">
        <v>8008</v>
      </c>
      <c r="B7413" s="9">
        <v>0.05</v>
      </c>
    </row>
    <row r="7414" spans="1:2" x14ac:dyDescent="0.25">
      <c r="A7414" t="s">
        <v>8009</v>
      </c>
      <c r="B7414" s="9">
        <v>0.05</v>
      </c>
    </row>
    <row r="7415" spans="1:2" x14ac:dyDescent="0.25">
      <c r="A7415" t="s">
        <v>8010</v>
      </c>
      <c r="B7415" s="9">
        <v>0.05</v>
      </c>
    </row>
    <row r="7416" spans="1:2" x14ac:dyDescent="0.25">
      <c r="A7416" t="s">
        <v>8011</v>
      </c>
      <c r="B7416" s="9">
        <v>0.05</v>
      </c>
    </row>
    <row r="7417" spans="1:2" x14ac:dyDescent="0.25">
      <c r="A7417" t="s">
        <v>8012</v>
      </c>
      <c r="B7417" s="9">
        <v>0.05</v>
      </c>
    </row>
    <row r="7418" spans="1:2" x14ac:dyDescent="0.25">
      <c r="A7418" t="s">
        <v>8013</v>
      </c>
      <c r="B7418" s="9">
        <v>0.05</v>
      </c>
    </row>
    <row r="7419" spans="1:2" x14ac:dyDescent="0.25">
      <c r="A7419" t="s">
        <v>8014</v>
      </c>
      <c r="B7419" s="9">
        <v>0.05</v>
      </c>
    </row>
    <row r="7420" spans="1:2" x14ac:dyDescent="0.25">
      <c r="A7420" t="s">
        <v>8015</v>
      </c>
      <c r="B7420" s="9">
        <v>0.05</v>
      </c>
    </row>
    <row r="7421" spans="1:2" x14ac:dyDescent="0.25">
      <c r="A7421" t="s">
        <v>8016</v>
      </c>
      <c r="B7421" s="9">
        <v>0.05</v>
      </c>
    </row>
    <row r="7422" spans="1:2" x14ac:dyDescent="0.25">
      <c r="A7422" t="s">
        <v>8017</v>
      </c>
      <c r="B7422" s="9">
        <v>0.05</v>
      </c>
    </row>
    <row r="7423" spans="1:2" x14ac:dyDescent="0.25">
      <c r="A7423" t="s">
        <v>8018</v>
      </c>
      <c r="B7423" s="9">
        <v>0</v>
      </c>
    </row>
    <row r="7424" spans="1:2" x14ac:dyDescent="0.25">
      <c r="A7424" t="s">
        <v>8019</v>
      </c>
      <c r="B7424" s="9">
        <v>0</v>
      </c>
    </row>
    <row r="7425" spans="1:2" x14ac:dyDescent="0.25">
      <c r="A7425" t="s">
        <v>8020</v>
      </c>
      <c r="B7425" s="9">
        <v>0</v>
      </c>
    </row>
    <row r="7426" spans="1:2" x14ac:dyDescent="0.25">
      <c r="A7426" t="s">
        <v>8021</v>
      </c>
      <c r="B7426" s="9">
        <v>0</v>
      </c>
    </row>
    <row r="7427" spans="1:2" x14ac:dyDescent="0.25">
      <c r="A7427" t="s">
        <v>8022</v>
      </c>
      <c r="B7427" s="9">
        <v>0.05</v>
      </c>
    </row>
    <row r="7428" spans="1:2" x14ac:dyDescent="0.25">
      <c r="A7428" t="s">
        <v>8023</v>
      </c>
      <c r="B7428" s="9">
        <v>0.05</v>
      </c>
    </row>
    <row r="7429" spans="1:2" x14ac:dyDescent="0.25">
      <c r="A7429" t="s">
        <v>8024</v>
      </c>
      <c r="B7429" s="9">
        <v>0.05</v>
      </c>
    </row>
    <row r="7430" spans="1:2" x14ac:dyDescent="0.25">
      <c r="A7430" t="s">
        <v>8025</v>
      </c>
      <c r="B7430" s="9">
        <v>0</v>
      </c>
    </row>
    <row r="7431" spans="1:2" x14ac:dyDescent="0.25">
      <c r="A7431" t="s">
        <v>8026</v>
      </c>
      <c r="B7431" s="9">
        <v>0</v>
      </c>
    </row>
    <row r="7432" spans="1:2" x14ac:dyDescent="0.25">
      <c r="A7432" t="s">
        <v>8027</v>
      </c>
      <c r="B7432" s="9">
        <v>0</v>
      </c>
    </row>
    <row r="7433" spans="1:2" x14ac:dyDescent="0.25">
      <c r="A7433" t="s">
        <v>8028</v>
      </c>
      <c r="B7433" s="9">
        <v>0</v>
      </c>
    </row>
    <row r="7434" spans="1:2" x14ac:dyDescent="0.25">
      <c r="A7434" t="s">
        <v>8029</v>
      </c>
      <c r="B7434" s="9">
        <v>0.05</v>
      </c>
    </row>
    <row r="7435" spans="1:2" x14ac:dyDescent="0.25">
      <c r="A7435" t="s">
        <v>8030</v>
      </c>
      <c r="B7435" s="9">
        <v>0.05</v>
      </c>
    </row>
    <row r="7436" spans="1:2" x14ac:dyDescent="0.25">
      <c r="A7436" t="s">
        <v>8031</v>
      </c>
      <c r="B7436" s="9">
        <v>0.05</v>
      </c>
    </row>
    <row r="7437" spans="1:2" x14ac:dyDescent="0.25">
      <c r="A7437" t="s">
        <v>8032</v>
      </c>
      <c r="B7437" s="9">
        <v>0.05</v>
      </c>
    </row>
    <row r="7438" spans="1:2" x14ac:dyDescent="0.25">
      <c r="A7438" t="s">
        <v>8033</v>
      </c>
      <c r="B7438" s="9">
        <v>0.05</v>
      </c>
    </row>
    <row r="7439" spans="1:2" x14ac:dyDescent="0.25">
      <c r="A7439" t="s">
        <v>8034</v>
      </c>
      <c r="B7439" s="9">
        <v>0.05</v>
      </c>
    </row>
    <row r="7440" spans="1:2" x14ac:dyDescent="0.25">
      <c r="A7440" t="s">
        <v>8035</v>
      </c>
      <c r="B7440" s="9">
        <v>0.05</v>
      </c>
    </row>
    <row r="7441" spans="1:2" x14ac:dyDescent="0.25">
      <c r="A7441" t="s">
        <v>8036</v>
      </c>
      <c r="B7441" s="9">
        <v>0.05</v>
      </c>
    </row>
    <row r="7442" spans="1:2" x14ac:dyDescent="0.25">
      <c r="A7442" t="s">
        <v>8037</v>
      </c>
      <c r="B7442" s="9">
        <v>0.05</v>
      </c>
    </row>
    <row r="7443" spans="1:2" x14ac:dyDescent="0.25">
      <c r="A7443" t="s">
        <v>8038</v>
      </c>
      <c r="B7443" s="9">
        <v>0.05</v>
      </c>
    </row>
    <row r="7444" spans="1:2" x14ac:dyDescent="0.25">
      <c r="A7444" t="s">
        <v>8039</v>
      </c>
      <c r="B7444" s="9">
        <v>0.05</v>
      </c>
    </row>
    <row r="7445" spans="1:2" x14ac:dyDescent="0.25">
      <c r="A7445" t="s">
        <v>8040</v>
      </c>
      <c r="B7445" s="9">
        <v>0.05</v>
      </c>
    </row>
    <row r="7446" spans="1:2" x14ac:dyDescent="0.25">
      <c r="A7446" t="s">
        <v>8041</v>
      </c>
      <c r="B7446" s="9">
        <v>0.05</v>
      </c>
    </row>
    <row r="7447" spans="1:2" x14ac:dyDescent="0.25">
      <c r="A7447" t="s">
        <v>8042</v>
      </c>
      <c r="B7447" s="9">
        <v>0.05</v>
      </c>
    </row>
    <row r="7448" spans="1:2" x14ac:dyDescent="0.25">
      <c r="A7448" t="s">
        <v>8043</v>
      </c>
      <c r="B7448" s="9">
        <v>0.05</v>
      </c>
    </row>
    <row r="7449" spans="1:2" x14ac:dyDescent="0.25">
      <c r="A7449" t="s">
        <v>8044</v>
      </c>
      <c r="B7449" s="9">
        <v>0.05</v>
      </c>
    </row>
    <row r="7450" spans="1:2" x14ac:dyDescent="0.25">
      <c r="A7450" t="s">
        <v>8045</v>
      </c>
      <c r="B7450" s="9">
        <v>0.05</v>
      </c>
    </row>
    <row r="7451" spans="1:2" x14ac:dyDescent="0.25">
      <c r="A7451" t="s">
        <v>8046</v>
      </c>
      <c r="B7451" s="9">
        <v>0.05</v>
      </c>
    </row>
    <row r="7452" spans="1:2" x14ac:dyDescent="0.25">
      <c r="A7452" t="s">
        <v>8047</v>
      </c>
      <c r="B7452" s="9">
        <v>0.05</v>
      </c>
    </row>
    <row r="7453" spans="1:2" x14ac:dyDescent="0.25">
      <c r="A7453" t="s">
        <v>8048</v>
      </c>
      <c r="B7453" s="9">
        <v>0.05</v>
      </c>
    </row>
    <row r="7454" spans="1:2" x14ac:dyDescent="0.25">
      <c r="A7454" t="s">
        <v>8049</v>
      </c>
      <c r="B7454" s="9">
        <v>0</v>
      </c>
    </row>
    <row r="7455" spans="1:2" x14ac:dyDescent="0.25">
      <c r="A7455" t="s">
        <v>8050</v>
      </c>
      <c r="B7455" s="9">
        <v>0</v>
      </c>
    </row>
    <row r="7456" spans="1:2" x14ac:dyDescent="0.25">
      <c r="A7456" t="s">
        <v>8051</v>
      </c>
      <c r="B7456" s="9">
        <v>0</v>
      </c>
    </row>
    <row r="7457" spans="1:3" x14ac:dyDescent="0.25">
      <c r="A7457" t="s">
        <v>8052</v>
      </c>
      <c r="B7457" s="9">
        <v>0</v>
      </c>
    </row>
    <row r="7458" spans="1:3" x14ac:dyDescent="0.25">
      <c r="A7458" t="s">
        <v>8053</v>
      </c>
      <c r="B7458" s="9">
        <v>0</v>
      </c>
    </row>
    <row r="7459" spans="1:3" x14ac:dyDescent="0.25">
      <c r="A7459" t="s">
        <v>8054</v>
      </c>
      <c r="B7459" s="9">
        <v>0.05</v>
      </c>
    </row>
    <row r="7460" spans="1:3" x14ac:dyDescent="0.25">
      <c r="A7460" t="s">
        <v>8055</v>
      </c>
      <c r="B7460" s="9">
        <v>0</v>
      </c>
    </row>
    <row r="7461" spans="1:3" x14ac:dyDescent="0.25">
      <c r="A7461" t="s">
        <v>27</v>
      </c>
      <c r="B7461" s="9">
        <v>0</v>
      </c>
      <c r="C7461" t="s">
        <v>27</v>
      </c>
    </row>
    <row r="7462" spans="1:3" x14ac:dyDescent="0.25">
      <c r="A7462" t="s">
        <v>8056</v>
      </c>
      <c r="B7462" s="9">
        <v>0</v>
      </c>
    </row>
    <row r="7463" spans="1:3" x14ac:dyDescent="0.25">
      <c r="A7463" t="s">
        <v>8057</v>
      </c>
      <c r="B7463" s="9">
        <v>0</v>
      </c>
    </row>
    <row r="7464" spans="1:3" x14ac:dyDescent="0.25">
      <c r="A7464" t="s">
        <v>8058</v>
      </c>
      <c r="B7464" s="9">
        <v>0.05</v>
      </c>
    </row>
    <row r="7465" spans="1:3" x14ac:dyDescent="0.25">
      <c r="A7465" t="s">
        <v>8059</v>
      </c>
      <c r="B7465" s="9">
        <v>0.05</v>
      </c>
    </row>
    <row r="7466" spans="1:3" x14ac:dyDescent="0.25">
      <c r="A7466" t="s">
        <v>8060</v>
      </c>
      <c r="B7466" s="9">
        <v>0.1</v>
      </c>
    </row>
    <row r="7467" spans="1:3" x14ac:dyDescent="0.25">
      <c r="A7467" t="s">
        <v>8061</v>
      </c>
      <c r="B7467" s="9">
        <v>0.1</v>
      </c>
    </row>
    <row r="7468" spans="1:3" x14ac:dyDescent="0.25">
      <c r="A7468" t="s">
        <v>28</v>
      </c>
      <c r="B7468" s="9">
        <v>0.1</v>
      </c>
      <c r="C7468" t="s">
        <v>28</v>
      </c>
    </row>
    <row r="7469" spans="1:3" x14ac:dyDescent="0.25">
      <c r="A7469" t="s">
        <v>8062</v>
      </c>
      <c r="B7469" s="9">
        <v>0</v>
      </c>
    </row>
    <row r="7470" spans="1:3" x14ac:dyDescent="0.25">
      <c r="A7470" t="s">
        <v>29</v>
      </c>
      <c r="B7470" s="9">
        <v>0.1</v>
      </c>
      <c r="C7470" t="s">
        <v>29</v>
      </c>
    </row>
    <row r="7471" spans="1:3" x14ac:dyDescent="0.25">
      <c r="A7471" t="s">
        <v>8063</v>
      </c>
      <c r="B7471" s="9">
        <v>0.1</v>
      </c>
    </row>
    <row r="7472" spans="1:3" x14ac:dyDescent="0.25">
      <c r="A7472" t="s">
        <v>8064</v>
      </c>
      <c r="B7472" s="9">
        <v>0.15</v>
      </c>
    </row>
    <row r="7473" spans="1:2" x14ac:dyDescent="0.25">
      <c r="A7473" t="s">
        <v>8065</v>
      </c>
      <c r="B7473" s="9">
        <v>0.15</v>
      </c>
    </row>
    <row r="7474" spans="1:2" x14ac:dyDescent="0.25">
      <c r="A7474" t="s">
        <v>8066</v>
      </c>
      <c r="B7474" s="9">
        <v>0.05</v>
      </c>
    </row>
    <row r="7475" spans="1:2" x14ac:dyDescent="0.25">
      <c r="A7475" t="s">
        <v>8067</v>
      </c>
      <c r="B7475" s="9">
        <v>0.15</v>
      </c>
    </row>
    <row r="7476" spans="1:2" x14ac:dyDescent="0.25">
      <c r="A7476" t="s">
        <v>8068</v>
      </c>
      <c r="B7476" s="9">
        <v>0.05</v>
      </c>
    </row>
    <row r="7477" spans="1:2" x14ac:dyDescent="0.25">
      <c r="A7477" t="s">
        <v>8069</v>
      </c>
      <c r="B7477" s="9">
        <v>0.15</v>
      </c>
    </row>
    <row r="7478" spans="1:2" x14ac:dyDescent="0.25">
      <c r="A7478" t="s">
        <v>8070</v>
      </c>
      <c r="B7478" s="9">
        <v>0.15</v>
      </c>
    </row>
    <row r="7479" spans="1:2" x14ac:dyDescent="0.25">
      <c r="A7479" t="s">
        <v>8071</v>
      </c>
      <c r="B7479" s="9">
        <v>0.15</v>
      </c>
    </row>
    <row r="7480" spans="1:2" x14ac:dyDescent="0.25">
      <c r="A7480" t="s">
        <v>8072</v>
      </c>
      <c r="B7480" s="9">
        <v>0.15</v>
      </c>
    </row>
    <row r="7481" spans="1:2" x14ac:dyDescent="0.25">
      <c r="A7481" t="s">
        <v>8073</v>
      </c>
      <c r="B7481" s="9">
        <v>0</v>
      </c>
    </row>
    <row r="7482" spans="1:2" x14ac:dyDescent="0.25">
      <c r="A7482" t="s">
        <v>8074</v>
      </c>
      <c r="B7482" s="9">
        <v>0.15</v>
      </c>
    </row>
    <row r="7483" spans="1:2" x14ac:dyDescent="0.25">
      <c r="A7483" t="s">
        <v>8075</v>
      </c>
      <c r="B7483" s="9">
        <v>0.15</v>
      </c>
    </row>
    <row r="7484" spans="1:2" x14ac:dyDescent="0.25">
      <c r="A7484" t="s">
        <v>8076</v>
      </c>
      <c r="B7484" s="9">
        <v>0</v>
      </c>
    </row>
    <row r="7485" spans="1:2" x14ac:dyDescent="0.25">
      <c r="A7485" t="s">
        <v>8077</v>
      </c>
      <c r="B7485" s="9">
        <v>0.15</v>
      </c>
    </row>
    <row r="7486" spans="1:2" x14ac:dyDescent="0.25">
      <c r="A7486" t="s">
        <v>8078</v>
      </c>
      <c r="B7486" s="9">
        <v>0.15</v>
      </c>
    </row>
    <row r="7487" spans="1:2" x14ac:dyDescent="0.25">
      <c r="A7487" t="s">
        <v>8079</v>
      </c>
      <c r="B7487" s="9">
        <v>0.15</v>
      </c>
    </row>
    <row r="7488" spans="1:2" x14ac:dyDescent="0.25">
      <c r="A7488" t="s">
        <v>8080</v>
      </c>
      <c r="B7488" s="9">
        <v>0.15</v>
      </c>
    </row>
    <row r="7489" spans="1:2" x14ac:dyDescent="0.25">
      <c r="A7489" t="s">
        <v>8081</v>
      </c>
      <c r="B7489" s="9">
        <v>0.15</v>
      </c>
    </row>
    <row r="7490" spans="1:2" x14ac:dyDescent="0.25">
      <c r="A7490" t="s">
        <v>8082</v>
      </c>
      <c r="B7490" s="9">
        <v>0.15</v>
      </c>
    </row>
    <row r="7491" spans="1:2" x14ac:dyDescent="0.25">
      <c r="A7491" t="s">
        <v>8083</v>
      </c>
      <c r="B7491" s="9">
        <v>0.15</v>
      </c>
    </row>
    <row r="7492" spans="1:2" x14ac:dyDescent="0.25">
      <c r="A7492" t="s">
        <v>8084</v>
      </c>
      <c r="B7492" s="9">
        <v>0.15</v>
      </c>
    </row>
    <row r="7493" spans="1:2" x14ac:dyDescent="0.25">
      <c r="A7493" t="s">
        <v>8085</v>
      </c>
      <c r="B7493" s="9">
        <v>0.15</v>
      </c>
    </row>
    <row r="7494" spans="1:2" x14ac:dyDescent="0.25">
      <c r="A7494" t="s">
        <v>8086</v>
      </c>
      <c r="B7494" s="9">
        <v>0.15</v>
      </c>
    </row>
    <row r="7495" spans="1:2" x14ac:dyDescent="0.25">
      <c r="A7495" t="s">
        <v>8087</v>
      </c>
      <c r="B7495" s="9">
        <v>0.15</v>
      </c>
    </row>
    <row r="7496" spans="1:2" x14ac:dyDescent="0.25">
      <c r="A7496" t="s">
        <v>8088</v>
      </c>
      <c r="B7496" s="9">
        <v>0.15</v>
      </c>
    </row>
    <row r="7497" spans="1:2" x14ac:dyDescent="0.25">
      <c r="A7497" t="s">
        <v>8089</v>
      </c>
      <c r="B7497" s="9">
        <v>0.15</v>
      </c>
    </row>
    <row r="7498" spans="1:2" x14ac:dyDescent="0.25">
      <c r="A7498" t="s">
        <v>8090</v>
      </c>
      <c r="B7498" s="9">
        <v>0.15</v>
      </c>
    </row>
    <row r="7499" spans="1:2" x14ac:dyDescent="0.25">
      <c r="A7499" t="s">
        <v>8091</v>
      </c>
      <c r="B7499" s="9">
        <v>0.1</v>
      </c>
    </row>
    <row r="7500" spans="1:2" x14ac:dyDescent="0.25">
      <c r="A7500" t="s">
        <v>8092</v>
      </c>
      <c r="B7500" s="9">
        <v>0.1</v>
      </c>
    </row>
    <row r="7501" spans="1:2" x14ac:dyDescent="0.25">
      <c r="A7501" t="s">
        <v>8093</v>
      </c>
      <c r="B7501" s="9">
        <v>0.1</v>
      </c>
    </row>
    <row r="7502" spans="1:2" x14ac:dyDescent="0.25">
      <c r="A7502" t="s">
        <v>8094</v>
      </c>
      <c r="B7502" s="9">
        <v>0.1</v>
      </c>
    </row>
    <row r="7503" spans="1:2" x14ac:dyDescent="0.25">
      <c r="A7503" t="s">
        <v>8095</v>
      </c>
      <c r="B7503" s="9">
        <v>0.1</v>
      </c>
    </row>
    <row r="7504" spans="1:2" x14ac:dyDescent="0.25">
      <c r="A7504" t="s">
        <v>8096</v>
      </c>
      <c r="B7504" s="9">
        <v>0.1</v>
      </c>
    </row>
    <row r="7505" spans="1:3" x14ac:dyDescent="0.25">
      <c r="A7505" t="s">
        <v>8097</v>
      </c>
      <c r="B7505" s="9">
        <v>0.1</v>
      </c>
    </row>
    <row r="7506" spans="1:3" x14ac:dyDescent="0.25">
      <c r="A7506" t="s">
        <v>8098</v>
      </c>
      <c r="B7506" s="9">
        <v>0.1</v>
      </c>
    </row>
    <row r="7507" spans="1:3" x14ac:dyDescent="0.25">
      <c r="A7507" t="s">
        <v>8099</v>
      </c>
      <c r="B7507" s="9">
        <v>0.1</v>
      </c>
    </row>
    <row r="7508" spans="1:3" x14ac:dyDescent="0.25">
      <c r="A7508" t="s">
        <v>8100</v>
      </c>
      <c r="B7508" s="9">
        <v>0.1</v>
      </c>
    </row>
    <row r="7509" spans="1:3" x14ac:dyDescent="0.25">
      <c r="A7509" t="s">
        <v>8101</v>
      </c>
      <c r="B7509" s="9">
        <v>0.1</v>
      </c>
    </row>
    <row r="7510" spans="1:3" x14ac:dyDescent="0.25">
      <c r="A7510" t="s">
        <v>8102</v>
      </c>
      <c r="B7510" s="9">
        <v>0.1</v>
      </c>
    </row>
    <row r="7511" spans="1:3" x14ac:dyDescent="0.25">
      <c r="A7511" t="s">
        <v>8103</v>
      </c>
      <c r="B7511" s="9">
        <v>0.1</v>
      </c>
    </row>
    <row r="7512" spans="1:3" x14ac:dyDescent="0.25">
      <c r="A7512" t="s">
        <v>8104</v>
      </c>
      <c r="B7512" s="9">
        <v>0.1</v>
      </c>
    </row>
    <row r="7513" spans="1:3" x14ac:dyDescent="0.25">
      <c r="A7513" t="s">
        <v>8105</v>
      </c>
      <c r="B7513" s="9">
        <v>0.1</v>
      </c>
    </row>
    <row r="7514" spans="1:3" x14ac:dyDescent="0.25">
      <c r="A7514" t="s">
        <v>8106</v>
      </c>
      <c r="B7514" s="9">
        <v>0.1</v>
      </c>
    </row>
    <row r="7515" spans="1:3" x14ac:dyDescent="0.25">
      <c r="A7515" t="s">
        <v>8107</v>
      </c>
      <c r="B7515" s="9">
        <v>0.15</v>
      </c>
    </row>
    <row r="7516" spans="1:3" x14ac:dyDescent="0.25">
      <c r="A7516" t="s">
        <v>8108</v>
      </c>
      <c r="B7516" s="9">
        <v>0.15</v>
      </c>
    </row>
    <row r="7517" spans="1:3" x14ac:dyDescent="0.25">
      <c r="A7517" t="s">
        <v>30</v>
      </c>
      <c r="B7517" s="9">
        <v>0.15</v>
      </c>
      <c r="C7517" t="s">
        <v>30</v>
      </c>
    </row>
    <row r="7518" spans="1:3" x14ac:dyDescent="0.25">
      <c r="A7518" t="s">
        <v>8109</v>
      </c>
      <c r="B7518" s="9">
        <v>0.04</v>
      </c>
    </row>
    <row r="7519" spans="1:3" x14ac:dyDescent="0.25">
      <c r="A7519" t="s">
        <v>8110</v>
      </c>
      <c r="B7519" s="9">
        <v>0.15</v>
      </c>
    </row>
    <row r="7520" spans="1:3" x14ac:dyDescent="0.25">
      <c r="A7520" t="s">
        <v>8111</v>
      </c>
      <c r="B7520" s="9">
        <v>0.15</v>
      </c>
    </row>
    <row r="7521" spans="1:2" x14ac:dyDescent="0.25">
      <c r="A7521" t="s">
        <v>8112</v>
      </c>
      <c r="B7521" s="9">
        <v>0.15</v>
      </c>
    </row>
    <row r="7522" spans="1:2" x14ac:dyDescent="0.25">
      <c r="A7522" t="s">
        <v>8113</v>
      </c>
      <c r="B7522" s="9">
        <v>0.1</v>
      </c>
    </row>
    <row r="7523" spans="1:2" x14ac:dyDescent="0.25">
      <c r="A7523" t="s">
        <v>8114</v>
      </c>
      <c r="B7523" s="9">
        <v>0.04</v>
      </c>
    </row>
    <row r="7524" spans="1:2" x14ac:dyDescent="0.25">
      <c r="A7524" t="s">
        <v>8115</v>
      </c>
      <c r="B7524" s="9">
        <v>0.1</v>
      </c>
    </row>
    <row r="7525" spans="1:2" x14ac:dyDescent="0.25">
      <c r="A7525" t="s">
        <v>8116</v>
      </c>
      <c r="B7525" s="9">
        <v>0.04</v>
      </c>
    </row>
    <row r="7526" spans="1:2" x14ac:dyDescent="0.25">
      <c r="A7526" t="s">
        <v>8117</v>
      </c>
      <c r="B7526" s="9">
        <v>0.1</v>
      </c>
    </row>
    <row r="7527" spans="1:2" x14ac:dyDescent="0.25">
      <c r="A7527" t="s">
        <v>8118</v>
      </c>
      <c r="B7527" s="9">
        <v>0.04</v>
      </c>
    </row>
    <row r="7528" spans="1:2" x14ac:dyDescent="0.25">
      <c r="A7528" t="s">
        <v>8119</v>
      </c>
      <c r="B7528" s="9">
        <v>0.1</v>
      </c>
    </row>
    <row r="7529" spans="1:2" x14ac:dyDescent="0.25">
      <c r="A7529" t="s">
        <v>8120</v>
      </c>
      <c r="B7529" s="9">
        <v>0.1</v>
      </c>
    </row>
    <row r="7530" spans="1:2" x14ac:dyDescent="0.25">
      <c r="A7530" t="s">
        <v>8121</v>
      </c>
      <c r="B7530" s="9">
        <v>0.1</v>
      </c>
    </row>
    <row r="7531" spans="1:2" x14ac:dyDescent="0.25">
      <c r="A7531" t="s">
        <v>8122</v>
      </c>
      <c r="B7531" s="9">
        <v>0.1</v>
      </c>
    </row>
    <row r="7532" spans="1:2" x14ac:dyDescent="0.25">
      <c r="A7532" t="s">
        <v>8123</v>
      </c>
      <c r="B7532" s="9">
        <v>0.04</v>
      </c>
    </row>
    <row r="7533" spans="1:2" x14ac:dyDescent="0.25">
      <c r="A7533" t="s">
        <v>8124</v>
      </c>
      <c r="B7533" s="9">
        <v>0.15</v>
      </c>
    </row>
    <row r="7534" spans="1:2" x14ac:dyDescent="0.25">
      <c r="A7534" t="s">
        <v>8125</v>
      </c>
      <c r="B7534" s="9">
        <v>0.15</v>
      </c>
    </row>
    <row r="7535" spans="1:2" x14ac:dyDescent="0.25">
      <c r="A7535" t="s">
        <v>8126</v>
      </c>
      <c r="B7535" s="9">
        <v>0.15</v>
      </c>
    </row>
    <row r="7536" spans="1:2" x14ac:dyDescent="0.25">
      <c r="A7536" t="s">
        <v>8127</v>
      </c>
      <c r="B7536" s="9">
        <v>0.15</v>
      </c>
    </row>
    <row r="7537" spans="1:2" x14ac:dyDescent="0.25">
      <c r="A7537" t="s">
        <v>8128</v>
      </c>
      <c r="B7537" s="9">
        <v>0.1</v>
      </c>
    </row>
    <row r="7538" spans="1:2" x14ac:dyDescent="0.25">
      <c r="A7538" t="s">
        <v>8129</v>
      </c>
      <c r="B7538" s="9">
        <v>0.05</v>
      </c>
    </row>
    <row r="7539" spans="1:2" x14ac:dyDescent="0.25">
      <c r="A7539" t="s">
        <v>8130</v>
      </c>
      <c r="B7539" s="9">
        <v>0.1</v>
      </c>
    </row>
    <row r="7540" spans="1:2" x14ac:dyDescent="0.25">
      <c r="A7540" t="s">
        <v>8131</v>
      </c>
      <c r="B7540" s="9">
        <v>0.1</v>
      </c>
    </row>
    <row r="7541" spans="1:2" x14ac:dyDescent="0.25">
      <c r="A7541" t="s">
        <v>8132</v>
      </c>
      <c r="B7541" s="9">
        <v>0.1</v>
      </c>
    </row>
    <row r="7542" spans="1:2" x14ac:dyDescent="0.25">
      <c r="A7542" t="s">
        <v>8133</v>
      </c>
      <c r="B7542" s="9">
        <v>0.1</v>
      </c>
    </row>
    <row r="7543" spans="1:2" x14ac:dyDescent="0.25">
      <c r="A7543" t="s">
        <v>8134</v>
      </c>
      <c r="B7543" s="9">
        <v>0.1</v>
      </c>
    </row>
    <row r="7544" spans="1:2" x14ac:dyDescent="0.25">
      <c r="A7544" t="s">
        <v>8135</v>
      </c>
      <c r="B7544" s="9">
        <v>0</v>
      </c>
    </row>
    <row r="7545" spans="1:2" x14ac:dyDescent="0.25">
      <c r="A7545" t="s">
        <v>8136</v>
      </c>
      <c r="B7545" s="9">
        <v>0.1</v>
      </c>
    </row>
    <row r="7546" spans="1:2" x14ac:dyDescent="0.25">
      <c r="A7546" t="s">
        <v>8137</v>
      </c>
      <c r="B7546" s="9">
        <v>0.1</v>
      </c>
    </row>
    <row r="7547" spans="1:2" x14ac:dyDescent="0.25">
      <c r="A7547" t="s">
        <v>8138</v>
      </c>
      <c r="B7547" s="9">
        <v>0.1</v>
      </c>
    </row>
    <row r="7548" spans="1:2" x14ac:dyDescent="0.25">
      <c r="A7548" t="s">
        <v>8139</v>
      </c>
      <c r="B7548" s="9">
        <v>0.1</v>
      </c>
    </row>
    <row r="7549" spans="1:2" x14ac:dyDescent="0.25">
      <c r="A7549" t="s">
        <v>8140</v>
      </c>
      <c r="B7549" s="9">
        <v>0.1</v>
      </c>
    </row>
    <row r="7550" spans="1:2" x14ac:dyDescent="0.25">
      <c r="A7550" t="s">
        <v>8141</v>
      </c>
      <c r="B7550" s="9">
        <v>0.1</v>
      </c>
    </row>
    <row r="7551" spans="1:2" x14ac:dyDescent="0.25">
      <c r="A7551" t="s">
        <v>8142</v>
      </c>
      <c r="B7551" s="9">
        <v>0.1</v>
      </c>
    </row>
    <row r="7552" spans="1:2" x14ac:dyDescent="0.25">
      <c r="A7552" t="s">
        <v>8143</v>
      </c>
      <c r="B7552" s="9">
        <v>0.1</v>
      </c>
    </row>
    <row r="7553" spans="1:2" x14ac:dyDescent="0.25">
      <c r="A7553" t="s">
        <v>8144</v>
      </c>
      <c r="B7553" s="9">
        <v>0.1</v>
      </c>
    </row>
    <row r="7554" spans="1:2" x14ac:dyDescent="0.25">
      <c r="A7554" t="s">
        <v>8145</v>
      </c>
      <c r="B7554" s="9">
        <v>0.05</v>
      </c>
    </row>
    <row r="7555" spans="1:2" x14ac:dyDescent="0.25">
      <c r="A7555" t="s">
        <v>8146</v>
      </c>
      <c r="B7555" s="9">
        <v>0.05</v>
      </c>
    </row>
    <row r="7556" spans="1:2" x14ac:dyDescent="0.25">
      <c r="A7556" t="s">
        <v>8147</v>
      </c>
      <c r="B7556" s="9">
        <v>0.05</v>
      </c>
    </row>
    <row r="7557" spans="1:2" x14ac:dyDescent="0.25">
      <c r="A7557" t="s">
        <v>8148</v>
      </c>
      <c r="B7557" s="9">
        <v>0</v>
      </c>
    </row>
    <row r="7558" spans="1:2" x14ac:dyDescent="0.25">
      <c r="A7558" t="s">
        <v>8149</v>
      </c>
      <c r="B7558" s="9">
        <v>0</v>
      </c>
    </row>
    <row r="7559" spans="1:2" x14ac:dyDescent="0.25">
      <c r="A7559" t="s">
        <v>8150</v>
      </c>
      <c r="B7559" s="9">
        <v>0</v>
      </c>
    </row>
    <row r="7560" spans="1:2" x14ac:dyDescent="0.25">
      <c r="A7560" t="s">
        <v>8151</v>
      </c>
      <c r="B7560" s="9">
        <v>0</v>
      </c>
    </row>
    <row r="7561" spans="1:2" x14ac:dyDescent="0.25">
      <c r="A7561" t="s">
        <v>8152</v>
      </c>
      <c r="B7561" s="9">
        <v>0</v>
      </c>
    </row>
    <row r="7562" spans="1:2" x14ac:dyDescent="0.25">
      <c r="A7562" t="s">
        <v>8153</v>
      </c>
      <c r="B7562" s="9">
        <v>0</v>
      </c>
    </row>
    <row r="7563" spans="1:2" x14ac:dyDescent="0.25">
      <c r="A7563" t="s">
        <v>8154</v>
      </c>
      <c r="B7563" s="9">
        <v>0</v>
      </c>
    </row>
    <row r="7564" spans="1:2" x14ac:dyDescent="0.25">
      <c r="A7564" t="s">
        <v>8155</v>
      </c>
      <c r="B7564" s="9">
        <v>0</v>
      </c>
    </row>
    <row r="7565" spans="1:2" x14ac:dyDescent="0.25">
      <c r="A7565" t="s">
        <v>8156</v>
      </c>
      <c r="B7565" s="9">
        <v>0</v>
      </c>
    </row>
    <row r="7566" spans="1:2" x14ac:dyDescent="0.25">
      <c r="A7566" t="s">
        <v>8157</v>
      </c>
      <c r="B7566" s="9">
        <v>0</v>
      </c>
    </row>
    <row r="7567" spans="1:2" x14ac:dyDescent="0.25">
      <c r="A7567" t="s">
        <v>8158</v>
      </c>
      <c r="B7567" s="9">
        <v>0</v>
      </c>
    </row>
    <row r="7568" spans="1:2" x14ac:dyDescent="0.25">
      <c r="A7568" t="s">
        <v>8159</v>
      </c>
      <c r="B7568" s="9">
        <v>0</v>
      </c>
    </row>
    <row r="7569" spans="1:2" x14ac:dyDescent="0.25">
      <c r="A7569" t="s">
        <v>8160</v>
      </c>
      <c r="B7569" s="9">
        <v>0</v>
      </c>
    </row>
    <row r="7570" spans="1:2" x14ac:dyDescent="0.25">
      <c r="A7570" t="s">
        <v>8161</v>
      </c>
      <c r="B7570" s="9">
        <v>0.05</v>
      </c>
    </row>
    <row r="7571" spans="1:2" x14ac:dyDescent="0.25">
      <c r="A7571" t="s">
        <v>8162</v>
      </c>
      <c r="B7571" s="9">
        <v>0.05</v>
      </c>
    </row>
    <row r="7572" spans="1:2" x14ac:dyDescent="0.25">
      <c r="A7572" t="s">
        <v>8163</v>
      </c>
      <c r="B7572" s="9">
        <v>0.05</v>
      </c>
    </row>
    <row r="7573" spans="1:2" x14ac:dyDescent="0.25">
      <c r="A7573" t="s">
        <v>8164</v>
      </c>
      <c r="B7573" s="9">
        <v>0.05</v>
      </c>
    </row>
    <row r="7574" spans="1:2" x14ac:dyDescent="0.25">
      <c r="A7574" t="s">
        <v>8165</v>
      </c>
      <c r="B7574" s="9">
        <v>0.05</v>
      </c>
    </row>
    <row r="7575" spans="1:2" x14ac:dyDescent="0.25">
      <c r="A7575" t="s">
        <v>8166</v>
      </c>
      <c r="B7575" s="9">
        <v>0.05</v>
      </c>
    </row>
    <row r="7576" spans="1:2" x14ac:dyDescent="0.25">
      <c r="A7576" t="s">
        <v>8167</v>
      </c>
      <c r="B7576" s="9">
        <v>0.05</v>
      </c>
    </row>
    <row r="7577" spans="1:2" x14ac:dyDescent="0.25">
      <c r="A7577" t="s">
        <v>8168</v>
      </c>
      <c r="B7577" s="9">
        <v>0.05</v>
      </c>
    </row>
    <row r="7578" spans="1:2" x14ac:dyDescent="0.25">
      <c r="A7578" t="s">
        <v>8169</v>
      </c>
      <c r="B7578" s="9">
        <v>0</v>
      </c>
    </row>
    <row r="7579" spans="1:2" x14ac:dyDescent="0.25">
      <c r="A7579" t="s">
        <v>8170</v>
      </c>
      <c r="B7579" s="9">
        <v>0</v>
      </c>
    </row>
    <row r="7580" spans="1:2" x14ac:dyDescent="0.25">
      <c r="A7580" t="s">
        <v>8171</v>
      </c>
      <c r="B7580" s="9">
        <v>0.05</v>
      </c>
    </row>
    <row r="7581" spans="1:2" x14ac:dyDescent="0.25">
      <c r="A7581" t="s">
        <v>8172</v>
      </c>
      <c r="B7581" s="9">
        <v>0.05</v>
      </c>
    </row>
    <row r="7582" spans="1:2" x14ac:dyDescent="0.25">
      <c r="A7582" t="s">
        <v>8173</v>
      </c>
      <c r="B7582" s="9">
        <v>0.05</v>
      </c>
    </row>
    <row r="7583" spans="1:2" x14ac:dyDescent="0.25">
      <c r="A7583" t="s">
        <v>8174</v>
      </c>
      <c r="B7583" s="9">
        <v>0.05</v>
      </c>
    </row>
    <row r="7584" spans="1:2" x14ac:dyDescent="0.25">
      <c r="A7584" t="s">
        <v>8175</v>
      </c>
      <c r="B7584" s="9">
        <v>0.05</v>
      </c>
    </row>
    <row r="7585" spans="1:2" x14ac:dyDescent="0.25">
      <c r="A7585" t="s">
        <v>8176</v>
      </c>
      <c r="B7585" s="9">
        <v>0.05</v>
      </c>
    </row>
    <row r="7586" spans="1:2" x14ac:dyDescent="0.25">
      <c r="A7586" t="s">
        <v>8177</v>
      </c>
      <c r="B7586" s="9">
        <v>0.05</v>
      </c>
    </row>
    <row r="7587" spans="1:2" x14ac:dyDescent="0.25">
      <c r="A7587" t="s">
        <v>8178</v>
      </c>
      <c r="B7587" s="9">
        <v>0.05</v>
      </c>
    </row>
    <row r="7588" spans="1:2" x14ac:dyDescent="0.25">
      <c r="A7588" t="s">
        <v>8179</v>
      </c>
      <c r="B7588" s="9">
        <v>0.05</v>
      </c>
    </row>
    <row r="7589" spans="1:2" x14ac:dyDescent="0.25">
      <c r="A7589" t="s">
        <v>8180</v>
      </c>
      <c r="B7589" s="9">
        <v>0.05</v>
      </c>
    </row>
    <row r="7590" spans="1:2" x14ac:dyDescent="0.25">
      <c r="A7590" t="s">
        <v>8181</v>
      </c>
      <c r="B7590" s="9">
        <v>0.05</v>
      </c>
    </row>
    <row r="7591" spans="1:2" x14ac:dyDescent="0.25">
      <c r="A7591" t="s">
        <v>8182</v>
      </c>
      <c r="B7591" s="9">
        <v>0.05</v>
      </c>
    </row>
    <row r="7592" spans="1:2" x14ac:dyDescent="0.25">
      <c r="A7592" t="s">
        <v>8183</v>
      </c>
      <c r="B7592" s="9">
        <v>0.05</v>
      </c>
    </row>
    <row r="7593" spans="1:2" x14ac:dyDescent="0.25">
      <c r="A7593" t="s">
        <v>8184</v>
      </c>
      <c r="B7593" s="9">
        <v>0.05</v>
      </c>
    </row>
    <row r="7594" spans="1:2" x14ac:dyDescent="0.25">
      <c r="A7594" t="s">
        <v>8185</v>
      </c>
      <c r="B7594" s="9">
        <v>0.05</v>
      </c>
    </row>
    <row r="7595" spans="1:2" x14ac:dyDescent="0.25">
      <c r="A7595" t="s">
        <v>8186</v>
      </c>
      <c r="B7595" s="9">
        <v>0.05</v>
      </c>
    </row>
    <row r="7596" spans="1:2" x14ac:dyDescent="0.25">
      <c r="A7596" t="s">
        <v>8187</v>
      </c>
      <c r="B7596" s="9">
        <v>0.05</v>
      </c>
    </row>
    <row r="7597" spans="1:2" x14ac:dyDescent="0.25">
      <c r="A7597" t="s">
        <v>8188</v>
      </c>
      <c r="B7597" s="9">
        <v>0.05</v>
      </c>
    </row>
    <row r="7598" spans="1:2" x14ac:dyDescent="0.25">
      <c r="A7598" t="s">
        <v>8189</v>
      </c>
      <c r="B7598" s="9">
        <v>0.05</v>
      </c>
    </row>
    <row r="7599" spans="1:2" x14ac:dyDescent="0.25">
      <c r="A7599" t="s">
        <v>8190</v>
      </c>
      <c r="B7599" s="9">
        <v>0.05</v>
      </c>
    </row>
    <row r="7600" spans="1:2" x14ac:dyDescent="0.25">
      <c r="A7600" t="s">
        <v>8191</v>
      </c>
      <c r="B7600" s="9">
        <v>0.05</v>
      </c>
    </row>
    <row r="7601" spans="1:2" x14ac:dyDescent="0.25">
      <c r="A7601" t="s">
        <v>8192</v>
      </c>
      <c r="B7601" s="9">
        <v>0.05</v>
      </c>
    </row>
    <row r="7602" spans="1:2" x14ac:dyDescent="0.25">
      <c r="A7602" t="s">
        <v>8193</v>
      </c>
      <c r="B7602" s="9">
        <v>0.05</v>
      </c>
    </row>
    <row r="7603" spans="1:2" x14ac:dyDescent="0.25">
      <c r="A7603" t="s">
        <v>8194</v>
      </c>
      <c r="B7603" s="9">
        <v>0.05</v>
      </c>
    </row>
    <row r="7604" spans="1:2" x14ac:dyDescent="0.25">
      <c r="A7604" t="s">
        <v>8195</v>
      </c>
      <c r="B7604" s="9">
        <v>0.05</v>
      </c>
    </row>
    <row r="7605" spans="1:2" x14ac:dyDescent="0.25">
      <c r="A7605" t="s">
        <v>8196</v>
      </c>
      <c r="B7605" s="9">
        <v>0.05</v>
      </c>
    </row>
    <row r="7606" spans="1:2" x14ac:dyDescent="0.25">
      <c r="A7606" t="s">
        <v>8197</v>
      </c>
      <c r="B7606" s="9">
        <v>0.05</v>
      </c>
    </row>
    <row r="7607" spans="1:2" x14ac:dyDescent="0.25">
      <c r="A7607" t="s">
        <v>8198</v>
      </c>
      <c r="B7607" s="9">
        <v>0.05</v>
      </c>
    </row>
    <row r="7608" spans="1:2" x14ac:dyDescent="0.25">
      <c r="A7608" t="s">
        <v>8199</v>
      </c>
      <c r="B7608" s="9">
        <v>0.05</v>
      </c>
    </row>
    <row r="7609" spans="1:2" x14ac:dyDescent="0.25">
      <c r="A7609" t="s">
        <v>8200</v>
      </c>
      <c r="B7609" s="9">
        <v>0.05</v>
      </c>
    </row>
    <row r="7610" spans="1:2" x14ac:dyDescent="0.25">
      <c r="A7610" t="s">
        <v>8201</v>
      </c>
      <c r="B7610" s="9">
        <v>0.05</v>
      </c>
    </row>
    <row r="7611" spans="1:2" x14ac:dyDescent="0.25">
      <c r="A7611" t="s">
        <v>8202</v>
      </c>
      <c r="B7611" s="9">
        <v>0.05</v>
      </c>
    </row>
    <row r="7612" spans="1:2" x14ac:dyDescent="0.25">
      <c r="A7612" t="s">
        <v>8203</v>
      </c>
      <c r="B7612" s="9">
        <v>0.05</v>
      </c>
    </row>
    <row r="7613" spans="1:2" x14ac:dyDescent="0.25">
      <c r="A7613" t="s">
        <v>8204</v>
      </c>
      <c r="B7613" s="9">
        <v>0.05</v>
      </c>
    </row>
    <row r="7614" spans="1:2" x14ac:dyDescent="0.25">
      <c r="A7614" t="s">
        <v>8205</v>
      </c>
      <c r="B7614" s="9">
        <v>0.05</v>
      </c>
    </row>
    <row r="7615" spans="1:2" x14ac:dyDescent="0.25">
      <c r="A7615" t="s">
        <v>8206</v>
      </c>
      <c r="B7615" s="9">
        <v>0.05</v>
      </c>
    </row>
    <row r="7616" spans="1:2" x14ac:dyDescent="0.25">
      <c r="A7616" t="s">
        <v>8207</v>
      </c>
      <c r="B7616" s="9">
        <v>0</v>
      </c>
    </row>
    <row r="7617" spans="1:2" x14ac:dyDescent="0.25">
      <c r="A7617" t="s">
        <v>8208</v>
      </c>
      <c r="B7617" s="9">
        <v>0.1</v>
      </c>
    </row>
    <row r="7618" spans="1:2" x14ac:dyDescent="0.25">
      <c r="A7618" t="s">
        <v>8209</v>
      </c>
      <c r="B7618" s="9">
        <v>0.1</v>
      </c>
    </row>
    <row r="7619" spans="1:2" x14ac:dyDescent="0.25">
      <c r="A7619" t="s">
        <v>8210</v>
      </c>
      <c r="B7619" s="9">
        <v>0.1</v>
      </c>
    </row>
    <row r="7620" spans="1:2" x14ac:dyDescent="0.25">
      <c r="A7620" t="s">
        <v>8211</v>
      </c>
      <c r="B7620" s="9">
        <v>0.1</v>
      </c>
    </row>
    <row r="7621" spans="1:2" x14ac:dyDescent="0.25">
      <c r="A7621" t="s">
        <v>8212</v>
      </c>
      <c r="B7621" s="9">
        <v>0.1</v>
      </c>
    </row>
    <row r="7622" spans="1:2" x14ac:dyDescent="0.25">
      <c r="A7622" t="s">
        <v>8213</v>
      </c>
      <c r="B7622" s="9">
        <v>0.1</v>
      </c>
    </row>
    <row r="7623" spans="1:2" x14ac:dyDescent="0.25">
      <c r="A7623" t="s">
        <v>8214</v>
      </c>
      <c r="B7623" s="9">
        <v>0.1</v>
      </c>
    </row>
    <row r="7624" spans="1:2" x14ac:dyDescent="0.25">
      <c r="A7624" t="s">
        <v>8215</v>
      </c>
      <c r="B7624" s="9">
        <v>0.05</v>
      </c>
    </row>
    <row r="7625" spans="1:2" x14ac:dyDescent="0.25">
      <c r="A7625" t="s">
        <v>8216</v>
      </c>
      <c r="B7625" s="9">
        <v>0.1</v>
      </c>
    </row>
    <row r="7626" spans="1:2" x14ac:dyDescent="0.25">
      <c r="A7626" t="s">
        <v>8217</v>
      </c>
      <c r="B7626" s="9">
        <v>0</v>
      </c>
    </row>
    <row r="7627" spans="1:2" x14ac:dyDescent="0.25">
      <c r="A7627" t="s">
        <v>8218</v>
      </c>
      <c r="B7627" s="9">
        <v>0</v>
      </c>
    </row>
    <row r="7628" spans="1:2" x14ac:dyDescent="0.25">
      <c r="A7628" t="s">
        <v>8219</v>
      </c>
      <c r="B7628" s="9">
        <v>0.1</v>
      </c>
    </row>
    <row r="7629" spans="1:2" x14ac:dyDescent="0.25">
      <c r="A7629" t="s">
        <v>8220</v>
      </c>
      <c r="B7629" s="9">
        <v>0.05</v>
      </c>
    </row>
    <row r="7630" spans="1:2" x14ac:dyDescent="0.25">
      <c r="A7630" t="s">
        <v>8221</v>
      </c>
      <c r="B7630" s="9">
        <v>0.1</v>
      </c>
    </row>
    <row r="7631" spans="1:2" x14ac:dyDescent="0.25">
      <c r="A7631" t="s">
        <v>8222</v>
      </c>
      <c r="B7631" s="9">
        <v>0</v>
      </c>
    </row>
    <row r="7632" spans="1:2" x14ac:dyDescent="0.25">
      <c r="A7632" t="s">
        <v>8223</v>
      </c>
      <c r="B7632" s="9">
        <v>0</v>
      </c>
    </row>
    <row r="7633" spans="1:2" x14ac:dyDescent="0.25">
      <c r="A7633" t="s">
        <v>8224</v>
      </c>
      <c r="B7633" s="9">
        <v>0</v>
      </c>
    </row>
    <row r="7634" spans="1:2" x14ac:dyDescent="0.25">
      <c r="A7634" t="s">
        <v>8225</v>
      </c>
      <c r="B7634" s="9">
        <v>0</v>
      </c>
    </row>
    <row r="7635" spans="1:2" x14ac:dyDescent="0.25">
      <c r="A7635" t="s">
        <v>8226</v>
      </c>
      <c r="B7635" s="9">
        <v>0</v>
      </c>
    </row>
    <row r="7636" spans="1:2" x14ac:dyDescent="0.25">
      <c r="A7636" t="s">
        <v>8227</v>
      </c>
      <c r="B7636" s="9">
        <v>0</v>
      </c>
    </row>
    <row r="7637" spans="1:2" x14ac:dyDescent="0.25">
      <c r="A7637" t="s">
        <v>8228</v>
      </c>
      <c r="B7637" s="9">
        <v>0</v>
      </c>
    </row>
    <row r="7638" spans="1:2" x14ac:dyDescent="0.25">
      <c r="A7638" t="s">
        <v>8229</v>
      </c>
      <c r="B7638" s="9">
        <v>0</v>
      </c>
    </row>
    <row r="7639" spans="1:2" x14ac:dyDescent="0.25">
      <c r="A7639" t="s">
        <v>8230</v>
      </c>
      <c r="B7639" s="9">
        <v>0</v>
      </c>
    </row>
    <row r="7640" spans="1:2" x14ac:dyDescent="0.25">
      <c r="A7640" t="s">
        <v>8231</v>
      </c>
      <c r="B7640" s="9">
        <v>0</v>
      </c>
    </row>
    <row r="7641" spans="1:2" x14ac:dyDescent="0.25">
      <c r="A7641" t="s">
        <v>8232</v>
      </c>
      <c r="B7641" s="9">
        <v>0</v>
      </c>
    </row>
    <row r="7642" spans="1:2" x14ac:dyDescent="0.25">
      <c r="A7642" t="s">
        <v>8233</v>
      </c>
      <c r="B7642" s="9">
        <v>0</v>
      </c>
    </row>
    <row r="7643" spans="1:2" x14ac:dyDescent="0.25">
      <c r="A7643" t="s">
        <v>8234</v>
      </c>
      <c r="B7643" s="9">
        <v>0</v>
      </c>
    </row>
    <row r="7644" spans="1:2" x14ac:dyDescent="0.25">
      <c r="A7644" t="s">
        <v>8235</v>
      </c>
      <c r="B7644" s="9">
        <v>0</v>
      </c>
    </row>
    <row r="7645" spans="1:2" x14ac:dyDescent="0.25">
      <c r="A7645" t="s">
        <v>8236</v>
      </c>
      <c r="B7645" s="9">
        <v>0</v>
      </c>
    </row>
    <row r="7646" spans="1:2" x14ac:dyDescent="0.25">
      <c r="A7646" t="s">
        <v>8237</v>
      </c>
      <c r="B7646" s="9">
        <v>0</v>
      </c>
    </row>
    <row r="7647" spans="1:2" x14ac:dyDescent="0.25">
      <c r="A7647" t="s">
        <v>8238</v>
      </c>
      <c r="B7647" s="9">
        <v>0</v>
      </c>
    </row>
    <row r="7648" spans="1:2" x14ac:dyDescent="0.25">
      <c r="A7648" t="s">
        <v>8239</v>
      </c>
      <c r="B7648" s="9">
        <v>0</v>
      </c>
    </row>
    <row r="7649" spans="1:2" x14ac:dyDescent="0.25">
      <c r="A7649" t="s">
        <v>8240</v>
      </c>
      <c r="B7649" s="9">
        <v>0</v>
      </c>
    </row>
    <row r="7650" spans="1:2" x14ac:dyDescent="0.25">
      <c r="A7650" t="s">
        <v>8241</v>
      </c>
      <c r="B7650" s="9">
        <v>0</v>
      </c>
    </row>
    <row r="7651" spans="1:2" x14ac:dyDescent="0.25">
      <c r="A7651" t="s">
        <v>8242</v>
      </c>
      <c r="B7651" s="9">
        <v>0</v>
      </c>
    </row>
    <row r="7652" spans="1:2" x14ac:dyDescent="0.25">
      <c r="A7652" t="s">
        <v>8243</v>
      </c>
      <c r="B7652" s="9">
        <v>0</v>
      </c>
    </row>
    <row r="7653" spans="1:2" x14ac:dyDescent="0.25">
      <c r="A7653" t="s">
        <v>8244</v>
      </c>
      <c r="B7653" s="9">
        <v>0</v>
      </c>
    </row>
    <row r="7654" spans="1:2" x14ac:dyDescent="0.25">
      <c r="A7654" t="s">
        <v>8245</v>
      </c>
      <c r="B7654" s="9">
        <v>0</v>
      </c>
    </row>
    <row r="7655" spans="1:2" x14ac:dyDescent="0.25">
      <c r="A7655" t="s">
        <v>8246</v>
      </c>
      <c r="B7655" s="9">
        <v>0.04</v>
      </c>
    </row>
    <row r="7656" spans="1:2" x14ac:dyDescent="0.25">
      <c r="A7656" t="s">
        <v>8247</v>
      </c>
      <c r="B7656" s="9">
        <v>0.04</v>
      </c>
    </row>
    <row r="7657" spans="1:2" x14ac:dyDescent="0.25">
      <c r="A7657" t="s">
        <v>8248</v>
      </c>
      <c r="B7657" s="9">
        <v>0</v>
      </c>
    </row>
    <row r="7658" spans="1:2" x14ac:dyDescent="0.25">
      <c r="A7658" t="s">
        <v>8249</v>
      </c>
      <c r="B7658" s="9">
        <v>0.04</v>
      </c>
    </row>
    <row r="7659" spans="1:2" x14ac:dyDescent="0.25">
      <c r="A7659" t="s">
        <v>8250</v>
      </c>
      <c r="B7659" s="9">
        <v>0.04</v>
      </c>
    </row>
    <row r="7660" spans="1:2" x14ac:dyDescent="0.25">
      <c r="A7660" t="s">
        <v>8251</v>
      </c>
      <c r="B7660" s="9">
        <v>0</v>
      </c>
    </row>
    <row r="7661" spans="1:2" x14ac:dyDescent="0.25">
      <c r="A7661" t="s">
        <v>8252</v>
      </c>
      <c r="B7661" s="9">
        <v>0</v>
      </c>
    </row>
    <row r="7662" spans="1:2" x14ac:dyDescent="0.25">
      <c r="A7662" t="s">
        <v>8253</v>
      </c>
      <c r="B7662" s="9">
        <v>0</v>
      </c>
    </row>
    <row r="7663" spans="1:2" x14ac:dyDescent="0.25">
      <c r="A7663" t="s">
        <v>8254</v>
      </c>
      <c r="B7663" s="9">
        <v>0</v>
      </c>
    </row>
    <row r="7664" spans="1:2" x14ac:dyDescent="0.25">
      <c r="A7664" t="s">
        <v>8255</v>
      </c>
      <c r="B7664" s="9">
        <v>0</v>
      </c>
    </row>
    <row r="7665" spans="1:2" x14ac:dyDescent="0.25">
      <c r="A7665" t="s">
        <v>8256</v>
      </c>
      <c r="B7665" s="9">
        <v>0</v>
      </c>
    </row>
    <row r="7666" spans="1:2" x14ac:dyDescent="0.25">
      <c r="A7666" t="s">
        <v>8257</v>
      </c>
      <c r="B7666" s="9">
        <v>0</v>
      </c>
    </row>
    <row r="7667" spans="1:2" x14ac:dyDescent="0.25">
      <c r="A7667" t="s">
        <v>8258</v>
      </c>
      <c r="B7667" s="9">
        <v>0.05</v>
      </c>
    </row>
    <row r="7668" spans="1:2" x14ac:dyDescent="0.25">
      <c r="A7668" t="s">
        <v>8259</v>
      </c>
      <c r="B7668" s="9">
        <v>0.05</v>
      </c>
    </row>
    <row r="7669" spans="1:2" x14ac:dyDescent="0.25">
      <c r="A7669" t="s">
        <v>8260</v>
      </c>
      <c r="B7669" s="9">
        <v>0.05</v>
      </c>
    </row>
    <row r="7670" spans="1:2" x14ac:dyDescent="0.25">
      <c r="A7670" t="s">
        <v>8261</v>
      </c>
      <c r="B7670" s="9">
        <v>0.05</v>
      </c>
    </row>
    <row r="7671" spans="1:2" x14ac:dyDescent="0.25">
      <c r="A7671" t="s">
        <v>8262</v>
      </c>
      <c r="B7671" s="9">
        <v>0.05</v>
      </c>
    </row>
    <row r="7672" spans="1:2" x14ac:dyDescent="0.25">
      <c r="A7672" t="s">
        <v>8263</v>
      </c>
      <c r="B7672" s="9">
        <v>0.05</v>
      </c>
    </row>
    <row r="7673" spans="1:2" x14ac:dyDescent="0.25">
      <c r="A7673" t="s">
        <v>8264</v>
      </c>
      <c r="B7673" s="9">
        <v>0.05</v>
      </c>
    </row>
    <row r="7674" spans="1:2" x14ac:dyDescent="0.25">
      <c r="A7674" t="s">
        <v>8265</v>
      </c>
      <c r="B7674" s="9">
        <v>0.05</v>
      </c>
    </row>
    <row r="7675" spans="1:2" x14ac:dyDescent="0.25">
      <c r="A7675" t="s">
        <v>8266</v>
      </c>
      <c r="B7675" s="9">
        <v>0.05</v>
      </c>
    </row>
    <row r="7676" spans="1:2" x14ac:dyDescent="0.25">
      <c r="A7676" t="s">
        <v>8267</v>
      </c>
      <c r="B7676" s="9">
        <v>0.05</v>
      </c>
    </row>
    <row r="7677" spans="1:2" x14ac:dyDescent="0.25">
      <c r="A7677" t="s">
        <v>8268</v>
      </c>
      <c r="B7677" s="9">
        <v>0.05</v>
      </c>
    </row>
    <row r="7678" spans="1:2" x14ac:dyDescent="0.25">
      <c r="A7678" t="s">
        <v>8269</v>
      </c>
      <c r="B7678" s="9">
        <v>0.05</v>
      </c>
    </row>
    <row r="7679" spans="1:2" x14ac:dyDescent="0.25">
      <c r="A7679" t="s">
        <v>8270</v>
      </c>
      <c r="B7679" s="9">
        <v>0.05</v>
      </c>
    </row>
    <row r="7680" spans="1:2" x14ac:dyDescent="0.25">
      <c r="A7680" t="s">
        <v>8271</v>
      </c>
      <c r="B7680" s="9">
        <v>0.05</v>
      </c>
    </row>
    <row r="7681" spans="1:2" x14ac:dyDescent="0.25">
      <c r="A7681" t="s">
        <v>8272</v>
      </c>
      <c r="B7681" s="9">
        <v>0.05</v>
      </c>
    </row>
    <row r="7682" spans="1:2" x14ac:dyDescent="0.25">
      <c r="A7682" t="s">
        <v>8273</v>
      </c>
      <c r="B7682" s="9">
        <v>0.05</v>
      </c>
    </row>
    <row r="7683" spans="1:2" x14ac:dyDescent="0.25">
      <c r="A7683" t="s">
        <v>8274</v>
      </c>
      <c r="B7683" s="9">
        <v>0.05</v>
      </c>
    </row>
    <row r="7684" spans="1:2" x14ac:dyDescent="0.25">
      <c r="A7684" t="s">
        <v>8275</v>
      </c>
      <c r="B7684" s="9">
        <v>0.05</v>
      </c>
    </row>
    <row r="7685" spans="1:2" x14ac:dyDescent="0.25">
      <c r="A7685" t="s">
        <v>8276</v>
      </c>
      <c r="B7685" s="9">
        <v>0.05</v>
      </c>
    </row>
    <row r="7686" spans="1:2" x14ac:dyDescent="0.25">
      <c r="A7686" t="s">
        <v>8277</v>
      </c>
      <c r="B7686" s="9">
        <v>0.05</v>
      </c>
    </row>
    <row r="7687" spans="1:2" x14ac:dyDescent="0.25">
      <c r="A7687" t="s">
        <v>8278</v>
      </c>
      <c r="B7687" s="9">
        <v>0</v>
      </c>
    </row>
    <row r="7688" spans="1:2" x14ac:dyDescent="0.25">
      <c r="A7688" t="s">
        <v>8279</v>
      </c>
      <c r="B7688" s="9">
        <v>0</v>
      </c>
    </row>
    <row r="7689" spans="1:2" x14ac:dyDescent="0.25">
      <c r="A7689" t="s">
        <v>8280</v>
      </c>
      <c r="B7689" s="9">
        <v>0</v>
      </c>
    </row>
    <row r="7690" spans="1:2" x14ac:dyDescent="0.25">
      <c r="A7690" t="s">
        <v>8281</v>
      </c>
      <c r="B7690" s="9">
        <v>0.05</v>
      </c>
    </row>
    <row r="7691" spans="1:2" x14ac:dyDescent="0.25">
      <c r="A7691" t="s">
        <v>8282</v>
      </c>
      <c r="B7691" s="9">
        <v>0</v>
      </c>
    </row>
    <row r="7692" spans="1:2" x14ac:dyDescent="0.25">
      <c r="A7692" t="s">
        <v>8283</v>
      </c>
      <c r="B7692" s="9">
        <v>0</v>
      </c>
    </row>
    <row r="7693" spans="1:2" x14ac:dyDescent="0.25">
      <c r="A7693" t="s">
        <v>8284</v>
      </c>
      <c r="B7693" s="9">
        <v>0.05</v>
      </c>
    </row>
    <row r="7694" spans="1:2" x14ac:dyDescent="0.25">
      <c r="A7694" t="s">
        <v>8285</v>
      </c>
      <c r="B7694" s="9">
        <v>0.1</v>
      </c>
    </row>
    <row r="7695" spans="1:2" x14ac:dyDescent="0.25">
      <c r="A7695" t="s">
        <v>8286</v>
      </c>
      <c r="B7695" s="9">
        <v>0.1</v>
      </c>
    </row>
    <row r="7696" spans="1:2" x14ac:dyDescent="0.25">
      <c r="A7696" t="s">
        <v>8287</v>
      </c>
      <c r="B7696" s="9">
        <v>0.1</v>
      </c>
    </row>
    <row r="7697" spans="1:2" x14ac:dyDescent="0.25">
      <c r="A7697" t="s">
        <v>8288</v>
      </c>
      <c r="B7697" s="9">
        <v>0.1</v>
      </c>
    </row>
    <row r="7698" spans="1:2" x14ac:dyDescent="0.25">
      <c r="A7698" t="s">
        <v>8289</v>
      </c>
      <c r="B7698" s="9">
        <v>0.1</v>
      </c>
    </row>
    <row r="7699" spans="1:2" x14ac:dyDescent="0.25">
      <c r="A7699" t="s">
        <v>8290</v>
      </c>
      <c r="B7699" s="9">
        <v>0.1</v>
      </c>
    </row>
    <row r="7700" spans="1:2" x14ac:dyDescent="0.25">
      <c r="A7700" t="s">
        <v>8291</v>
      </c>
      <c r="B7700" s="9">
        <v>0.1</v>
      </c>
    </row>
    <row r="7701" spans="1:2" x14ac:dyDescent="0.25">
      <c r="A7701" t="s">
        <v>8292</v>
      </c>
      <c r="B7701" s="9">
        <v>0.1</v>
      </c>
    </row>
    <row r="7702" spans="1:2" x14ac:dyDescent="0.25">
      <c r="A7702" t="s">
        <v>8293</v>
      </c>
      <c r="B7702" s="9">
        <v>0.1</v>
      </c>
    </row>
    <row r="7703" spans="1:2" x14ac:dyDescent="0.25">
      <c r="A7703" t="s">
        <v>8294</v>
      </c>
      <c r="B7703" s="9">
        <v>0.1</v>
      </c>
    </row>
    <row r="7704" spans="1:2" x14ac:dyDescent="0.25">
      <c r="A7704" t="s">
        <v>8295</v>
      </c>
      <c r="B7704" s="9">
        <v>0.1</v>
      </c>
    </row>
    <row r="7705" spans="1:2" x14ac:dyDescent="0.25">
      <c r="A7705" t="s">
        <v>8296</v>
      </c>
      <c r="B7705" s="9">
        <v>0.1</v>
      </c>
    </row>
    <row r="7706" spans="1:2" x14ac:dyDescent="0.25">
      <c r="A7706" t="s">
        <v>8297</v>
      </c>
      <c r="B7706" s="9">
        <v>0.1</v>
      </c>
    </row>
    <row r="7707" spans="1:2" x14ac:dyDescent="0.25">
      <c r="A7707" t="s">
        <v>8298</v>
      </c>
      <c r="B7707" s="9">
        <v>0.1</v>
      </c>
    </row>
    <row r="7708" spans="1:2" x14ac:dyDescent="0.25">
      <c r="A7708" t="s">
        <v>8299</v>
      </c>
      <c r="B7708" s="9">
        <v>0.05</v>
      </c>
    </row>
    <row r="7709" spans="1:2" x14ac:dyDescent="0.25">
      <c r="A7709" t="s">
        <v>8300</v>
      </c>
      <c r="B7709" s="9">
        <v>0</v>
      </c>
    </row>
    <row r="7710" spans="1:2" x14ac:dyDescent="0.25">
      <c r="A7710" t="s">
        <v>8301</v>
      </c>
      <c r="B7710" s="9">
        <v>0</v>
      </c>
    </row>
    <row r="7711" spans="1:2" x14ac:dyDescent="0.25">
      <c r="A7711" t="s">
        <v>8302</v>
      </c>
      <c r="B7711" s="9">
        <v>0</v>
      </c>
    </row>
    <row r="7712" spans="1:2" x14ac:dyDescent="0.25">
      <c r="A7712" t="s">
        <v>8303</v>
      </c>
      <c r="B7712" s="9">
        <v>0</v>
      </c>
    </row>
    <row r="7713" spans="1:2" x14ac:dyDescent="0.25">
      <c r="A7713" t="s">
        <v>8304</v>
      </c>
      <c r="B7713" s="9">
        <v>0</v>
      </c>
    </row>
    <row r="7714" spans="1:2" x14ac:dyDescent="0.25">
      <c r="A7714" t="s">
        <v>8305</v>
      </c>
      <c r="B7714" s="9">
        <v>0</v>
      </c>
    </row>
    <row r="7715" spans="1:2" x14ac:dyDescent="0.25">
      <c r="A7715" t="s">
        <v>8306</v>
      </c>
      <c r="B7715" s="9">
        <v>0</v>
      </c>
    </row>
    <row r="7716" spans="1:2" x14ac:dyDescent="0.25">
      <c r="A7716" t="s">
        <v>8307</v>
      </c>
      <c r="B7716" s="9">
        <v>0</v>
      </c>
    </row>
    <row r="7717" spans="1:2" x14ac:dyDescent="0.25">
      <c r="A7717" t="s">
        <v>8308</v>
      </c>
      <c r="B7717" s="9">
        <v>0</v>
      </c>
    </row>
    <row r="7718" spans="1:2" x14ac:dyDescent="0.25">
      <c r="A7718" t="s">
        <v>8309</v>
      </c>
      <c r="B7718" s="9">
        <v>0</v>
      </c>
    </row>
    <row r="7719" spans="1:2" x14ac:dyDescent="0.25">
      <c r="A7719" t="s">
        <v>8310</v>
      </c>
      <c r="B7719" s="9">
        <v>0</v>
      </c>
    </row>
    <row r="7720" spans="1:2" x14ac:dyDescent="0.25">
      <c r="A7720" t="s">
        <v>8311</v>
      </c>
      <c r="B7720" s="9">
        <v>0</v>
      </c>
    </row>
    <row r="7721" spans="1:2" x14ac:dyDescent="0.25">
      <c r="A7721" t="s">
        <v>8312</v>
      </c>
      <c r="B7721" s="9">
        <v>0</v>
      </c>
    </row>
    <row r="7722" spans="1:2" x14ac:dyDescent="0.25">
      <c r="A7722" t="s">
        <v>8313</v>
      </c>
      <c r="B7722" s="9">
        <v>0</v>
      </c>
    </row>
    <row r="7723" spans="1:2" x14ac:dyDescent="0.25">
      <c r="A7723" t="s">
        <v>8314</v>
      </c>
      <c r="B7723" s="9">
        <v>0</v>
      </c>
    </row>
    <row r="7724" spans="1:2" x14ac:dyDescent="0.25">
      <c r="A7724" t="s">
        <v>8315</v>
      </c>
      <c r="B7724" s="9">
        <v>0</v>
      </c>
    </row>
    <row r="7725" spans="1:2" x14ac:dyDescent="0.25">
      <c r="A7725" t="s">
        <v>8316</v>
      </c>
      <c r="B7725" s="9">
        <v>0</v>
      </c>
    </row>
    <row r="7726" spans="1:2" x14ac:dyDescent="0.25">
      <c r="A7726" t="s">
        <v>8317</v>
      </c>
      <c r="B7726" s="9">
        <v>0</v>
      </c>
    </row>
    <row r="7727" spans="1:2" x14ac:dyDescent="0.25">
      <c r="A7727" t="s">
        <v>8318</v>
      </c>
      <c r="B7727" s="9">
        <v>0</v>
      </c>
    </row>
    <row r="7728" spans="1:2" x14ac:dyDescent="0.25">
      <c r="A7728" t="s">
        <v>8319</v>
      </c>
      <c r="B7728" s="9">
        <v>0</v>
      </c>
    </row>
    <row r="7729" spans="1:2" x14ac:dyDescent="0.25">
      <c r="A7729" t="s">
        <v>8320</v>
      </c>
      <c r="B7729" s="9">
        <v>0</v>
      </c>
    </row>
    <row r="7730" spans="1:2" x14ac:dyDescent="0.25">
      <c r="A7730" t="s">
        <v>8321</v>
      </c>
      <c r="B7730" s="9">
        <v>0</v>
      </c>
    </row>
    <row r="7731" spans="1:2" x14ac:dyDescent="0.25">
      <c r="A7731" t="s">
        <v>8322</v>
      </c>
      <c r="B7731" s="9">
        <v>0</v>
      </c>
    </row>
    <row r="7732" spans="1:2" x14ac:dyDescent="0.25">
      <c r="A7732" t="s">
        <v>8323</v>
      </c>
      <c r="B7732" s="9">
        <v>0</v>
      </c>
    </row>
    <row r="7733" spans="1:2" x14ac:dyDescent="0.25">
      <c r="A7733" t="s">
        <v>8324</v>
      </c>
      <c r="B7733" s="9">
        <v>0</v>
      </c>
    </row>
    <row r="7734" spans="1:2" x14ac:dyDescent="0.25">
      <c r="A7734" t="s">
        <v>8325</v>
      </c>
      <c r="B7734" s="9">
        <v>0</v>
      </c>
    </row>
    <row r="7735" spans="1:2" x14ac:dyDescent="0.25">
      <c r="A7735" t="s">
        <v>8326</v>
      </c>
      <c r="B7735" s="9">
        <v>0</v>
      </c>
    </row>
    <row r="7736" spans="1:2" x14ac:dyDescent="0.25">
      <c r="A7736" t="s">
        <v>8327</v>
      </c>
      <c r="B7736" s="9">
        <v>0</v>
      </c>
    </row>
    <row r="7737" spans="1:2" x14ac:dyDescent="0.25">
      <c r="A7737" t="s">
        <v>8328</v>
      </c>
      <c r="B7737" s="9">
        <v>0</v>
      </c>
    </row>
    <row r="7738" spans="1:2" x14ac:dyDescent="0.25">
      <c r="A7738" t="s">
        <v>8329</v>
      </c>
      <c r="B7738" s="9">
        <v>0</v>
      </c>
    </row>
    <row r="7739" spans="1:2" x14ac:dyDescent="0.25">
      <c r="A7739" t="s">
        <v>8330</v>
      </c>
      <c r="B7739" s="9">
        <v>0</v>
      </c>
    </row>
    <row r="7740" spans="1:2" x14ac:dyDescent="0.25">
      <c r="A7740" t="s">
        <v>8331</v>
      </c>
      <c r="B7740" s="9">
        <v>0</v>
      </c>
    </row>
    <row r="7741" spans="1:2" x14ac:dyDescent="0.25">
      <c r="A7741" t="s">
        <v>8332</v>
      </c>
      <c r="B7741" s="9">
        <v>0</v>
      </c>
    </row>
    <row r="7742" spans="1:2" x14ac:dyDescent="0.25">
      <c r="A7742" t="s">
        <v>8333</v>
      </c>
      <c r="B7742" s="9">
        <v>0</v>
      </c>
    </row>
    <row r="7743" spans="1:2" x14ac:dyDescent="0.25">
      <c r="A7743" t="s">
        <v>8334</v>
      </c>
      <c r="B7743" s="9">
        <v>0</v>
      </c>
    </row>
    <row r="7744" spans="1:2" x14ac:dyDescent="0.25">
      <c r="A7744" t="s">
        <v>8335</v>
      </c>
      <c r="B7744" s="9">
        <v>0</v>
      </c>
    </row>
    <row r="7745" spans="1:2" x14ac:dyDescent="0.25">
      <c r="A7745" t="s">
        <v>8336</v>
      </c>
      <c r="B7745" s="9">
        <v>0</v>
      </c>
    </row>
    <row r="7746" spans="1:2" x14ac:dyDescent="0.25">
      <c r="A7746" t="s">
        <v>8337</v>
      </c>
      <c r="B7746" s="9">
        <v>0</v>
      </c>
    </row>
    <row r="7747" spans="1:2" x14ac:dyDescent="0.25">
      <c r="A7747" t="s">
        <v>8338</v>
      </c>
      <c r="B7747" s="9">
        <v>0</v>
      </c>
    </row>
    <row r="7748" spans="1:2" x14ac:dyDescent="0.25">
      <c r="A7748" t="s">
        <v>8339</v>
      </c>
      <c r="B7748" s="9">
        <v>0</v>
      </c>
    </row>
    <row r="7749" spans="1:2" x14ac:dyDescent="0.25">
      <c r="A7749" t="s">
        <v>8340</v>
      </c>
      <c r="B7749" s="9">
        <v>0</v>
      </c>
    </row>
    <row r="7750" spans="1:2" x14ac:dyDescent="0.25">
      <c r="A7750" t="s">
        <v>8341</v>
      </c>
      <c r="B7750" s="9">
        <v>0</v>
      </c>
    </row>
    <row r="7751" spans="1:2" x14ac:dyDescent="0.25">
      <c r="A7751" t="s">
        <v>8342</v>
      </c>
      <c r="B7751" s="9">
        <v>0</v>
      </c>
    </row>
    <row r="7752" spans="1:2" x14ac:dyDescent="0.25">
      <c r="A7752" t="s">
        <v>8343</v>
      </c>
      <c r="B7752" s="9">
        <v>0</v>
      </c>
    </row>
    <row r="7753" spans="1:2" x14ac:dyDescent="0.25">
      <c r="A7753" t="s">
        <v>8344</v>
      </c>
      <c r="B7753" s="9">
        <v>0</v>
      </c>
    </row>
    <row r="7754" spans="1:2" x14ac:dyDescent="0.25">
      <c r="A7754" t="s">
        <v>8345</v>
      </c>
      <c r="B7754" s="9">
        <v>0</v>
      </c>
    </row>
    <row r="7755" spans="1:2" x14ac:dyDescent="0.25">
      <c r="A7755" t="s">
        <v>8346</v>
      </c>
      <c r="B7755" s="9">
        <v>0</v>
      </c>
    </row>
    <row r="7756" spans="1:2" x14ac:dyDescent="0.25">
      <c r="A7756" t="s">
        <v>8347</v>
      </c>
      <c r="B7756" s="9">
        <v>0</v>
      </c>
    </row>
    <row r="7757" spans="1:2" x14ac:dyDescent="0.25">
      <c r="A7757" t="s">
        <v>8348</v>
      </c>
      <c r="B7757" s="9">
        <v>0</v>
      </c>
    </row>
    <row r="7758" spans="1:2" x14ac:dyDescent="0.25">
      <c r="A7758" t="s">
        <v>8349</v>
      </c>
      <c r="B7758" s="9">
        <v>0</v>
      </c>
    </row>
    <row r="7759" spans="1:2" x14ac:dyDescent="0.25">
      <c r="A7759" t="s">
        <v>8350</v>
      </c>
      <c r="B7759" s="9">
        <v>0</v>
      </c>
    </row>
    <row r="7760" spans="1:2" x14ac:dyDescent="0.25">
      <c r="A7760" t="s">
        <v>8351</v>
      </c>
      <c r="B7760" s="9">
        <v>0</v>
      </c>
    </row>
    <row r="7761" spans="1:2" x14ac:dyDescent="0.25">
      <c r="A7761" t="s">
        <v>8352</v>
      </c>
      <c r="B7761" s="9">
        <v>0</v>
      </c>
    </row>
    <row r="7762" spans="1:2" x14ac:dyDescent="0.25">
      <c r="A7762" t="s">
        <v>8353</v>
      </c>
      <c r="B7762" s="9">
        <v>0.04</v>
      </c>
    </row>
    <row r="7763" spans="1:2" x14ac:dyDescent="0.25">
      <c r="A7763" t="s">
        <v>8354</v>
      </c>
      <c r="B7763" s="9">
        <v>0.04</v>
      </c>
    </row>
    <row r="7764" spans="1:2" x14ac:dyDescent="0.25">
      <c r="A7764" t="s">
        <v>8355</v>
      </c>
      <c r="B7764" s="9">
        <v>0</v>
      </c>
    </row>
    <row r="7765" spans="1:2" x14ac:dyDescent="0.25">
      <c r="A7765" t="s">
        <v>8356</v>
      </c>
      <c r="B7765" s="9">
        <v>0</v>
      </c>
    </row>
    <row r="7766" spans="1:2" x14ac:dyDescent="0.25">
      <c r="A7766" t="s">
        <v>8357</v>
      </c>
      <c r="B7766" s="9">
        <v>0</v>
      </c>
    </row>
    <row r="7767" spans="1:2" x14ac:dyDescent="0.25">
      <c r="A7767" t="s">
        <v>8358</v>
      </c>
      <c r="B7767" s="9">
        <v>0</v>
      </c>
    </row>
    <row r="7768" spans="1:2" x14ac:dyDescent="0.25">
      <c r="A7768" t="s">
        <v>8359</v>
      </c>
      <c r="B7768" s="9">
        <v>0</v>
      </c>
    </row>
    <row r="7769" spans="1:2" x14ac:dyDescent="0.25">
      <c r="A7769" t="s">
        <v>8360</v>
      </c>
      <c r="B7769" s="9">
        <v>0</v>
      </c>
    </row>
    <row r="7770" spans="1:2" x14ac:dyDescent="0.25">
      <c r="A7770" t="s">
        <v>8361</v>
      </c>
      <c r="B7770" s="9">
        <v>0</v>
      </c>
    </row>
    <row r="7771" spans="1:2" x14ac:dyDescent="0.25">
      <c r="A7771" t="s">
        <v>8362</v>
      </c>
      <c r="B7771" s="9">
        <v>0</v>
      </c>
    </row>
    <row r="7772" spans="1:2" x14ac:dyDescent="0.25">
      <c r="A7772" t="s">
        <v>8363</v>
      </c>
      <c r="B7772" s="9">
        <v>0</v>
      </c>
    </row>
    <row r="7773" spans="1:2" x14ac:dyDescent="0.25">
      <c r="A7773" t="s">
        <v>8364</v>
      </c>
      <c r="B7773" s="9">
        <v>0</v>
      </c>
    </row>
    <row r="7774" spans="1:2" x14ac:dyDescent="0.25">
      <c r="A7774" t="s">
        <v>8365</v>
      </c>
      <c r="B7774" s="9">
        <v>0</v>
      </c>
    </row>
    <row r="7775" spans="1:2" x14ac:dyDescent="0.25">
      <c r="A7775" t="s">
        <v>8366</v>
      </c>
      <c r="B7775" s="9">
        <v>0</v>
      </c>
    </row>
    <row r="7776" spans="1:2" x14ac:dyDescent="0.25">
      <c r="A7776" t="s">
        <v>8367</v>
      </c>
      <c r="B7776" s="9">
        <v>0</v>
      </c>
    </row>
    <row r="7777" spans="1:2" x14ac:dyDescent="0.25">
      <c r="A7777" t="s">
        <v>8368</v>
      </c>
      <c r="B7777" s="9">
        <v>0</v>
      </c>
    </row>
    <row r="7778" spans="1:2" x14ac:dyDescent="0.25">
      <c r="A7778" t="s">
        <v>8369</v>
      </c>
      <c r="B7778" s="9">
        <v>0</v>
      </c>
    </row>
    <row r="7779" spans="1:2" x14ac:dyDescent="0.25">
      <c r="A7779" t="s">
        <v>8370</v>
      </c>
      <c r="B7779" s="9">
        <v>0</v>
      </c>
    </row>
    <row r="7780" spans="1:2" x14ac:dyDescent="0.25">
      <c r="A7780" t="s">
        <v>8371</v>
      </c>
      <c r="B7780" s="9">
        <v>0</v>
      </c>
    </row>
    <row r="7781" spans="1:2" x14ac:dyDescent="0.25">
      <c r="A7781" t="s">
        <v>8372</v>
      </c>
      <c r="B7781" s="9">
        <v>0</v>
      </c>
    </row>
    <row r="7782" spans="1:2" x14ac:dyDescent="0.25">
      <c r="A7782" t="s">
        <v>8373</v>
      </c>
      <c r="B7782" s="9">
        <v>0</v>
      </c>
    </row>
    <row r="7783" spans="1:2" x14ac:dyDescent="0.25">
      <c r="A7783" t="s">
        <v>8374</v>
      </c>
      <c r="B7783" s="9">
        <v>0</v>
      </c>
    </row>
    <row r="7784" spans="1:2" x14ac:dyDescent="0.25">
      <c r="A7784" t="s">
        <v>8375</v>
      </c>
      <c r="B7784" s="9">
        <v>0</v>
      </c>
    </row>
    <row r="7785" spans="1:2" x14ac:dyDescent="0.25">
      <c r="A7785" t="s">
        <v>8376</v>
      </c>
      <c r="B7785" s="9">
        <v>0</v>
      </c>
    </row>
    <row r="7786" spans="1:2" x14ac:dyDescent="0.25">
      <c r="A7786" t="s">
        <v>8377</v>
      </c>
      <c r="B7786" s="9">
        <v>0</v>
      </c>
    </row>
    <row r="7787" spans="1:2" x14ac:dyDescent="0.25">
      <c r="A7787" t="s">
        <v>8378</v>
      </c>
      <c r="B7787" s="9">
        <v>0</v>
      </c>
    </row>
    <row r="7788" spans="1:2" x14ac:dyDescent="0.25">
      <c r="A7788" t="s">
        <v>8379</v>
      </c>
      <c r="B7788" s="9">
        <v>0</v>
      </c>
    </row>
    <row r="7789" spans="1:2" x14ac:dyDescent="0.25">
      <c r="A7789" t="s">
        <v>8380</v>
      </c>
      <c r="B7789" s="9">
        <v>0</v>
      </c>
    </row>
    <row r="7790" spans="1:2" x14ac:dyDescent="0.25">
      <c r="A7790" t="s">
        <v>8381</v>
      </c>
      <c r="B7790" s="9">
        <v>0</v>
      </c>
    </row>
    <row r="7791" spans="1:2" x14ac:dyDescent="0.25">
      <c r="A7791" t="s">
        <v>8382</v>
      </c>
      <c r="B7791" s="9">
        <v>0</v>
      </c>
    </row>
    <row r="7792" spans="1:2" x14ac:dyDescent="0.25">
      <c r="A7792" t="s">
        <v>8383</v>
      </c>
      <c r="B7792" s="9">
        <v>0</v>
      </c>
    </row>
    <row r="7793" spans="1:2" x14ac:dyDescent="0.25">
      <c r="A7793" t="s">
        <v>8384</v>
      </c>
      <c r="B7793" s="9">
        <v>0</v>
      </c>
    </row>
    <row r="7794" spans="1:2" x14ac:dyDescent="0.25">
      <c r="A7794" t="s">
        <v>8385</v>
      </c>
      <c r="B7794" s="9">
        <v>0</v>
      </c>
    </row>
    <row r="7795" spans="1:2" x14ac:dyDescent="0.25">
      <c r="A7795" t="s">
        <v>8386</v>
      </c>
      <c r="B7795" s="9">
        <v>0</v>
      </c>
    </row>
    <row r="7796" spans="1:2" x14ac:dyDescent="0.25">
      <c r="A7796" t="s">
        <v>8387</v>
      </c>
      <c r="B7796" s="9">
        <v>0</v>
      </c>
    </row>
    <row r="7797" spans="1:2" x14ac:dyDescent="0.25">
      <c r="A7797" t="s">
        <v>8388</v>
      </c>
      <c r="B7797" s="9">
        <v>0</v>
      </c>
    </row>
    <row r="7798" spans="1:2" x14ac:dyDescent="0.25">
      <c r="A7798" t="s">
        <v>8389</v>
      </c>
      <c r="B7798" s="9">
        <v>0</v>
      </c>
    </row>
    <row r="7799" spans="1:2" x14ac:dyDescent="0.25">
      <c r="A7799" t="s">
        <v>8390</v>
      </c>
      <c r="B7799" s="9">
        <v>0</v>
      </c>
    </row>
    <row r="7800" spans="1:2" x14ac:dyDescent="0.25">
      <c r="A7800" t="s">
        <v>8391</v>
      </c>
      <c r="B7800" s="9">
        <v>0</v>
      </c>
    </row>
    <row r="7801" spans="1:2" x14ac:dyDescent="0.25">
      <c r="A7801" t="s">
        <v>8392</v>
      </c>
      <c r="B7801" s="9">
        <v>0</v>
      </c>
    </row>
    <row r="7802" spans="1:2" x14ac:dyDescent="0.25">
      <c r="A7802" t="s">
        <v>8393</v>
      </c>
      <c r="B7802" s="9">
        <v>0</v>
      </c>
    </row>
    <row r="7803" spans="1:2" x14ac:dyDescent="0.25">
      <c r="A7803" t="s">
        <v>8394</v>
      </c>
      <c r="B7803" s="9">
        <v>0</v>
      </c>
    </row>
    <row r="7804" spans="1:2" x14ac:dyDescent="0.25">
      <c r="A7804" t="s">
        <v>8395</v>
      </c>
      <c r="B7804" s="9">
        <v>0</v>
      </c>
    </row>
    <row r="7805" spans="1:2" x14ac:dyDescent="0.25">
      <c r="A7805" t="s">
        <v>8396</v>
      </c>
      <c r="B7805" s="9">
        <v>0</v>
      </c>
    </row>
    <row r="7806" spans="1:2" x14ac:dyDescent="0.25">
      <c r="A7806" t="s">
        <v>8397</v>
      </c>
      <c r="B7806" s="9">
        <v>0</v>
      </c>
    </row>
    <row r="7807" spans="1:2" x14ac:dyDescent="0.25">
      <c r="A7807" t="s">
        <v>8398</v>
      </c>
      <c r="B7807" s="9">
        <v>0</v>
      </c>
    </row>
    <row r="7808" spans="1:2" x14ac:dyDescent="0.25">
      <c r="A7808" t="s">
        <v>8399</v>
      </c>
      <c r="B7808" s="9">
        <v>0</v>
      </c>
    </row>
    <row r="7809" spans="1:2" x14ac:dyDescent="0.25">
      <c r="A7809" t="s">
        <v>8400</v>
      </c>
      <c r="B7809" s="9">
        <v>0</v>
      </c>
    </row>
    <row r="7810" spans="1:2" x14ac:dyDescent="0.25">
      <c r="A7810" t="s">
        <v>8401</v>
      </c>
      <c r="B7810" s="9">
        <v>0.08</v>
      </c>
    </row>
    <row r="7811" spans="1:2" x14ac:dyDescent="0.25">
      <c r="A7811" t="s">
        <v>8402</v>
      </c>
      <c r="B7811" s="9">
        <v>0.08</v>
      </c>
    </row>
    <row r="7812" spans="1:2" x14ac:dyDescent="0.25">
      <c r="A7812" t="s">
        <v>8403</v>
      </c>
      <c r="B7812" s="9">
        <v>0.08</v>
      </c>
    </row>
    <row r="7813" spans="1:2" x14ac:dyDescent="0.25">
      <c r="A7813" t="s">
        <v>8404</v>
      </c>
      <c r="B7813" s="9">
        <v>0.08</v>
      </c>
    </row>
    <row r="7814" spans="1:2" x14ac:dyDescent="0.25">
      <c r="A7814" t="s">
        <v>8405</v>
      </c>
      <c r="B7814" s="9">
        <v>0.08</v>
      </c>
    </row>
    <row r="7815" spans="1:2" x14ac:dyDescent="0.25">
      <c r="A7815" t="s">
        <v>8406</v>
      </c>
      <c r="B7815" s="9">
        <v>0.08</v>
      </c>
    </row>
    <row r="7816" spans="1:2" x14ac:dyDescent="0.25">
      <c r="A7816" t="s">
        <v>8407</v>
      </c>
      <c r="B7816" s="9">
        <v>0.08</v>
      </c>
    </row>
    <row r="7817" spans="1:2" x14ac:dyDescent="0.25">
      <c r="A7817" t="s">
        <v>8408</v>
      </c>
      <c r="B7817" s="9">
        <v>0.08</v>
      </c>
    </row>
    <row r="7818" spans="1:2" x14ac:dyDescent="0.25">
      <c r="A7818" t="s">
        <v>8409</v>
      </c>
      <c r="B7818" s="9">
        <v>0.08</v>
      </c>
    </row>
    <row r="7819" spans="1:2" x14ac:dyDescent="0.25">
      <c r="A7819" t="s">
        <v>8410</v>
      </c>
      <c r="B7819" s="9">
        <v>0.08</v>
      </c>
    </row>
    <row r="7820" spans="1:2" x14ac:dyDescent="0.25">
      <c r="A7820" t="s">
        <v>8411</v>
      </c>
      <c r="B7820" s="9">
        <v>0.08</v>
      </c>
    </row>
    <row r="7821" spans="1:2" x14ac:dyDescent="0.25">
      <c r="A7821" t="s">
        <v>8412</v>
      </c>
      <c r="B7821" s="9">
        <v>0.08</v>
      </c>
    </row>
    <row r="7822" spans="1:2" x14ac:dyDescent="0.25">
      <c r="A7822" t="s">
        <v>8413</v>
      </c>
      <c r="B7822" s="9">
        <v>0.08</v>
      </c>
    </row>
    <row r="7823" spans="1:2" x14ac:dyDescent="0.25">
      <c r="A7823" t="s">
        <v>8414</v>
      </c>
      <c r="B7823" s="9">
        <v>0.08</v>
      </c>
    </row>
    <row r="7824" spans="1:2" x14ac:dyDescent="0.25">
      <c r="A7824" t="s">
        <v>8415</v>
      </c>
      <c r="B7824" s="9">
        <v>0.08</v>
      </c>
    </row>
    <row r="7825" spans="1:2" x14ac:dyDescent="0.25">
      <c r="A7825" t="s">
        <v>8416</v>
      </c>
      <c r="B7825" s="9">
        <v>0.08</v>
      </c>
    </row>
    <row r="7826" spans="1:2" x14ac:dyDescent="0.25">
      <c r="A7826" t="s">
        <v>8417</v>
      </c>
      <c r="B7826" s="9">
        <v>0.08</v>
      </c>
    </row>
    <row r="7827" spans="1:2" x14ac:dyDescent="0.25">
      <c r="A7827" t="s">
        <v>8418</v>
      </c>
      <c r="B7827" s="9">
        <v>0.08</v>
      </c>
    </row>
    <row r="7828" spans="1:2" x14ac:dyDescent="0.25">
      <c r="A7828" t="s">
        <v>8419</v>
      </c>
      <c r="B7828" s="9">
        <v>0.08</v>
      </c>
    </row>
    <row r="7829" spans="1:2" x14ac:dyDescent="0.25">
      <c r="A7829" t="s">
        <v>8420</v>
      </c>
      <c r="B7829" s="9">
        <v>0.08</v>
      </c>
    </row>
    <row r="7830" spans="1:2" x14ac:dyDescent="0.25">
      <c r="A7830" t="s">
        <v>8421</v>
      </c>
      <c r="B7830" s="9">
        <v>0.08</v>
      </c>
    </row>
    <row r="7831" spans="1:2" x14ac:dyDescent="0.25">
      <c r="A7831" t="s">
        <v>8422</v>
      </c>
      <c r="B7831" s="9">
        <v>0.08</v>
      </c>
    </row>
    <row r="7832" spans="1:2" x14ac:dyDescent="0.25">
      <c r="A7832" t="s">
        <v>8423</v>
      </c>
      <c r="B7832" s="9">
        <v>0.08</v>
      </c>
    </row>
    <row r="7833" spans="1:2" x14ac:dyDescent="0.25">
      <c r="A7833" t="s">
        <v>8424</v>
      </c>
      <c r="B7833" s="9">
        <v>0.08</v>
      </c>
    </row>
    <row r="7834" spans="1:2" x14ac:dyDescent="0.25">
      <c r="A7834" t="s">
        <v>8425</v>
      </c>
      <c r="B7834" s="9">
        <v>0.08</v>
      </c>
    </row>
    <row r="7835" spans="1:2" x14ac:dyDescent="0.25">
      <c r="A7835" t="s">
        <v>8426</v>
      </c>
      <c r="B7835" s="9">
        <v>0.08</v>
      </c>
    </row>
    <row r="7836" spans="1:2" x14ac:dyDescent="0.25">
      <c r="A7836" t="s">
        <v>8427</v>
      </c>
      <c r="B7836" s="9">
        <v>0.08</v>
      </c>
    </row>
    <row r="7837" spans="1:2" x14ac:dyDescent="0.25">
      <c r="A7837" t="s">
        <v>8428</v>
      </c>
      <c r="B7837" s="9">
        <v>0.08</v>
      </c>
    </row>
    <row r="7838" spans="1:2" x14ac:dyDescent="0.25">
      <c r="A7838" t="s">
        <v>8429</v>
      </c>
      <c r="B7838" s="9">
        <v>0.08</v>
      </c>
    </row>
    <row r="7839" spans="1:2" x14ac:dyDescent="0.25">
      <c r="A7839" t="s">
        <v>8430</v>
      </c>
      <c r="B7839" s="9">
        <v>0.08</v>
      </c>
    </row>
    <row r="7840" spans="1:2" x14ac:dyDescent="0.25">
      <c r="A7840" t="s">
        <v>8431</v>
      </c>
      <c r="B7840" s="9">
        <v>0</v>
      </c>
    </row>
    <row r="7841" spans="1:2" x14ac:dyDescent="0.25">
      <c r="A7841" t="s">
        <v>8432</v>
      </c>
      <c r="B7841" s="9">
        <v>0.08</v>
      </c>
    </row>
    <row r="7842" spans="1:2" x14ac:dyDescent="0.25">
      <c r="A7842" t="s">
        <v>8433</v>
      </c>
      <c r="B7842" s="9">
        <v>0.08</v>
      </c>
    </row>
    <row r="7843" spans="1:2" x14ac:dyDescent="0.25">
      <c r="A7843" t="s">
        <v>8434</v>
      </c>
      <c r="B7843" s="9">
        <v>0.08</v>
      </c>
    </row>
    <row r="7844" spans="1:2" x14ac:dyDescent="0.25">
      <c r="A7844" t="s">
        <v>8435</v>
      </c>
      <c r="B7844" s="9">
        <v>0.08</v>
      </c>
    </row>
    <row r="7845" spans="1:2" x14ac:dyDescent="0.25">
      <c r="A7845" t="s">
        <v>8436</v>
      </c>
      <c r="B7845" s="9">
        <v>0.08</v>
      </c>
    </row>
    <row r="7846" spans="1:2" x14ac:dyDescent="0.25">
      <c r="A7846" t="s">
        <v>8437</v>
      </c>
      <c r="B7846" s="9">
        <v>0.08</v>
      </c>
    </row>
    <row r="7847" spans="1:2" x14ac:dyDescent="0.25">
      <c r="A7847" t="s">
        <v>8438</v>
      </c>
      <c r="B7847" s="9">
        <v>0.08</v>
      </c>
    </row>
    <row r="7848" spans="1:2" x14ac:dyDescent="0.25">
      <c r="A7848" t="s">
        <v>8439</v>
      </c>
      <c r="B7848" s="9">
        <v>0.08</v>
      </c>
    </row>
    <row r="7849" spans="1:2" x14ac:dyDescent="0.25">
      <c r="A7849" t="s">
        <v>8440</v>
      </c>
      <c r="B7849" s="9">
        <v>0.08</v>
      </c>
    </row>
    <row r="7850" spans="1:2" x14ac:dyDescent="0.25">
      <c r="A7850" t="s">
        <v>8441</v>
      </c>
      <c r="B7850" s="9">
        <v>0.08</v>
      </c>
    </row>
    <row r="7851" spans="1:2" x14ac:dyDescent="0.25">
      <c r="A7851" t="s">
        <v>8442</v>
      </c>
      <c r="B7851" s="9">
        <v>0.08</v>
      </c>
    </row>
    <row r="7852" spans="1:2" x14ac:dyDescent="0.25">
      <c r="A7852" t="s">
        <v>8443</v>
      </c>
      <c r="B7852" s="9">
        <v>0.08</v>
      </c>
    </row>
    <row r="7853" spans="1:2" x14ac:dyDescent="0.25">
      <c r="A7853" t="s">
        <v>8444</v>
      </c>
      <c r="B7853" s="9">
        <v>0.08</v>
      </c>
    </row>
    <row r="7854" spans="1:2" x14ac:dyDescent="0.25">
      <c r="A7854" t="s">
        <v>8445</v>
      </c>
      <c r="B7854" s="9">
        <v>0.08</v>
      </c>
    </row>
    <row r="7855" spans="1:2" x14ac:dyDescent="0.25">
      <c r="A7855" t="s">
        <v>8446</v>
      </c>
      <c r="B7855" s="9">
        <v>0.08</v>
      </c>
    </row>
    <row r="7856" spans="1:2" x14ac:dyDescent="0.25">
      <c r="A7856" t="s">
        <v>8447</v>
      </c>
      <c r="B7856" s="9">
        <v>0.04</v>
      </c>
    </row>
    <row r="7857" spans="1:2" x14ac:dyDescent="0.25">
      <c r="A7857" t="s">
        <v>8448</v>
      </c>
      <c r="B7857" s="9">
        <v>0.08</v>
      </c>
    </row>
    <row r="7858" spans="1:2" x14ac:dyDescent="0.25">
      <c r="A7858" t="s">
        <v>8449</v>
      </c>
      <c r="B7858" s="9">
        <v>0.08</v>
      </c>
    </row>
    <row r="7859" spans="1:2" x14ac:dyDescent="0.25">
      <c r="A7859" t="s">
        <v>8450</v>
      </c>
      <c r="B7859" s="9">
        <v>0.08</v>
      </c>
    </row>
    <row r="7860" spans="1:2" x14ac:dyDescent="0.25">
      <c r="A7860" t="s">
        <v>8451</v>
      </c>
      <c r="B7860" s="9">
        <v>0.08</v>
      </c>
    </row>
    <row r="7861" spans="1:2" x14ac:dyDescent="0.25">
      <c r="A7861" t="s">
        <v>8452</v>
      </c>
      <c r="B7861" s="9">
        <v>0.1</v>
      </c>
    </row>
    <row r="7862" spans="1:2" x14ac:dyDescent="0.25">
      <c r="A7862" t="s">
        <v>8453</v>
      </c>
      <c r="B7862" s="9">
        <v>0.1</v>
      </c>
    </row>
    <row r="7863" spans="1:2" x14ac:dyDescent="0.25">
      <c r="A7863" t="s">
        <v>8454</v>
      </c>
      <c r="B7863" s="9">
        <v>0.12</v>
      </c>
    </row>
    <row r="7864" spans="1:2" x14ac:dyDescent="0.25">
      <c r="A7864" t="s">
        <v>8455</v>
      </c>
      <c r="B7864" s="9">
        <v>0.12</v>
      </c>
    </row>
    <row r="7865" spans="1:2" x14ac:dyDescent="0.25">
      <c r="A7865" t="s">
        <v>8456</v>
      </c>
      <c r="B7865" s="9">
        <v>0.12</v>
      </c>
    </row>
    <row r="7866" spans="1:2" x14ac:dyDescent="0.25">
      <c r="A7866" t="s">
        <v>8457</v>
      </c>
      <c r="B7866" s="9">
        <v>0.12</v>
      </c>
    </row>
    <row r="7867" spans="1:2" x14ac:dyDescent="0.25">
      <c r="A7867" t="s">
        <v>8458</v>
      </c>
      <c r="B7867" s="9">
        <v>0.12</v>
      </c>
    </row>
    <row r="7868" spans="1:2" x14ac:dyDescent="0.25">
      <c r="A7868" t="s">
        <v>8459</v>
      </c>
      <c r="B7868" s="9">
        <v>0.12</v>
      </c>
    </row>
    <row r="7869" spans="1:2" x14ac:dyDescent="0.25">
      <c r="A7869" t="s">
        <v>8460</v>
      </c>
      <c r="B7869" s="9">
        <v>0.12</v>
      </c>
    </row>
    <row r="7870" spans="1:2" x14ac:dyDescent="0.25">
      <c r="A7870" t="s">
        <v>8461</v>
      </c>
      <c r="B7870" s="9">
        <v>0.12</v>
      </c>
    </row>
    <row r="7871" spans="1:2" x14ac:dyDescent="0.25">
      <c r="A7871" t="s">
        <v>8462</v>
      </c>
      <c r="B7871" s="9">
        <v>0.1</v>
      </c>
    </row>
    <row r="7872" spans="1:2" x14ac:dyDescent="0.25">
      <c r="A7872" t="s">
        <v>8463</v>
      </c>
      <c r="B7872" s="9">
        <v>0.1</v>
      </c>
    </row>
    <row r="7873" spans="1:2" x14ac:dyDescent="0.25">
      <c r="A7873" t="s">
        <v>8464</v>
      </c>
      <c r="B7873" s="9">
        <v>0.12</v>
      </c>
    </row>
    <row r="7874" spans="1:2" x14ac:dyDescent="0.25">
      <c r="A7874" t="s">
        <v>8465</v>
      </c>
      <c r="B7874" s="9">
        <v>0.15</v>
      </c>
    </row>
    <row r="7875" spans="1:2" x14ac:dyDescent="0.25">
      <c r="A7875" t="s">
        <v>8466</v>
      </c>
      <c r="B7875" s="9">
        <v>0.12</v>
      </c>
    </row>
    <row r="7876" spans="1:2" x14ac:dyDescent="0.25">
      <c r="A7876" t="s">
        <v>8467</v>
      </c>
      <c r="B7876" s="9">
        <v>0.12</v>
      </c>
    </row>
    <row r="7877" spans="1:2" x14ac:dyDescent="0.25">
      <c r="A7877" t="s">
        <v>8468</v>
      </c>
      <c r="B7877" s="9">
        <v>0.12</v>
      </c>
    </row>
    <row r="7878" spans="1:2" x14ac:dyDescent="0.25">
      <c r="A7878" t="s">
        <v>8469</v>
      </c>
      <c r="B7878" s="9">
        <v>0.12</v>
      </c>
    </row>
    <row r="7879" spans="1:2" x14ac:dyDescent="0.25">
      <c r="A7879" t="s">
        <v>8470</v>
      </c>
      <c r="B7879" s="9">
        <v>0.1</v>
      </c>
    </row>
    <row r="7880" spans="1:2" x14ac:dyDescent="0.25">
      <c r="A7880" t="s">
        <v>8471</v>
      </c>
      <c r="B7880" s="9">
        <v>0.1</v>
      </c>
    </row>
    <row r="7881" spans="1:2" x14ac:dyDescent="0.25">
      <c r="A7881" t="s">
        <v>8472</v>
      </c>
      <c r="B7881" s="9">
        <v>0.1</v>
      </c>
    </row>
    <row r="7882" spans="1:2" x14ac:dyDescent="0.25">
      <c r="A7882" t="s">
        <v>8473</v>
      </c>
      <c r="B7882" s="9">
        <v>0.1</v>
      </c>
    </row>
    <row r="7883" spans="1:2" x14ac:dyDescent="0.25">
      <c r="A7883" t="s">
        <v>8474</v>
      </c>
      <c r="B7883" s="9">
        <v>0.1</v>
      </c>
    </row>
    <row r="7884" spans="1:2" x14ac:dyDescent="0.25">
      <c r="A7884" t="s">
        <v>8475</v>
      </c>
      <c r="B7884" s="9">
        <v>0.1</v>
      </c>
    </row>
    <row r="7885" spans="1:2" x14ac:dyDescent="0.25">
      <c r="A7885" t="s">
        <v>8476</v>
      </c>
      <c r="B7885" s="9">
        <v>0.1</v>
      </c>
    </row>
    <row r="7886" spans="1:2" x14ac:dyDescent="0.25">
      <c r="A7886" t="s">
        <v>8477</v>
      </c>
      <c r="B7886" s="9">
        <v>0.1</v>
      </c>
    </row>
    <row r="7887" spans="1:2" x14ac:dyDescent="0.25">
      <c r="A7887" t="s">
        <v>8478</v>
      </c>
      <c r="B7887" s="9">
        <v>0.1</v>
      </c>
    </row>
    <row r="7888" spans="1:2" x14ac:dyDescent="0.25">
      <c r="A7888" t="s">
        <v>8479</v>
      </c>
      <c r="B7888" s="9">
        <v>0</v>
      </c>
    </row>
    <row r="7889" spans="1:3" x14ac:dyDescent="0.25">
      <c r="A7889" t="s">
        <v>31</v>
      </c>
      <c r="B7889" s="9">
        <v>0.1</v>
      </c>
      <c r="C7889" t="s">
        <v>31</v>
      </c>
    </row>
    <row r="7890" spans="1:3" x14ac:dyDescent="0.25">
      <c r="A7890" t="s">
        <v>8480</v>
      </c>
      <c r="B7890" s="9">
        <v>0.1</v>
      </c>
    </row>
    <row r="7891" spans="1:3" x14ac:dyDescent="0.25">
      <c r="A7891" t="s">
        <v>8481</v>
      </c>
      <c r="B7891" s="9">
        <v>0</v>
      </c>
    </row>
    <row r="7892" spans="1:3" x14ac:dyDescent="0.25">
      <c r="A7892" t="s">
        <v>8482</v>
      </c>
      <c r="B7892" s="9">
        <v>0.1</v>
      </c>
    </row>
    <row r="7893" spans="1:3" x14ac:dyDescent="0.25">
      <c r="A7893" t="s">
        <v>8483</v>
      </c>
      <c r="B7893" s="9">
        <v>0</v>
      </c>
    </row>
    <row r="7894" spans="1:3" x14ac:dyDescent="0.25">
      <c r="A7894" t="s">
        <v>8484</v>
      </c>
      <c r="B7894" s="9">
        <v>0</v>
      </c>
    </row>
    <row r="7895" spans="1:3" x14ac:dyDescent="0.25">
      <c r="A7895" t="s">
        <v>8485</v>
      </c>
      <c r="B7895" s="9">
        <v>0</v>
      </c>
    </row>
    <row r="7896" spans="1:3" x14ac:dyDescent="0.25">
      <c r="A7896" t="s">
        <v>8486</v>
      </c>
      <c r="B7896" s="9">
        <v>0.1</v>
      </c>
    </row>
    <row r="7897" spans="1:3" x14ac:dyDescent="0.25">
      <c r="A7897" t="s">
        <v>32</v>
      </c>
      <c r="B7897" s="9">
        <v>0.1</v>
      </c>
      <c r="C7897" t="s">
        <v>32</v>
      </c>
    </row>
    <row r="7898" spans="1:3" x14ac:dyDescent="0.25">
      <c r="A7898" t="s">
        <v>8487</v>
      </c>
      <c r="B7898" s="9">
        <v>0.05</v>
      </c>
    </row>
    <row r="7899" spans="1:3" x14ac:dyDescent="0.25">
      <c r="A7899" t="s">
        <v>8488</v>
      </c>
      <c r="B7899" s="9">
        <v>0.1</v>
      </c>
    </row>
    <row r="7900" spans="1:3" x14ac:dyDescent="0.25">
      <c r="A7900" t="s">
        <v>8489</v>
      </c>
      <c r="B7900" s="9">
        <v>0.1</v>
      </c>
    </row>
    <row r="7901" spans="1:3" x14ac:dyDescent="0.25">
      <c r="A7901" t="s">
        <v>8490</v>
      </c>
      <c r="B7901" s="9">
        <v>0.1</v>
      </c>
    </row>
    <row r="7902" spans="1:3" x14ac:dyDescent="0.25">
      <c r="A7902" t="s">
        <v>8491</v>
      </c>
      <c r="B7902" s="9">
        <v>0.1</v>
      </c>
    </row>
    <row r="7903" spans="1:3" x14ac:dyDescent="0.25">
      <c r="A7903" t="s">
        <v>8492</v>
      </c>
      <c r="B7903" s="9">
        <v>0.15</v>
      </c>
    </row>
    <row r="7904" spans="1:3" x14ac:dyDescent="0.25">
      <c r="A7904" t="s">
        <v>8493</v>
      </c>
      <c r="B7904" s="9">
        <v>0.1</v>
      </c>
    </row>
    <row r="7905" spans="1:2" x14ac:dyDescent="0.25">
      <c r="A7905" t="s">
        <v>8494</v>
      </c>
      <c r="B7905" s="9">
        <v>0.1</v>
      </c>
    </row>
    <row r="7906" spans="1:2" x14ac:dyDescent="0.25">
      <c r="A7906" t="s">
        <v>8495</v>
      </c>
      <c r="B7906" s="9">
        <v>0.1</v>
      </c>
    </row>
    <row r="7907" spans="1:2" x14ac:dyDescent="0.25">
      <c r="A7907" t="s">
        <v>8496</v>
      </c>
      <c r="B7907" s="9">
        <v>0.1</v>
      </c>
    </row>
    <row r="7908" spans="1:2" x14ac:dyDescent="0.25">
      <c r="A7908" t="s">
        <v>8497</v>
      </c>
      <c r="B7908" s="9">
        <v>0.12</v>
      </c>
    </row>
    <row r="7909" spans="1:2" x14ac:dyDescent="0.25">
      <c r="A7909" t="s">
        <v>8498</v>
      </c>
      <c r="B7909" s="9">
        <v>0</v>
      </c>
    </row>
    <row r="7910" spans="1:2" x14ac:dyDescent="0.25">
      <c r="A7910" t="s">
        <v>8499</v>
      </c>
      <c r="B7910" s="9">
        <v>0.15</v>
      </c>
    </row>
    <row r="7911" spans="1:2" x14ac:dyDescent="0.25">
      <c r="A7911" t="s">
        <v>8500</v>
      </c>
      <c r="B7911" s="9">
        <v>0.15</v>
      </c>
    </row>
    <row r="7912" spans="1:2" x14ac:dyDescent="0.25">
      <c r="A7912" t="s">
        <v>8501</v>
      </c>
      <c r="B7912" s="9">
        <v>0.12</v>
      </c>
    </row>
    <row r="7913" spans="1:2" x14ac:dyDescent="0.25">
      <c r="A7913" t="s">
        <v>8502</v>
      </c>
      <c r="B7913" s="9">
        <v>0.05</v>
      </c>
    </row>
    <row r="7914" spans="1:2" x14ac:dyDescent="0.25">
      <c r="A7914" t="s">
        <v>8503</v>
      </c>
      <c r="B7914" s="9">
        <v>0.05</v>
      </c>
    </row>
    <row r="7915" spans="1:2" x14ac:dyDescent="0.25">
      <c r="A7915" t="s">
        <v>8504</v>
      </c>
      <c r="B7915" s="9">
        <v>0.05</v>
      </c>
    </row>
    <row r="7916" spans="1:2" x14ac:dyDescent="0.25">
      <c r="A7916" t="s">
        <v>8505</v>
      </c>
      <c r="B7916" s="9">
        <v>0</v>
      </c>
    </row>
    <row r="7917" spans="1:2" x14ac:dyDescent="0.25">
      <c r="A7917" t="s">
        <v>8506</v>
      </c>
      <c r="B7917" s="9">
        <v>0.1</v>
      </c>
    </row>
    <row r="7918" spans="1:2" x14ac:dyDescent="0.25">
      <c r="A7918" t="s">
        <v>8507</v>
      </c>
      <c r="B7918" s="9">
        <v>0</v>
      </c>
    </row>
    <row r="7919" spans="1:2" x14ac:dyDescent="0.25">
      <c r="A7919" t="s">
        <v>8508</v>
      </c>
      <c r="B7919" s="9">
        <v>0.12</v>
      </c>
    </row>
    <row r="7920" spans="1:2" x14ac:dyDescent="0.25">
      <c r="A7920" t="s">
        <v>8509</v>
      </c>
      <c r="B7920" s="9">
        <v>0.1</v>
      </c>
    </row>
    <row r="7921" spans="1:2" x14ac:dyDescent="0.25">
      <c r="A7921" t="s">
        <v>8510</v>
      </c>
      <c r="B7921" s="9">
        <v>0</v>
      </c>
    </row>
    <row r="7922" spans="1:2" x14ac:dyDescent="0.25">
      <c r="A7922" t="s">
        <v>8511</v>
      </c>
      <c r="B7922" s="9">
        <v>0</v>
      </c>
    </row>
    <row r="7923" spans="1:2" x14ac:dyDescent="0.25">
      <c r="A7923" t="s">
        <v>8512</v>
      </c>
      <c r="B7923" s="9">
        <v>0</v>
      </c>
    </row>
    <row r="7924" spans="1:2" x14ac:dyDescent="0.25">
      <c r="A7924" t="s">
        <v>8513</v>
      </c>
      <c r="B7924" s="9">
        <v>0</v>
      </c>
    </row>
    <row r="7925" spans="1:2" x14ac:dyDescent="0.25">
      <c r="A7925" t="s">
        <v>8514</v>
      </c>
      <c r="B7925" s="9">
        <v>0.15</v>
      </c>
    </row>
    <row r="7926" spans="1:2" x14ac:dyDescent="0.25">
      <c r="A7926" t="s">
        <v>8515</v>
      </c>
      <c r="B7926" s="9">
        <v>0.1</v>
      </c>
    </row>
    <row r="7927" spans="1:2" x14ac:dyDescent="0.25">
      <c r="A7927" t="s">
        <v>8516</v>
      </c>
      <c r="B7927" s="9">
        <v>0.1</v>
      </c>
    </row>
    <row r="7928" spans="1:2" x14ac:dyDescent="0.25">
      <c r="A7928" t="s">
        <v>8517</v>
      </c>
      <c r="B7928" s="9">
        <v>0.1</v>
      </c>
    </row>
    <row r="7929" spans="1:2" x14ac:dyDescent="0.25">
      <c r="A7929" t="s">
        <v>8518</v>
      </c>
      <c r="B7929" s="9">
        <v>0.1</v>
      </c>
    </row>
    <row r="7930" spans="1:2" x14ac:dyDescent="0.25">
      <c r="A7930" t="s">
        <v>8519</v>
      </c>
      <c r="B7930" s="9">
        <v>0</v>
      </c>
    </row>
    <row r="7931" spans="1:2" x14ac:dyDescent="0.25">
      <c r="A7931" t="s">
        <v>8520</v>
      </c>
      <c r="B7931" s="9">
        <v>0</v>
      </c>
    </row>
    <row r="7932" spans="1:2" x14ac:dyDescent="0.25">
      <c r="A7932" t="s">
        <v>8521</v>
      </c>
      <c r="B7932" s="9">
        <v>0</v>
      </c>
    </row>
    <row r="7933" spans="1:2" x14ac:dyDescent="0.25">
      <c r="A7933" t="s">
        <v>8522</v>
      </c>
      <c r="B7933" s="9">
        <v>0</v>
      </c>
    </row>
    <row r="7934" spans="1:2" x14ac:dyDescent="0.25">
      <c r="A7934" t="s">
        <v>8523</v>
      </c>
      <c r="B7934" s="9">
        <v>0</v>
      </c>
    </row>
    <row r="7935" spans="1:2" x14ac:dyDescent="0.25">
      <c r="A7935" t="s">
        <v>8524</v>
      </c>
      <c r="B7935" s="9">
        <v>0</v>
      </c>
    </row>
    <row r="7936" spans="1:2" x14ac:dyDescent="0.25">
      <c r="A7936" t="s">
        <v>8525</v>
      </c>
      <c r="B7936" s="9">
        <v>0</v>
      </c>
    </row>
    <row r="7937" spans="1:2" x14ac:dyDescent="0.25">
      <c r="A7937" t="s">
        <v>8526</v>
      </c>
      <c r="B7937" s="9">
        <v>0</v>
      </c>
    </row>
    <row r="7938" spans="1:2" x14ac:dyDescent="0.25">
      <c r="A7938" t="s">
        <v>8527</v>
      </c>
      <c r="B7938" s="9">
        <v>0</v>
      </c>
    </row>
    <row r="7939" spans="1:2" x14ac:dyDescent="0.25">
      <c r="A7939" t="s">
        <v>8528</v>
      </c>
      <c r="B7939" s="9">
        <v>0</v>
      </c>
    </row>
    <row r="7940" spans="1:2" x14ac:dyDescent="0.25">
      <c r="A7940" t="s">
        <v>8529</v>
      </c>
      <c r="B7940" s="9">
        <v>0</v>
      </c>
    </row>
    <row r="7941" spans="1:2" x14ac:dyDescent="0.25">
      <c r="A7941" t="s">
        <v>8530</v>
      </c>
      <c r="B7941" s="9">
        <v>0.05</v>
      </c>
    </row>
    <row r="7942" spans="1:2" x14ac:dyDescent="0.25">
      <c r="A7942" t="s">
        <v>8531</v>
      </c>
      <c r="B7942" s="9">
        <v>0</v>
      </c>
    </row>
    <row r="7943" spans="1:2" x14ac:dyDescent="0.25">
      <c r="A7943" t="s">
        <v>8532</v>
      </c>
      <c r="B7943" s="9">
        <v>0</v>
      </c>
    </row>
    <row r="7944" spans="1:2" x14ac:dyDescent="0.25">
      <c r="A7944" t="s">
        <v>8533</v>
      </c>
      <c r="B7944" s="9">
        <v>0</v>
      </c>
    </row>
    <row r="7945" spans="1:2" x14ac:dyDescent="0.25">
      <c r="A7945" t="s">
        <v>8534</v>
      </c>
      <c r="B7945" s="9">
        <v>0.05</v>
      </c>
    </row>
    <row r="7946" spans="1:2" x14ac:dyDescent="0.25">
      <c r="A7946" t="s">
        <v>8535</v>
      </c>
      <c r="B7946" s="9">
        <v>0.05</v>
      </c>
    </row>
    <row r="7947" spans="1:2" x14ac:dyDescent="0.25">
      <c r="A7947" t="s">
        <v>8536</v>
      </c>
      <c r="B7947" s="9">
        <v>0</v>
      </c>
    </row>
    <row r="7948" spans="1:2" x14ac:dyDescent="0.25">
      <c r="A7948" t="s">
        <v>8537</v>
      </c>
      <c r="B7948" s="9">
        <v>0.05</v>
      </c>
    </row>
    <row r="7949" spans="1:2" x14ac:dyDescent="0.25">
      <c r="A7949" t="s">
        <v>8538</v>
      </c>
      <c r="B7949" s="9">
        <v>0.05</v>
      </c>
    </row>
    <row r="7950" spans="1:2" x14ac:dyDescent="0.25">
      <c r="A7950" t="s">
        <v>8539</v>
      </c>
      <c r="B7950" s="9">
        <v>0</v>
      </c>
    </row>
    <row r="7951" spans="1:2" x14ac:dyDescent="0.25">
      <c r="A7951" t="s">
        <v>8540</v>
      </c>
      <c r="B7951" s="9">
        <v>0</v>
      </c>
    </row>
    <row r="7952" spans="1:2" x14ac:dyDescent="0.25">
      <c r="A7952" t="s">
        <v>8541</v>
      </c>
      <c r="B7952" s="9">
        <v>0.05</v>
      </c>
    </row>
    <row r="7953" spans="1:3" x14ac:dyDescent="0.25">
      <c r="A7953" t="s">
        <v>8542</v>
      </c>
      <c r="B7953" s="9">
        <v>0.05</v>
      </c>
    </row>
    <row r="7954" spans="1:3" x14ac:dyDescent="0.25">
      <c r="A7954" t="s">
        <v>8543</v>
      </c>
      <c r="B7954" s="9">
        <v>0.05</v>
      </c>
    </row>
    <row r="7955" spans="1:3" x14ac:dyDescent="0.25">
      <c r="A7955" t="s">
        <v>8544</v>
      </c>
      <c r="B7955" s="9">
        <v>0.05</v>
      </c>
    </row>
    <row r="7956" spans="1:3" x14ac:dyDescent="0.25">
      <c r="A7956" t="s">
        <v>8545</v>
      </c>
      <c r="B7956" s="9">
        <v>0</v>
      </c>
    </row>
    <row r="7957" spans="1:3" x14ac:dyDescent="0.25">
      <c r="A7957" t="s">
        <v>8546</v>
      </c>
      <c r="B7957" s="9">
        <v>0.05</v>
      </c>
    </row>
    <row r="7958" spans="1:3" x14ac:dyDescent="0.25">
      <c r="A7958" t="s">
        <v>8547</v>
      </c>
      <c r="B7958" s="9">
        <v>0.05</v>
      </c>
    </row>
    <row r="7959" spans="1:3" x14ac:dyDescent="0.25">
      <c r="A7959" t="s">
        <v>8548</v>
      </c>
      <c r="B7959" s="9">
        <v>0.05</v>
      </c>
    </row>
    <row r="7960" spans="1:3" x14ac:dyDescent="0.25">
      <c r="A7960" t="s">
        <v>8549</v>
      </c>
      <c r="B7960" s="9">
        <v>0.05</v>
      </c>
    </row>
    <row r="7961" spans="1:3" x14ac:dyDescent="0.25">
      <c r="A7961" t="s">
        <v>8550</v>
      </c>
      <c r="B7961" s="9">
        <v>0.05</v>
      </c>
    </row>
    <row r="7962" spans="1:3" x14ac:dyDescent="0.25">
      <c r="A7962" t="s">
        <v>8551</v>
      </c>
      <c r="B7962" s="9">
        <v>0.05</v>
      </c>
    </row>
    <row r="7963" spans="1:3" x14ac:dyDescent="0.25">
      <c r="A7963" t="s">
        <v>8552</v>
      </c>
      <c r="B7963" s="9">
        <v>0.05</v>
      </c>
    </row>
    <row r="7964" spans="1:3" x14ac:dyDescent="0.25">
      <c r="A7964" t="s">
        <v>8553</v>
      </c>
      <c r="B7964" s="9">
        <v>0.05</v>
      </c>
    </row>
    <row r="7965" spans="1:3" x14ac:dyDescent="0.25">
      <c r="A7965" t="s">
        <v>8554</v>
      </c>
      <c r="B7965" s="9">
        <v>0.05</v>
      </c>
    </row>
    <row r="7966" spans="1:3" x14ac:dyDescent="0.25">
      <c r="A7966" t="s">
        <v>33</v>
      </c>
      <c r="B7966" s="9">
        <v>0.05</v>
      </c>
      <c r="C7966" t="s">
        <v>33</v>
      </c>
    </row>
    <row r="7967" spans="1:3" x14ac:dyDescent="0.25">
      <c r="A7967" t="s">
        <v>8555</v>
      </c>
      <c r="B7967" s="9">
        <v>0.05</v>
      </c>
    </row>
    <row r="7968" spans="1:3" x14ac:dyDescent="0.25">
      <c r="A7968" t="s">
        <v>34</v>
      </c>
      <c r="B7968" s="9">
        <v>0.05</v>
      </c>
      <c r="C7968" t="s">
        <v>34</v>
      </c>
    </row>
    <row r="7969" spans="1:3" x14ac:dyDescent="0.25">
      <c r="A7969" t="s">
        <v>8556</v>
      </c>
      <c r="B7969" s="9">
        <v>0</v>
      </c>
    </row>
    <row r="7970" spans="1:3" x14ac:dyDescent="0.25">
      <c r="A7970" t="s">
        <v>8557</v>
      </c>
      <c r="B7970" s="9">
        <v>0.05</v>
      </c>
    </row>
    <row r="7971" spans="1:3" x14ac:dyDescent="0.25">
      <c r="A7971" t="s">
        <v>8558</v>
      </c>
      <c r="B7971" s="9">
        <v>0.05</v>
      </c>
    </row>
    <row r="7972" spans="1:3" x14ac:dyDescent="0.25">
      <c r="A7972" t="s">
        <v>35</v>
      </c>
      <c r="B7972" s="9">
        <v>0.05</v>
      </c>
      <c r="C7972" t="s">
        <v>35</v>
      </c>
    </row>
    <row r="7973" spans="1:3" x14ac:dyDescent="0.25">
      <c r="A7973" t="s">
        <v>36</v>
      </c>
      <c r="B7973" s="9">
        <v>0.05</v>
      </c>
      <c r="C7973" t="s">
        <v>36</v>
      </c>
    </row>
    <row r="7974" spans="1:3" x14ac:dyDescent="0.25">
      <c r="A7974" t="s">
        <v>8559</v>
      </c>
      <c r="B7974" s="9">
        <v>0.04</v>
      </c>
    </row>
    <row r="7975" spans="1:3" x14ac:dyDescent="0.25">
      <c r="A7975" t="s">
        <v>8560</v>
      </c>
      <c r="B7975" s="9">
        <v>0.04</v>
      </c>
    </row>
    <row r="7976" spans="1:3" x14ac:dyDescent="0.25">
      <c r="A7976" t="s">
        <v>37</v>
      </c>
      <c r="B7976" s="9">
        <v>0.05</v>
      </c>
      <c r="C7976" t="s">
        <v>37</v>
      </c>
    </row>
    <row r="7977" spans="1:3" x14ac:dyDescent="0.25">
      <c r="A7977" t="s">
        <v>8561</v>
      </c>
      <c r="B7977" s="9">
        <v>0.04</v>
      </c>
    </row>
    <row r="7978" spans="1:3" x14ac:dyDescent="0.25">
      <c r="A7978" t="s">
        <v>8562</v>
      </c>
      <c r="B7978" s="9">
        <v>0.04</v>
      </c>
    </row>
    <row r="7979" spans="1:3" x14ac:dyDescent="0.25">
      <c r="A7979" t="s">
        <v>38</v>
      </c>
      <c r="B7979" s="9">
        <v>0.05</v>
      </c>
      <c r="C7979" t="s">
        <v>38</v>
      </c>
    </row>
    <row r="7980" spans="1:3" x14ac:dyDescent="0.25">
      <c r="A7980" t="s">
        <v>8563</v>
      </c>
      <c r="B7980" s="9">
        <v>0.04</v>
      </c>
    </row>
    <row r="7981" spans="1:3" x14ac:dyDescent="0.25">
      <c r="A7981" t="s">
        <v>8564</v>
      </c>
      <c r="B7981" s="9">
        <v>0.04</v>
      </c>
    </row>
    <row r="7982" spans="1:3" x14ac:dyDescent="0.25">
      <c r="A7982" t="s">
        <v>8565</v>
      </c>
      <c r="B7982" s="9">
        <v>0</v>
      </c>
    </row>
    <row r="7983" spans="1:3" x14ac:dyDescent="0.25">
      <c r="A7983" t="s">
        <v>39</v>
      </c>
      <c r="B7983" s="9">
        <v>0</v>
      </c>
      <c r="C7983" t="s">
        <v>39</v>
      </c>
    </row>
    <row r="7984" spans="1:3" x14ac:dyDescent="0.25">
      <c r="A7984" t="s">
        <v>8566</v>
      </c>
      <c r="B7984" s="9">
        <v>0.05</v>
      </c>
    </row>
    <row r="7985" spans="1:3" x14ac:dyDescent="0.25">
      <c r="A7985" t="s">
        <v>40</v>
      </c>
      <c r="B7985" s="9">
        <v>0.05</v>
      </c>
      <c r="C7985" t="s">
        <v>40</v>
      </c>
    </row>
    <row r="7986" spans="1:3" x14ac:dyDescent="0.25">
      <c r="A7986" t="s">
        <v>41</v>
      </c>
      <c r="B7986" s="9">
        <v>0.05</v>
      </c>
      <c r="C7986" t="s">
        <v>41</v>
      </c>
    </row>
    <row r="7987" spans="1:3" x14ac:dyDescent="0.25">
      <c r="A7987" t="s">
        <v>42</v>
      </c>
      <c r="B7987" s="9">
        <v>0.05</v>
      </c>
      <c r="C7987" t="s">
        <v>42</v>
      </c>
    </row>
    <row r="7988" spans="1:3" x14ac:dyDescent="0.25">
      <c r="A7988" t="s">
        <v>43</v>
      </c>
      <c r="B7988" s="9">
        <v>0.05</v>
      </c>
      <c r="C7988" t="s">
        <v>43</v>
      </c>
    </row>
    <row r="7989" spans="1:3" x14ac:dyDescent="0.25">
      <c r="A7989" t="s">
        <v>44</v>
      </c>
      <c r="B7989" s="9">
        <v>0.05</v>
      </c>
      <c r="C7989" t="s">
        <v>44</v>
      </c>
    </row>
    <row r="7990" spans="1:3" x14ac:dyDescent="0.25">
      <c r="A7990" t="s">
        <v>45</v>
      </c>
      <c r="B7990" s="9">
        <v>0.05</v>
      </c>
      <c r="C7990" t="s">
        <v>45</v>
      </c>
    </row>
    <row r="7991" spans="1:3" x14ac:dyDescent="0.25">
      <c r="A7991" t="s">
        <v>46</v>
      </c>
      <c r="B7991" s="9">
        <v>0.05</v>
      </c>
      <c r="C7991" t="s">
        <v>46</v>
      </c>
    </row>
    <row r="7992" spans="1:3" x14ac:dyDescent="0.25">
      <c r="A7992" t="s">
        <v>47</v>
      </c>
      <c r="B7992" s="9">
        <v>0.05</v>
      </c>
      <c r="C7992" t="s">
        <v>47</v>
      </c>
    </row>
    <row r="7993" spans="1:3" x14ac:dyDescent="0.25">
      <c r="A7993" t="s">
        <v>48</v>
      </c>
      <c r="B7993" s="9">
        <v>0.05</v>
      </c>
      <c r="C7993" t="s">
        <v>48</v>
      </c>
    </row>
    <row r="7994" spans="1:3" x14ac:dyDescent="0.25">
      <c r="A7994" t="s">
        <v>49</v>
      </c>
      <c r="B7994" s="9">
        <v>0.05</v>
      </c>
      <c r="C7994" t="s">
        <v>49</v>
      </c>
    </row>
    <row r="7995" spans="1:3" x14ac:dyDescent="0.25">
      <c r="A7995" t="s">
        <v>50</v>
      </c>
      <c r="B7995" s="9">
        <v>0.15</v>
      </c>
      <c r="C7995" t="s">
        <v>50</v>
      </c>
    </row>
    <row r="7996" spans="1:3" x14ac:dyDescent="0.25">
      <c r="A7996" t="s">
        <v>243</v>
      </c>
      <c r="B7996" s="9">
        <v>0.05</v>
      </c>
      <c r="C7996" t="s">
        <v>243</v>
      </c>
    </row>
    <row r="7997" spans="1:3" x14ac:dyDescent="0.25">
      <c r="A7997" t="s">
        <v>51</v>
      </c>
      <c r="B7997" s="9">
        <v>0.05</v>
      </c>
      <c r="C7997" t="s">
        <v>51</v>
      </c>
    </row>
    <row r="7998" spans="1:3" x14ac:dyDescent="0.25">
      <c r="A7998" t="s">
        <v>8567</v>
      </c>
      <c r="B7998" s="9">
        <v>0.04</v>
      </c>
    </row>
    <row r="7999" spans="1:3" x14ac:dyDescent="0.25">
      <c r="A7999" t="s">
        <v>52</v>
      </c>
      <c r="B7999" s="9">
        <v>0.05</v>
      </c>
      <c r="C7999" t="s">
        <v>52</v>
      </c>
    </row>
    <row r="8000" spans="1:3" x14ac:dyDescent="0.25">
      <c r="A8000" t="s">
        <v>53</v>
      </c>
      <c r="B8000" s="9">
        <v>0.05</v>
      </c>
      <c r="C8000" t="s">
        <v>53</v>
      </c>
    </row>
    <row r="8001" spans="1:3" x14ac:dyDescent="0.25">
      <c r="A8001" t="s">
        <v>54</v>
      </c>
      <c r="B8001" s="9">
        <v>0.05</v>
      </c>
      <c r="C8001" t="s">
        <v>54</v>
      </c>
    </row>
    <row r="8002" spans="1:3" x14ac:dyDescent="0.25">
      <c r="A8002" t="s">
        <v>55</v>
      </c>
      <c r="B8002" s="9">
        <v>0.05</v>
      </c>
      <c r="C8002" t="s">
        <v>55</v>
      </c>
    </row>
    <row r="8003" spans="1:3" x14ac:dyDescent="0.25">
      <c r="A8003" t="s">
        <v>56</v>
      </c>
      <c r="B8003" s="9">
        <v>0.05</v>
      </c>
      <c r="C8003" t="s">
        <v>56</v>
      </c>
    </row>
    <row r="8004" spans="1:3" x14ac:dyDescent="0.25">
      <c r="A8004" t="s">
        <v>57</v>
      </c>
      <c r="B8004" s="9">
        <v>0.05</v>
      </c>
      <c r="C8004" t="s">
        <v>57</v>
      </c>
    </row>
    <row r="8005" spans="1:3" x14ac:dyDescent="0.25">
      <c r="A8005" t="s">
        <v>58</v>
      </c>
      <c r="B8005" s="9">
        <v>0.05</v>
      </c>
      <c r="C8005" t="s">
        <v>58</v>
      </c>
    </row>
    <row r="8006" spans="1:3" x14ac:dyDescent="0.25">
      <c r="A8006" t="s">
        <v>8568</v>
      </c>
      <c r="B8006" s="9">
        <v>0.04</v>
      </c>
    </row>
    <row r="8007" spans="1:3" x14ac:dyDescent="0.25">
      <c r="A8007" t="s">
        <v>59</v>
      </c>
      <c r="B8007" s="9">
        <v>0.05</v>
      </c>
      <c r="C8007" t="s">
        <v>59</v>
      </c>
    </row>
    <row r="8008" spans="1:3" x14ac:dyDescent="0.25">
      <c r="A8008" t="s">
        <v>8569</v>
      </c>
      <c r="B8008" s="9">
        <v>0.04</v>
      </c>
    </row>
    <row r="8009" spans="1:3" x14ac:dyDescent="0.25">
      <c r="A8009" t="s">
        <v>60</v>
      </c>
      <c r="B8009" s="9">
        <v>0.05</v>
      </c>
      <c r="C8009" t="s">
        <v>60</v>
      </c>
    </row>
    <row r="8010" spans="1:3" x14ac:dyDescent="0.25">
      <c r="A8010" t="s">
        <v>8570</v>
      </c>
      <c r="B8010" s="9">
        <v>0.04</v>
      </c>
    </row>
    <row r="8011" spans="1:3" x14ac:dyDescent="0.25">
      <c r="A8011" t="s">
        <v>61</v>
      </c>
      <c r="B8011" s="9">
        <v>0.05</v>
      </c>
      <c r="C8011" t="s">
        <v>61</v>
      </c>
    </row>
    <row r="8012" spans="1:3" x14ac:dyDescent="0.25">
      <c r="A8012" t="s">
        <v>8571</v>
      </c>
      <c r="B8012" s="9">
        <v>0.04</v>
      </c>
    </row>
    <row r="8013" spans="1:3" x14ac:dyDescent="0.25">
      <c r="A8013" t="s">
        <v>62</v>
      </c>
      <c r="B8013" s="9">
        <v>0.05</v>
      </c>
      <c r="C8013" t="s">
        <v>62</v>
      </c>
    </row>
    <row r="8014" spans="1:3" x14ac:dyDescent="0.25">
      <c r="A8014" t="s">
        <v>63</v>
      </c>
      <c r="B8014" s="9">
        <v>0.05</v>
      </c>
      <c r="C8014" t="s">
        <v>63</v>
      </c>
    </row>
    <row r="8015" spans="1:3" x14ac:dyDescent="0.25">
      <c r="A8015" t="s">
        <v>64</v>
      </c>
      <c r="B8015" s="9">
        <v>0.05</v>
      </c>
      <c r="C8015" t="s">
        <v>64</v>
      </c>
    </row>
    <row r="8016" spans="1:3" x14ac:dyDescent="0.25">
      <c r="A8016" t="s">
        <v>65</v>
      </c>
      <c r="B8016" s="9">
        <v>0.05</v>
      </c>
      <c r="C8016" t="s">
        <v>65</v>
      </c>
    </row>
    <row r="8017" spans="1:3" x14ac:dyDescent="0.25">
      <c r="A8017" t="s">
        <v>66</v>
      </c>
      <c r="B8017" s="9">
        <v>0.05</v>
      </c>
      <c r="C8017" t="s">
        <v>66</v>
      </c>
    </row>
    <row r="8018" spans="1:3" x14ac:dyDescent="0.25">
      <c r="A8018" t="s">
        <v>67</v>
      </c>
      <c r="B8018" s="9">
        <v>0.05</v>
      </c>
      <c r="C8018" t="s">
        <v>67</v>
      </c>
    </row>
    <row r="8019" spans="1:3" x14ac:dyDescent="0.25">
      <c r="A8019" t="s">
        <v>8572</v>
      </c>
      <c r="B8019" s="9">
        <v>0.04</v>
      </c>
    </row>
    <row r="8020" spans="1:3" x14ac:dyDescent="0.25">
      <c r="A8020" t="s">
        <v>8573</v>
      </c>
      <c r="B8020" s="9">
        <v>0</v>
      </c>
    </row>
    <row r="8021" spans="1:3" x14ac:dyDescent="0.25">
      <c r="A8021" t="s">
        <v>8574</v>
      </c>
      <c r="B8021" s="9">
        <v>0</v>
      </c>
    </row>
    <row r="8022" spans="1:3" x14ac:dyDescent="0.25">
      <c r="A8022" t="s">
        <v>8575</v>
      </c>
      <c r="B8022" s="9">
        <v>0</v>
      </c>
    </row>
    <row r="8023" spans="1:3" x14ac:dyDescent="0.25">
      <c r="A8023" t="s">
        <v>8576</v>
      </c>
      <c r="B8023" s="9">
        <v>0</v>
      </c>
    </row>
    <row r="8024" spans="1:3" x14ac:dyDescent="0.25">
      <c r="A8024" t="s">
        <v>8577</v>
      </c>
      <c r="B8024" s="9">
        <v>0.05</v>
      </c>
    </row>
    <row r="8025" spans="1:3" x14ac:dyDescent="0.25">
      <c r="A8025" t="s">
        <v>8578</v>
      </c>
      <c r="B8025" s="9">
        <v>0.05</v>
      </c>
    </row>
    <row r="8026" spans="1:3" x14ac:dyDescent="0.25">
      <c r="A8026" t="s">
        <v>8579</v>
      </c>
      <c r="B8026" s="9">
        <v>0.05</v>
      </c>
    </row>
    <row r="8027" spans="1:3" x14ac:dyDescent="0.25">
      <c r="A8027" t="s">
        <v>8580</v>
      </c>
      <c r="B8027" s="9">
        <v>0.05</v>
      </c>
    </row>
    <row r="8028" spans="1:3" x14ac:dyDescent="0.25">
      <c r="A8028" t="s">
        <v>8581</v>
      </c>
      <c r="B8028" s="9">
        <v>0</v>
      </c>
    </row>
    <row r="8029" spans="1:3" x14ac:dyDescent="0.25">
      <c r="A8029" t="s">
        <v>8582</v>
      </c>
      <c r="B8029" s="9">
        <v>0.05</v>
      </c>
    </row>
    <row r="8030" spans="1:3" x14ac:dyDescent="0.25">
      <c r="A8030" t="s">
        <v>8583</v>
      </c>
      <c r="B8030" s="9">
        <v>0.05</v>
      </c>
    </row>
    <row r="8031" spans="1:3" x14ac:dyDescent="0.25">
      <c r="A8031" t="s">
        <v>8584</v>
      </c>
      <c r="B8031" s="9">
        <v>0.05</v>
      </c>
    </row>
    <row r="8032" spans="1:3" x14ac:dyDescent="0.25">
      <c r="A8032" t="s">
        <v>8585</v>
      </c>
      <c r="B8032" s="9">
        <v>0</v>
      </c>
    </row>
    <row r="8033" spans="1:3" x14ac:dyDescent="0.25">
      <c r="A8033" t="s">
        <v>68</v>
      </c>
      <c r="B8033" s="9">
        <v>0</v>
      </c>
      <c r="C8033" t="s">
        <v>68</v>
      </c>
    </row>
    <row r="8034" spans="1:3" x14ac:dyDescent="0.25">
      <c r="A8034" t="s">
        <v>69</v>
      </c>
      <c r="B8034" s="9">
        <v>0</v>
      </c>
      <c r="C8034" t="s">
        <v>69</v>
      </c>
    </row>
    <row r="8035" spans="1:3" x14ac:dyDescent="0.25">
      <c r="A8035" t="s">
        <v>8586</v>
      </c>
      <c r="B8035" s="9">
        <v>0</v>
      </c>
    </row>
    <row r="8036" spans="1:3" x14ac:dyDescent="0.25">
      <c r="A8036" t="s">
        <v>70</v>
      </c>
      <c r="B8036" s="9">
        <v>0</v>
      </c>
      <c r="C8036" t="s">
        <v>70</v>
      </c>
    </row>
    <row r="8037" spans="1:3" x14ac:dyDescent="0.25">
      <c r="A8037" t="s">
        <v>8587</v>
      </c>
      <c r="B8037" s="9">
        <v>0</v>
      </c>
    </row>
    <row r="8038" spans="1:3" x14ac:dyDescent="0.25">
      <c r="A8038" t="s">
        <v>8588</v>
      </c>
      <c r="B8038" s="9">
        <v>0</v>
      </c>
    </row>
    <row r="8039" spans="1:3" x14ac:dyDescent="0.25">
      <c r="A8039" t="s">
        <v>8589</v>
      </c>
      <c r="B8039" s="9">
        <v>0</v>
      </c>
    </row>
    <row r="8040" spans="1:3" x14ac:dyDescent="0.25">
      <c r="A8040" t="s">
        <v>8590</v>
      </c>
      <c r="B8040" s="9">
        <v>0</v>
      </c>
    </row>
    <row r="8041" spans="1:3" x14ac:dyDescent="0.25">
      <c r="A8041" t="s">
        <v>8591</v>
      </c>
      <c r="B8041" s="9">
        <v>0</v>
      </c>
    </row>
    <row r="8042" spans="1:3" x14ac:dyDescent="0.25">
      <c r="A8042" t="s">
        <v>8592</v>
      </c>
      <c r="B8042" s="9">
        <v>0</v>
      </c>
    </row>
    <row r="8043" spans="1:3" x14ac:dyDescent="0.25">
      <c r="A8043" t="s">
        <v>8593</v>
      </c>
      <c r="B8043" s="9">
        <v>0</v>
      </c>
    </row>
    <row r="8044" spans="1:3" x14ac:dyDescent="0.25">
      <c r="A8044" t="s">
        <v>8594</v>
      </c>
      <c r="B8044" s="9">
        <v>0.05</v>
      </c>
    </row>
    <row r="8045" spans="1:3" x14ac:dyDescent="0.25">
      <c r="A8045" t="s">
        <v>8595</v>
      </c>
      <c r="B8045" s="9">
        <v>0.05</v>
      </c>
    </row>
    <row r="8046" spans="1:3" x14ac:dyDescent="0.25">
      <c r="A8046" t="s">
        <v>8596</v>
      </c>
      <c r="B8046" s="9">
        <v>0.05</v>
      </c>
    </row>
    <row r="8047" spans="1:3" x14ac:dyDescent="0.25">
      <c r="A8047" t="s">
        <v>71</v>
      </c>
      <c r="B8047" s="9">
        <v>0.05</v>
      </c>
      <c r="C8047" t="s">
        <v>71</v>
      </c>
    </row>
    <row r="8048" spans="1:3" x14ac:dyDescent="0.25">
      <c r="A8048" t="s">
        <v>72</v>
      </c>
      <c r="B8048" s="9">
        <v>0.05</v>
      </c>
      <c r="C8048" t="s">
        <v>72</v>
      </c>
    </row>
    <row r="8049" spans="1:3" x14ac:dyDescent="0.25">
      <c r="A8049" t="s">
        <v>8597</v>
      </c>
      <c r="B8049" s="9">
        <v>0.04</v>
      </c>
    </row>
    <row r="8050" spans="1:3" x14ac:dyDescent="0.25">
      <c r="A8050" t="s">
        <v>73</v>
      </c>
      <c r="B8050" s="9">
        <v>0.05</v>
      </c>
      <c r="C8050" t="s">
        <v>73</v>
      </c>
    </row>
    <row r="8051" spans="1:3" x14ac:dyDescent="0.25">
      <c r="A8051" t="s">
        <v>74</v>
      </c>
      <c r="B8051" s="9">
        <v>0.05</v>
      </c>
      <c r="C8051" t="s">
        <v>74</v>
      </c>
    </row>
    <row r="8052" spans="1:3" x14ac:dyDescent="0.25">
      <c r="A8052" t="s">
        <v>8598</v>
      </c>
      <c r="B8052" s="9">
        <v>0</v>
      </c>
    </row>
    <row r="8053" spans="1:3" x14ac:dyDescent="0.25">
      <c r="A8053" t="s">
        <v>8599</v>
      </c>
      <c r="B8053" s="9">
        <v>0</v>
      </c>
    </row>
    <row r="8054" spans="1:3" x14ac:dyDescent="0.25">
      <c r="A8054" t="s">
        <v>8600</v>
      </c>
      <c r="B8054" s="9">
        <v>0</v>
      </c>
    </row>
    <row r="8055" spans="1:3" x14ac:dyDescent="0.25">
      <c r="A8055" t="s">
        <v>8601</v>
      </c>
      <c r="B8055" s="9">
        <v>0</v>
      </c>
    </row>
    <row r="8056" spans="1:3" x14ac:dyDescent="0.25">
      <c r="A8056" t="s">
        <v>75</v>
      </c>
      <c r="B8056" s="9">
        <v>0</v>
      </c>
      <c r="C8056" t="s">
        <v>75</v>
      </c>
    </row>
    <row r="8057" spans="1:3" x14ac:dyDescent="0.25">
      <c r="A8057" t="s">
        <v>8602</v>
      </c>
      <c r="B8057" s="9">
        <v>0</v>
      </c>
    </row>
    <row r="8058" spans="1:3" x14ac:dyDescent="0.25">
      <c r="A8058" t="s">
        <v>8603</v>
      </c>
      <c r="B8058" s="9">
        <v>0.05</v>
      </c>
    </row>
    <row r="8059" spans="1:3" x14ac:dyDescent="0.25">
      <c r="A8059" t="s">
        <v>8604</v>
      </c>
      <c r="B8059" s="9">
        <v>0.05</v>
      </c>
    </row>
    <row r="8060" spans="1:3" x14ac:dyDescent="0.25">
      <c r="A8060" t="s">
        <v>8605</v>
      </c>
      <c r="B8060" s="9">
        <v>0</v>
      </c>
    </row>
    <row r="8061" spans="1:3" x14ac:dyDescent="0.25">
      <c r="A8061" t="s">
        <v>8606</v>
      </c>
      <c r="B8061" s="9">
        <v>0</v>
      </c>
    </row>
    <row r="8062" spans="1:3" x14ac:dyDescent="0.25">
      <c r="A8062" t="s">
        <v>8607</v>
      </c>
      <c r="B8062" s="9">
        <v>0</v>
      </c>
    </row>
    <row r="8063" spans="1:3" x14ac:dyDescent="0.25">
      <c r="A8063" t="s">
        <v>8608</v>
      </c>
      <c r="B8063" s="9">
        <v>0</v>
      </c>
    </row>
    <row r="8064" spans="1:3" x14ac:dyDescent="0.25">
      <c r="A8064" t="s">
        <v>8609</v>
      </c>
      <c r="B8064" s="9">
        <v>0.05</v>
      </c>
    </row>
    <row r="8065" spans="1:2" x14ac:dyDescent="0.25">
      <c r="A8065" t="s">
        <v>8610</v>
      </c>
      <c r="B8065" s="9">
        <v>0.04</v>
      </c>
    </row>
    <row r="8066" spans="1:2" x14ac:dyDescent="0.25">
      <c r="A8066" t="s">
        <v>8611</v>
      </c>
      <c r="B8066" s="9">
        <v>0</v>
      </c>
    </row>
    <row r="8067" spans="1:2" x14ac:dyDescent="0.25">
      <c r="A8067" t="s">
        <v>8612</v>
      </c>
      <c r="B8067" s="9">
        <v>0</v>
      </c>
    </row>
    <row r="8068" spans="1:2" x14ac:dyDescent="0.25">
      <c r="A8068" t="s">
        <v>8613</v>
      </c>
      <c r="B8068" s="9">
        <v>0.05</v>
      </c>
    </row>
    <row r="8069" spans="1:2" x14ac:dyDescent="0.25">
      <c r="A8069" t="s">
        <v>8614</v>
      </c>
      <c r="B8069" s="9">
        <v>0.05</v>
      </c>
    </row>
    <row r="8070" spans="1:2" x14ac:dyDescent="0.25">
      <c r="A8070" t="s">
        <v>8615</v>
      </c>
      <c r="B8070" s="9">
        <v>0</v>
      </c>
    </row>
    <row r="8071" spans="1:2" x14ac:dyDescent="0.25">
      <c r="A8071" t="s">
        <v>8616</v>
      </c>
      <c r="B8071" s="9">
        <v>0.05</v>
      </c>
    </row>
    <row r="8072" spans="1:2" x14ac:dyDescent="0.25">
      <c r="A8072" t="s">
        <v>8617</v>
      </c>
      <c r="B8072" s="9">
        <v>0</v>
      </c>
    </row>
    <row r="8073" spans="1:2" x14ac:dyDescent="0.25">
      <c r="A8073" t="s">
        <v>8618</v>
      </c>
      <c r="B8073" s="9">
        <v>0</v>
      </c>
    </row>
    <row r="8074" spans="1:2" x14ac:dyDescent="0.25">
      <c r="A8074" t="s">
        <v>8619</v>
      </c>
      <c r="B8074" s="9">
        <v>0</v>
      </c>
    </row>
    <row r="8075" spans="1:2" x14ac:dyDescent="0.25">
      <c r="A8075" t="s">
        <v>8620</v>
      </c>
      <c r="B8075" s="9">
        <v>0</v>
      </c>
    </row>
    <row r="8076" spans="1:2" x14ac:dyDescent="0.25">
      <c r="A8076" t="s">
        <v>8621</v>
      </c>
      <c r="B8076" s="9">
        <v>0.15</v>
      </c>
    </row>
    <row r="8077" spans="1:2" x14ac:dyDescent="0.25">
      <c r="A8077" t="s">
        <v>8622</v>
      </c>
      <c r="B8077" s="9">
        <v>0.15</v>
      </c>
    </row>
    <row r="8078" spans="1:2" x14ac:dyDescent="0.25">
      <c r="A8078" t="s">
        <v>8623</v>
      </c>
      <c r="B8078" s="9">
        <v>0.15</v>
      </c>
    </row>
    <row r="8079" spans="1:2" x14ac:dyDescent="0.25">
      <c r="A8079" t="s">
        <v>8624</v>
      </c>
      <c r="B8079" s="9">
        <v>0.05</v>
      </c>
    </row>
    <row r="8080" spans="1:2" x14ac:dyDescent="0.25">
      <c r="A8080" t="s">
        <v>8625</v>
      </c>
      <c r="B8080" s="9">
        <v>0</v>
      </c>
    </row>
    <row r="8081" spans="1:3" x14ac:dyDescent="0.25">
      <c r="A8081" t="s">
        <v>8626</v>
      </c>
      <c r="B8081" s="9">
        <v>0.15</v>
      </c>
    </row>
    <row r="8082" spans="1:3" x14ac:dyDescent="0.25">
      <c r="A8082" t="s">
        <v>8627</v>
      </c>
      <c r="B8082" s="9">
        <v>0.1</v>
      </c>
    </row>
    <row r="8083" spans="1:3" x14ac:dyDescent="0.25">
      <c r="A8083" t="s">
        <v>8628</v>
      </c>
      <c r="B8083" s="9">
        <v>0</v>
      </c>
    </row>
    <row r="8084" spans="1:3" x14ac:dyDescent="0.25">
      <c r="A8084" t="s">
        <v>8629</v>
      </c>
      <c r="B8084" s="9">
        <v>0</v>
      </c>
    </row>
    <row r="8085" spans="1:3" x14ac:dyDescent="0.25">
      <c r="A8085" t="s">
        <v>8630</v>
      </c>
      <c r="B8085" s="9">
        <v>0</v>
      </c>
    </row>
    <row r="8086" spans="1:3" x14ac:dyDescent="0.25">
      <c r="A8086" t="s">
        <v>76</v>
      </c>
      <c r="B8086" s="9">
        <v>0</v>
      </c>
      <c r="C8086" t="s">
        <v>76</v>
      </c>
    </row>
    <row r="8087" spans="1:3" x14ac:dyDescent="0.25">
      <c r="A8087" t="s">
        <v>77</v>
      </c>
      <c r="B8087" s="9">
        <v>0.05</v>
      </c>
      <c r="C8087" t="s">
        <v>77</v>
      </c>
    </row>
    <row r="8088" spans="1:3" x14ac:dyDescent="0.25">
      <c r="A8088" t="s">
        <v>78</v>
      </c>
      <c r="B8088" s="9">
        <v>0.05</v>
      </c>
      <c r="C8088" t="s">
        <v>78</v>
      </c>
    </row>
    <row r="8089" spans="1:3" x14ac:dyDescent="0.25">
      <c r="A8089" t="s">
        <v>8631</v>
      </c>
      <c r="B8089" s="9">
        <v>0</v>
      </c>
    </row>
    <row r="8090" spans="1:3" x14ac:dyDescent="0.25">
      <c r="A8090" t="s">
        <v>8632</v>
      </c>
      <c r="B8090" s="9">
        <v>0</v>
      </c>
    </row>
    <row r="8091" spans="1:3" x14ac:dyDescent="0.25">
      <c r="A8091" t="s">
        <v>8633</v>
      </c>
      <c r="B8091" s="9">
        <v>0</v>
      </c>
    </row>
    <row r="8092" spans="1:3" x14ac:dyDescent="0.25">
      <c r="A8092" t="s">
        <v>8634</v>
      </c>
      <c r="B8092" s="9">
        <v>0</v>
      </c>
    </row>
    <row r="8093" spans="1:3" x14ac:dyDescent="0.25">
      <c r="A8093" t="s">
        <v>8635</v>
      </c>
      <c r="B8093" s="9">
        <v>0</v>
      </c>
    </row>
    <row r="8094" spans="1:3" x14ac:dyDescent="0.25">
      <c r="A8094" t="s">
        <v>8636</v>
      </c>
      <c r="B8094" s="9">
        <v>0</v>
      </c>
    </row>
    <row r="8095" spans="1:3" x14ac:dyDescent="0.25">
      <c r="A8095" t="s">
        <v>8637</v>
      </c>
      <c r="B8095" s="9">
        <v>0</v>
      </c>
    </row>
    <row r="8096" spans="1:3" x14ac:dyDescent="0.25">
      <c r="A8096" t="s">
        <v>8638</v>
      </c>
      <c r="B8096" s="9">
        <v>0.05</v>
      </c>
    </row>
    <row r="8097" spans="1:3" x14ac:dyDescent="0.25">
      <c r="A8097" t="s">
        <v>8639</v>
      </c>
      <c r="B8097" s="9">
        <v>0.05</v>
      </c>
    </row>
    <row r="8098" spans="1:3" x14ac:dyDescent="0.25">
      <c r="A8098" t="s">
        <v>8640</v>
      </c>
      <c r="B8098" s="9">
        <v>0.05</v>
      </c>
    </row>
    <row r="8099" spans="1:3" x14ac:dyDescent="0.25">
      <c r="A8099" t="s">
        <v>8641</v>
      </c>
      <c r="B8099" s="9">
        <v>0.05</v>
      </c>
    </row>
    <row r="8100" spans="1:3" x14ac:dyDescent="0.25">
      <c r="A8100" t="s">
        <v>8642</v>
      </c>
      <c r="B8100" s="9">
        <v>0.05</v>
      </c>
    </row>
    <row r="8101" spans="1:3" x14ac:dyDescent="0.25">
      <c r="A8101" t="s">
        <v>8643</v>
      </c>
      <c r="B8101" s="9">
        <v>0.05</v>
      </c>
    </row>
    <row r="8102" spans="1:3" x14ac:dyDescent="0.25">
      <c r="A8102" t="s">
        <v>79</v>
      </c>
      <c r="B8102" s="9">
        <v>0</v>
      </c>
      <c r="C8102" t="s">
        <v>79</v>
      </c>
    </row>
    <row r="8103" spans="1:3" x14ac:dyDescent="0.25">
      <c r="A8103" t="s">
        <v>8644</v>
      </c>
      <c r="B8103" s="9">
        <v>0.2</v>
      </c>
    </row>
    <row r="8104" spans="1:3" x14ac:dyDescent="0.25">
      <c r="A8104" t="s">
        <v>8645</v>
      </c>
      <c r="B8104" s="9">
        <v>0.35</v>
      </c>
    </row>
    <row r="8105" spans="1:3" x14ac:dyDescent="0.25">
      <c r="A8105" t="s">
        <v>8646</v>
      </c>
      <c r="B8105" s="9">
        <v>0.2</v>
      </c>
    </row>
    <row r="8106" spans="1:3" x14ac:dyDescent="0.25">
      <c r="A8106" t="s">
        <v>8647</v>
      </c>
      <c r="B8106" s="9">
        <v>0.2</v>
      </c>
    </row>
    <row r="8107" spans="1:3" x14ac:dyDescent="0.25">
      <c r="A8107" t="s">
        <v>80</v>
      </c>
      <c r="B8107" s="9">
        <v>0.2</v>
      </c>
      <c r="C8107" t="s">
        <v>80</v>
      </c>
    </row>
    <row r="8108" spans="1:3" x14ac:dyDescent="0.25">
      <c r="A8108" t="s">
        <v>81</v>
      </c>
      <c r="B8108" s="9">
        <v>0.2</v>
      </c>
      <c r="C8108" t="s">
        <v>81</v>
      </c>
    </row>
    <row r="8109" spans="1:3" x14ac:dyDescent="0.25">
      <c r="A8109" t="s">
        <v>8648</v>
      </c>
      <c r="B8109" s="9">
        <v>0.2</v>
      </c>
    </row>
    <row r="8110" spans="1:3" x14ac:dyDescent="0.25">
      <c r="A8110" t="s">
        <v>8649</v>
      </c>
      <c r="B8110" s="9">
        <v>0</v>
      </c>
    </row>
    <row r="8111" spans="1:3" x14ac:dyDescent="0.25">
      <c r="A8111" t="s">
        <v>8650</v>
      </c>
      <c r="B8111" s="9">
        <v>0.2</v>
      </c>
    </row>
    <row r="8112" spans="1:3" x14ac:dyDescent="0.25">
      <c r="A8112" t="s">
        <v>8651</v>
      </c>
      <c r="B8112" s="9">
        <v>0</v>
      </c>
    </row>
    <row r="8113" spans="1:2" x14ac:dyDescent="0.25">
      <c r="A8113" t="s">
        <v>8652</v>
      </c>
      <c r="B8113" s="9">
        <v>0.2</v>
      </c>
    </row>
    <row r="8114" spans="1:2" x14ac:dyDescent="0.25">
      <c r="A8114" t="s">
        <v>8653</v>
      </c>
      <c r="B8114" s="9">
        <v>0.2</v>
      </c>
    </row>
    <row r="8115" spans="1:2" x14ac:dyDescent="0.25">
      <c r="A8115" t="s">
        <v>8654</v>
      </c>
      <c r="B8115" s="9">
        <v>0.35</v>
      </c>
    </row>
    <row r="8116" spans="1:2" x14ac:dyDescent="0.25">
      <c r="A8116" t="s">
        <v>8655</v>
      </c>
      <c r="B8116" s="9">
        <v>0.2</v>
      </c>
    </row>
    <row r="8117" spans="1:2" x14ac:dyDescent="0.25">
      <c r="A8117" t="s">
        <v>8656</v>
      </c>
      <c r="B8117" s="9">
        <v>0.35</v>
      </c>
    </row>
    <row r="8118" spans="1:2" x14ac:dyDescent="0.25">
      <c r="A8118" t="s">
        <v>8657</v>
      </c>
      <c r="B8118" s="9">
        <v>0.2</v>
      </c>
    </row>
    <row r="8119" spans="1:2" x14ac:dyDescent="0.25">
      <c r="A8119" t="s">
        <v>8658</v>
      </c>
      <c r="B8119" s="9">
        <v>0</v>
      </c>
    </row>
    <row r="8120" spans="1:2" x14ac:dyDescent="0.25">
      <c r="A8120" t="s">
        <v>8659</v>
      </c>
      <c r="B8120" s="9">
        <v>0</v>
      </c>
    </row>
    <row r="8121" spans="1:2" x14ac:dyDescent="0.25">
      <c r="A8121" t="s">
        <v>8660</v>
      </c>
      <c r="B8121" s="9">
        <v>0</v>
      </c>
    </row>
    <row r="8122" spans="1:2" x14ac:dyDescent="0.25">
      <c r="A8122" t="s">
        <v>8661</v>
      </c>
      <c r="B8122" s="9">
        <v>0</v>
      </c>
    </row>
    <row r="8123" spans="1:2" x14ac:dyDescent="0.25">
      <c r="A8123" t="s">
        <v>8662</v>
      </c>
      <c r="B8123" s="9">
        <v>0.05</v>
      </c>
    </row>
    <row r="8124" spans="1:2" x14ac:dyDescent="0.25">
      <c r="A8124" t="s">
        <v>8663</v>
      </c>
      <c r="B8124" s="9">
        <v>0</v>
      </c>
    </row>
    <row r="8125" spans="1:2" x14ac:dyDescent="0.25">
      <c r="A8125" t="s">
        <v>8664</v>
      </c>
      <c r="B8125" s="9">
        <v>0</v>
      </c>
    </row>
    <row r="8126" spans="1:2" x14ac:dyDescent="0.25">
      <c r="A8126" t="s">
        <v>8665</v>
      </c>
      <c r="B8126" s="9">
        <v>0</v>
      </c>
    </row>
    <row r="8127" spans="1:2" x14ac:dyDescent="0.25">
      <c r="A8127" t="s">
        <v>8666</v>
      </c>
      <c r="B8127" s="9">
        <v>0</v>
      </c>
    </row>
    <row r="8128" spans="1:2" x14ac:dyDescent="0.25">
      <c r="A8128" t="s">
        <v>8667</v>
      </c>
      <c r="B8128" s="9">
        <v>0</v>
      </c>
    </row>
    <row r="8129" spans="1:2" x14ac:dyDescent="0.25">
      <c r="A8129" t="s">
        <v>8668</v>
      </c>
      <c r="B8129" s="9">
        <v>0</v>
      </c>
    </row>
    <row r="8130" spans="1:2" x14ac:dyDescent="0.25">
      <c r="A8130" t="s">
        <v>8669</v>
      </c>
      <c r="B8130" s="9">
        <v>0</v>
      </c>
    </row>
    <row r="8131" spans="1:2" x14ac:dyDescent="0.25">
      <c r="A8131" t="s">
        <v>8670</v>
      </c>
      <c r="B8131" s="9">
        <v>0</v>
      </c>
    </row>
    <row r="8132" spans="1:2" x14ac:dyDescent="0.25">
      <c r="A8132" t="s">
        <v>8671</v>
      </c>
      <c r="B8132" s="9">
        <v>0.15</v>
      </c>
    </row>
    <row r="8133" spans="1:2" x14ac:dyDescent="0.25">
      <c r="A8133" t="s">
        <v>8672</v>
      </c>
      <c r="B8133" s="9">
        <v>0</v>
      </c>
    </row>
    <row r="8134" spans="1:2" x14ac:dyDescent="0.25">
      <c r="A8134" t="s">
        <v>8672</v>
      </c>
      <c r="B8134" s="9">
        <v>0.1</v>
      </c>
    </row>
    <row r="8135" spans="1:2" x14ac:dyDescent="0.25">
      <c r="A8135" t="s">
        <v>8673</v>
      </c>
      <c r="B8135" s="9">
        <v>0.15</v>
      </c>
    </row>
    <row r="8136" spans="1:2" x14ac:dyDescent="0.25">
      <c r="A8136" t="s">
        <v>8673</v>
      </c>
      <c r="B8136" s="9">
        <v>0.1</v>
      </c>
    </row>
    <row r="8137" spans="1:2" x14ac:dyDescent="0.25">
      <c r="A8137" t="s">
        <v>8674</v>
      </c>
      <c r="B8137" s="9">
        <v>0.15</v>
      </c>
    </row>
    <row r="8138" spans="1:2" x14ac:dyDescent="0.25">
      <c r="A8138" t="s">
        <v>8674</v>
      </c>
      <c r="B8138" s="9">
        <v>0.1</v>
      </c>
    </row>
    <row r="8139" spans="1:2" x14ac:dyDescent="0.25">
      <c r="A8139" t="s">
        <v>8675</v>
      </c>
      <c r="B8139" s="9">
        <v>0.15</v>
      </c>
    </row>
    <row r="8140" spans="1:2" x14ac:dyDescent="0.25">
      <c r="A8140" t="s">
        <v>8676</v>
      </c>
      <c r="B8140" s="9">
        <v>0.15</v>
      </c>
    </row>
    <row r="8141" spans="1:2" x14ac:dyDescent="0.25">
      <c r="A8141" t="s">
        <v>8676</v>
      </c>
      <c r="B8141" s="9">
        <v>0.1</v>
      </c>
    </row>
    <row r="8142" spans="1:2" x14ac:dyDescent="0.25">
      <c r="A8142" t="s">
        <v>8677</v>
      </c>
      <c r="B8142" s="9">
        <v>0.15</v>
      </c>
    </row>
    <row r="8143" spans="1:2" x14ac:dyDescent="0.25">
      <c r="A8143" t="s">
        <v>8678</v>
      </c>
      <c r="B8143" s="9">
        <v>0.15</v>
      </c>
    </row>
    <row r="8144" spans="1:2" x14ac:dyDescent="0.25">
      <c r="A8144" t="s">
        <v>8678</v>
      </c>
      <c r="B8144" s="9">
        <v>0.1</v>
      </c>
    </row>
    <row r="8145" spans="1:2" x14ac:dyDescent="0.25">
      <c r="A8145" t="s">
        <v>8679</v>
      </c>
      <c r="B8145" s="9">
        <v>0</v>
      </c>
    </row>
    <row r="8146" spans="1:2" x14ac:dyDescent="0.25">
      <c r="A8146" t="s">
        <v>8680</v>
      </c>
      <c r="B8146" s="9">
        <v>0</v>
      </c>
    </row>
    <row r="8147" spans="1:2" x14ac:dyDescent="0.25">
      <c r="A8147" t="s">
        <v>8681</v>
      </c>
      <c r="B8147" s="9">
        <v>0</v>
      </c>
    </row>
    <row r="8148" spans="1:2" x14ac:dyDescent="0.25">
      <c r="A8148" t="s">
        <v>8682</v>
      </c>
      <c r="B8148" s="9">
        <v>0</v>
      </c>
    </row>
    <row r="8149" spans="1:2" x14ac:dyDescent="0.25">
      <c r="A8149" t="s">
        <v>8683</v>
      </c>
      <c r="B8149" s="9">
        <v>0</v>
      </c>
    </row>
    <row r="8150" spans="1:2" x14ac:dyDescent="0.25">
      <c r="A8150" t="s">
        <v>8684</v>
      </c>
      <c r="B8150" s="9">
        <v>0.15</v>
      </c>
    </row>
    <row r="8151" spans="1:2" x14ac:dyDescent="0.25">
      <c r="A8151" t="s">
        <v>8685</v>
      </c>
      <c r="B8151" s="9">
        <v>0.1</v>
      </c>
    </row>
    <row r="8152" spans="1:2" x14ac:dyDescent="0.25">
      <c r="A8152" t="s">
        <v>8686</v>
      </c>
      <c r="B8152" s="9">
        <v>0</v>
      </c>
    </row>
    <row r="8153" spans="1:2" x14ac:dyDescent="0.25">
      <c r="A8153" t="s">
        <v>8687</v>
      </c>
      <c r="B8153" s="9">
        <v>0</v>
      </c>
    </row>
    <row r="8154" spans="1:2" x14ac:dyDescent="0.25">
      <c r="A8154" t="s">
        <v>8688</v>
      </c>
      <c r="B8154" s="9">
        <v>0.2</v>
      </c>
    </row>
    <row r="8155" spans="1:2" x14ac:dyDescent="0.25">
      <c r="A8155" t="s">
        <v>8689</v>
      </c>
      <c r="B8155" s="9">
        <v>0.05</v>
      </c>
    </row>
    <row r="8156" spans="1:2" x14ac:dyDescent="0.25">
      <c r="A8156" t="s">
        <v>8690</v>
      </c>
      <c r="B8156" s="9">
        <v>0.15</v>
      </c>
    </row>
    <row r="8157" spans="1:2" x14ac:dyDescent="0.25">
      <c r="A8157" t="s">
        <v>8691</v>
      </c>
      <c r="B8157" s="9">
        <v>0</v>
      </c>
    </row>
    <row r="8158" spans="1:2" x14ac:dyDescent="0.25">
      <c r="A8158" t="s">
        <v>8692</v>
      </c>
      <c r="B8158" s="9">
        <v>0.05</v>
      </c>
    </row>
    <row r="8159" spans="1:2" x14ac:dyDescent="0.25">
      <c r="A8159" t="s">
        <v>8693</v>
      </c>
      <c r="B8159" s="9">
        <v>0.05</v>
      </c>
    </row>
    <row r="8160" spans="1:2" x14ac:dyDescent="0.25">
      <c r="A8160" t="s">
        <v>8694</v>
      </c>
      <c r="B8160" s="9">
        <v>0</v>
      </c>
    </row>
    <row r="8161" spans="1:2" x14ac:dyDescent="0.25">
      <c r="A8161" t="s">
        <v>8695</v>
      </c>
      <c r="B8161" s="9">
        <v>0.15</v>
      </c>
    </row>
    <row r="8162" spans="1:2" x14ac:dyDescent="0.25">
      <c r="A8162" t="s">
        <v>8696</v>
      </c>
      <c r="B8162" s="9">
        <v>0.15</v>
      </c>
    </row>
    <row r="8163" spans="1:2" x14ac:dyDescent="0.25">
      <c r="A8163" t="s">
        <v>8697</v>
      </c>
      <c r="B8163" s="9">
        <v>0.05</v>
      </c>
    </row>
    <row r="8164" spans="1:2" x14ac:dyDescent="0.25">
      <c r="A8164" t="s">
        <v>8698</v>
      </c>
      <c r="B8164" s="9">
        <v>0.05</v>
      </c>
    </row>
    <row r="8165" spans="1:2" x14ac:dyDescent="0.25">
      <c r="A8165" t="s">
        <v>8699</v>
      </c>
      <c r="B8165" s="9">
        <v>0.1</v>
      </c>
    </row>
    <row r="8166" spans="1:2" x14ac:dyDescent="0.25">
      <c r="A8166" t="s">
        <v>8700</v>
      </c>
      <c r="B8166" s="9">
        <v>0</v>
      </c>
    </row>
    <row r="8167" spans="1:2" x14ac:dyDescent="0.25">
      <c r="A8167" t="s">
        <v>8701</v>
      </c>
      <c r="B8167" s="9">
        <v>0.05</v>
      </c>
    </row>
    <row r="8168" spans="1:2" x14ac:dyDescent="0.25">
      <c r="A8168" t="s">
        <v>8702</v>
      </c>
      <c r="B8168" s="9">
        <v>0.05</v>
      </c>
    </row>
    <row r="8169" spans="1:2" x14ac:dyDescent="0.25">
      <c r="A8169" t="s">
        <v>8703</v>
      </c>
      <c r="B8169" s="9">
        <v>0</v>
      </c>
    </row>
    <row r="8170" spans="1:2" x14ac:dyDescent="0.25">
      <c r="A8170" t="s">
        <v>8704</v>
      </c>
      <c r="B8170" s="9">
        <v>0</v>
      </c>
    </row>
    <row r="8171" spans="1:2" x14ac:dyDescent="0.25">
      <c r="A8171" t="s">
        <v>8705</v>
      </c>
      <c r="B8171" s="9">
        <v>0</v>
      </c>
    </row>
    <row r="8172" spans="1:2" x14ac:dyDescent="0.25">
      <c r="A8172" t="s">
        <v>8706</v>
      </c>
      <c r="B8172" s="9">
        <v>0</v>
      </c>
    </row>
    <row r="8173" spans="1:2" x14ac:dyDescent="0.25">
      <c r="A8173" t="s">
        <v>8707</v>
      </c>
      <c r="B8173" s="9">
        <v>0</v>
      </c>
    </row>
    <row r="8174" spans="1:2" x14ac:dyDescent="0.25">
      <c r="A8174" t="s">
        <v>8708</v>
      </c>
      <c r="B8174" s="9">
        <v>0</v>
      </c>
    </row>
    <row r="8175" spans="1:2" x14ac:dyDescent="0.25">
      <c r="A8175" t="s">
        <v>8709</v>
      </c>
      <c r="B8175" s="9">
        <v>0</v>
      </c>
    </row>
    <row r="8176" spans="1:2" x14ac:dyDescent="0.25">
      <c r="A8176" t="s">
        <v>8710</v>
      </c>
      <c r="B8176" s="9">
        <v>0</v>
      </c>
    </row>
    <row r="8177" spans="1:2" x14ac:dyDescent="0.25">
      <c r="A8177" t="s">
        <v>8711</v>
      </c>
      <c r="B8177" s="9">
        <v>0</v>
      </c>
    </row>
    <row r="8178" spans="1:2" x14ac:dyDescent="0.25">
      <c r="A8178" t="s">
        <v>8712</v>
      </c>
      <c r="B8178" s="9">
        <v>0</v>
      </c>
    </row>
    <row r="8179" spans="1:2" x14ac:dyDescent="0.25">
      <c r="A8179" t="s">
        <v>8713</v>
      </c>
      <c r="B8179" s="9">
        <v>0</v>
      </c>
    </row>
    <row r="8180" spans="1:2" x14ac:dyDescent="0.25">
      <c r="A8180" t="s">
        <v>8714</v>
      </c>
      <c r="B8180" s="9">
        <v>0</v>
      </c>
    </row>
    <row r="8181" spans="1:2" x14ac:dyDescent="0.25">
      <c r="A8181" t="s">
        <v>8715</v>
      </c>
      <c r="B8181" s="9">
        <v>0</v>
      </c>
    </row>
    <row r="8182" spans="1:2" x14ac:dyDescent="0.25">
      <c r="A8182" t="s">
        <v>8716</v>
      </c>
      <c r="B8182" s="9">
        <v>0</v>
      </c>
    </row>
    <row r="8183" spans="1:2" x14ac:dyDescent="0.25">
      <c r="A8183" t="s">
        <v>8717</v>
      </c>
      <c r="B8183" s="9">
        <v>0</v>
      </c>
    </row>
    <row r="8184" spans="1:2" x14ac:dyDescent="0.25">
      <c r="A8184" t="s">
        <v>8718</v>
      </c>
      <c r="B8184" s="9">
        <v>0</v>
      </c>
    </row>
    <row r="8185" spans="1:2" x14ac:dyDescent="0.25">
      <c r="A8185" t="s">
        <v>8719</v>
      </c>
      <c r="B8185" s="9">
        <v>0.08</v>
      </c>
    </row>
    <row r="8186" spans="1:2" x14ac:dyDescent="0.25">
      <c r="A8186" t="s">
        <v>8720</v>
      </c>
      <c r="B8186" s="9">
        <v>0</v>
      </c>
    </row>
    <row r="8187" spans="1:2" x14ac:dyDescent="0.25">
      <c r="A8187" t="s">
        <v>8721</v>
      </c>
      <c r="B8187" s="9">
        <v>0</v>
      </c>
    </row>
    <row r="8188" spans="1:2" x14ac:dyDescent="0.25">
      <c r="A8188" t="s">
        <v>8722</v>
      </c>
      <c r="B8188" s="9">
        <v>0</v>
      </c>
    </row>
    <row r="8189" spans="1:2" x14ac:dyDescent="0.25">
      <c r="A8189" t="s">
        <v>8723</v>
      </c>
      <c r="B8189" s="9">
        <v>0.08</v>
      </c>
    </row>
    <row r="8190" spans="1:2" x14ac:dyDescent="0.25">
      <c r="A8190" t="s">
        <v>8724</v>
      </c>
      <c r="B8190" s="9">
        <v>0.05</v>
      </c>
    </row>
    <row r="8191" spans="1:2" x14ac:dyDescent="0.25">
      <c r="A8191" t="s">
        <v>8725</v>
      </c>
      <c r="B8191" s="9">
        <v>0</v>
      </c>
    </row>
    <row r="8192" spans="1:2" x14ac:dyDescent="0.25">
      <c r="A8192" t="s">
        <v>8726</v>
      </c>
      <c r="B8192" s="9">
        <v>0.05</v>
      </c>
    </row>
    <row r="8193" spans="1:2" x14ac:dyDescent="0.25">
      <c r="A8193" t="s">
        <v>8727</v>
      </c>
      <c r="B8193" s="9">
        <v>0.05</v>
      </c>
    </row>
    <row r="8194" spans="1:2" x14ac:dyDescent="0.25">
      <c r="A8194" t="s">
        <v>8728</v>
      </c>
      <c r="B8194" s="9">
        <v>0.05</v>
      </c>
    </row>
    <row r="8195" spans="1:2" x14ac:dyDescent="0.25">
      <c r="A8195" t="s">
        <v>8729</v>
      </c>
      <c r="B8195" s="9">
        <v>0</v>
      </c>
    </row>
    <row r="8196" spans="1:2" x14ac:dyDescent="0.25">
      <c r="A8196" t="s">
        <v>8730</v>
      </c>
      <c r="B8196" s="9">
        <v>0.05</v>
      </c>
    </row>
    <row r="8197" spans="1:2" x14ac:dyDescent="0.25">
      <c r="A8197" t="s">
        <v>8731</v>
      </c>
      <c r="B8197" s="9">
        <v>0.05</v>
      </c>
    </row>
    <row r="8198" spans="1:2" x14ac:dyDescent="0.25">
      <c r="A8198" t="s">
        <v>8732</v>
      </c>
      <c r="B8198" s="9">
        <v>0</v>
      </c>
    </row>
    <row r="8199" spans="1:2" x14ac:dyDescent="0.25">
      <c r="A8199" t="s">
        <v>8733</v>
      </c>
      <c r="B8199" s="9">
        <v>0</v>
      </c>
    </row>
    <row r="8200" spans="1:2" x14ac:dyDescent="0.25">
      <c r="A8200" t="s">
        <v>8734</v>
      </c>
      <c r="B8200" s="9">
        <v>0.05</v>
      </c>
    </row>
    <row r="8201" spans="1:2" x14ac:dyDescent="0.25">
      <c r="A8201" t="s">
        <v>8735</v>
      </c>
      <c r="B8201" s="9">
        <v>0.05</v>
      </c>
    </row>
    <row r="8202" spans="1:2" x14ac:dyDescent="0.25">
      <c r="A8202" t="s">
        <v>8736</v>
      </c>
      <c r="B8202" s="9">
        <v>0</v>
      </c>
    </row>
    <row r="8203" spans="1:2" x14ac:dyDescent="0.25">
      <c r="A8203" t="s">
        <v>8737</v>
      </c>
      <c r="B8203" s="9">
        <v>0</v>
      </c>
    </row>
    <row r="8204" spans="1:2" x14ac:dyDescent="0.25">
      <c r="A8204" t="s">
        <v>8738</v>
      </c>
      <c r="B8204" s="9">
        <v>0.2</v>
      </c>
    </row>
    <row r="8205" spans="1:2" x14ac:dyDescent="0.25">
      <c r="A8205" t="s">
        <v>8739</v>
      </c>
      <c r="B8205" s="9">
        <v>0.2</v>
      </c>
    </row>
    <row r="8206" spans="1:2" x14ac:dyDescent="0.25">
      <c r="A8206" t="s">
        <v>8740</v>
      </c>
      <c r="B8206" s="9">
        <v>0</v>
      </c>
    </row>
    <row r="8207" spans="1:2" x14ac:dyDescent="0.25">
      <c r="A8207" t="s">
        <v>8741</v>
      </c>
      <c r="B8207" s="9">
        <v>0</v>
      </c>
    </row>
    <row r="8208" spans="1:2" x14ac:dyDescent="0.25">
      <c r="A8208" t="s">
        <v>8742</v>
      </c>
      <c r="B8208" s="9">
        <v>0.24</v>
      </c>
    </row>
    <row r="8209" spans="1:3" x14ac:dyDescent="0.25">
      <c r="A8209" t="s">
        <v>8743</v>
      </c>
      <c r="B8209" s="9">
        <v>0</v>
      </c>
    </row>
    <row r="8210" spans="1:3" x14ac:dyDescent="0.25">
      <c r="A8210" t="s">
        <v>8744</v>
      </c>
      <c r="B8210" s="9">
        <v>0</v>
      </c>
    </row>
    <row r="8211" spans="1:3" x14ac:dyDescent="0.25">
      <c r="A8211" t="s">
        <v>82</v>
      </c>
      <c r="B8211" s="9">
        <v>0.08</v>
      </c>
      <c r="C8211" t="s">
        <v>82</v>
      </c>
    </row>
    <row r="8212" spans="1:3" x14ac:dyDescent="0.25">
      <c r="A8212" t="s">
        <v>8745</v>
      </c>
      <c r="B8212" s="9">
        <v>0.04</v>
      </c>
    </row>
    <row r="8213" spans="1:3" x14ac:dyDescent="0.25">
      <c r="A8213" t="s">
        <v>8746</v>
      </c>
      <c r="B8213" s="9">
        <v>0.04</v>
      </c>
    </row>
    <row r="8214" spans="1:3" x14ac:dyDescent="0.25">
      <c r="A8214" t="s">
        <v>8747</v>
      </c>
      <c r="B8214" s="9">
        <v>0</v>
      </c>
    </row>
    <row r="8215" spans="1:3" x14ac:dyDescent="0.25">
      <c r="A8215" t="s">
        <v>8748</v>
      </c>
      <c r="B8215" s="9">
        <v>0</v>
      </c>
    </row>
    <row r="8216" spans="1:3" x14ac:dyDescent="0.25">
      <c r="A8216" t="s">
        <v>8749</v>
      </c>
      <c r="B8216" s="9">
        <v>0</v>
      </c>
    </row>
    <row r="8217" spans="1:3" x14ac:dyDescent="0.25">
      <c r="A8217" t="s">
        <v>8750</v>
      </c>
      <c r="B8217" s="9">
        <v>0</v>
      </c>
    </row>
    <row r="8218" spans="1:3" x14ac:dyDescent="0.25">
      <c r="A8218" t="s">
        <v>8751</v>
      </c>
      <c r="B8218" s="9">
        <v>0</v>
      </c>
    </row>
    <row r="8219" spans="1:3" x14ac:dyDescent="0.25">
      <c r="A8219" t="s">
        <v>83</v>
      </c>
      <c r="B8219" s="9">
        <v>0.08</v>
      </c>
      <c r="C8219" t="s">
        <v>83</v>
      </c>
    </row>
    <row r="8220" spans="1:3" x14ac:dyDescent="0.25">
      <c r="A8220" t="s">
        <v>8752</v>
      </c>
      <c r="B8220" s="9">
        <v>0</v>
      </c>
    </row>
    <row r="8221" spans="1:3" x14ac:dyDescent="0.25">
      <c r="A8221" t="s">
        <v>8753</v>
      </c>
      <c r="B8221" s="9">
        <v>0.05</v>
      </c>
    </row>
    <row r="8222" spans="1:3" x14ac:dyDescent="0.25">
      <c r="A8222" t="s">
        <v>8754</v>
      </c>
      <c r="B8222" s="9">
        <v>0</v>
      </c>
    </row>
    <row r="8223" spans="1:3" x14ac:dyDescent="0.25">
      <c r="A8223" t="s">
        <v>8755</v>
      </c>
      <c r="B8223" s="9">
        <v>0</v>
      </c>
    </row>
    <row r="8224" spans="1:3" x14ac:dyDescent="0.25">
      <c r="A8224" t="s">
        <v>8756</v>
      </c>
      <c r="B8224" s="9">
        <v>0.08</v>
      </c>
    </row>
    <row r="8225" spans="1:2" x14ac:dyDescent="0.25">
      <c r="A8225" t="s">
        <v>8757</v>
      </c>
      <c r="B8225" s="9">
        <v>0.08</v>
      </c>
    </row>
    <row r="8226" spans="1:2" x14ac:dyDescent="0.25">
      <c r="A8226" t="s">
        <v>8758</v>
      </c>
      <c r="B8226" s="9">
        <v>0.08</v>
      </c>
    </row>
    <row r="8227" spans="1:2" x14ac:dyDescent="0.25">
      <c r="A8227" t="s">
        <v>8759</v>
      </c>
      <c r="B8227" s="9">
        <v>0.08</v>
      </c>
    </row>
    <row r="8228" spans="1:2" x14ac:dyDescent="0.25">
      <c r="A8228" t="s">
        <v>8760</v>
      </c>
      <c r="B8228" s="9">
        <v>0.08</v>
      </c>
    </row>
    <row r="8229" spans="1:2" x14ac:dyDescent="0.25">
      <c r="A8229" t="s">
        <v>8761</v>
      </c>
      <c r="B8229" s="9">
        <v>0.08</v>
      </c>
    </row>
    <row r="8230" spans="1:2" x14ac:dyDescent="0.25">
      <c r="A8230" t="s">
        <v>8762</v>
      </c>
      <c r="B8230" s="9">
        <v>0.08</v>
      </c>
    </row>
    <row r="8231" spans="1:2" x14ac:dyDescent="0.25">
      <c r="A8231" t="s">
        <v>8763</v>
      </c>
      <c r="B8231" s="9">
        <v>0.2</v>
      </c>
    </row>
    <row r="8232" spans="1:2" x14ac:dyDescent="0.25">
      <c r="A8232" t="s">
        <v>8764</v>
      </c>
      <c r="B8232" s="9">
        <v>0.2</v>
      </c>
    </row>
    <row r="8233" spans="1:2" x14ac:dyDescent="0.25">
      <c r="A8233" t="s">
        <v>8765</v>
      </c>
      <c r="B8233" s="9">
        <v>0</v>
      </c>
    </row>
    <row r="8234" spans="1:2" x14ac:dyDescent="0.25">
      <c r="A8234" t="s">
        <v>8766</v>
      </c>
      <c r="B8234" s="9">
        <v>0</v>
      </c>
    </row>
    <row r="8235" spans="1:2" x14ac:dyDescent="0.25">
      <c r="A8235" t="s">
        <v>8767</v>
      </c>
      <c r="B8235" s="9">
        <v>0</v>
      </c>
    </row>
    <row r="8236" spans="1:2" x14ac:dyDescent="0.25">
      <c r="A8236" t="s">
        <v>8768</v>
      </c>
      <c r="B8236" s="9">
        <v>0</v>
      </c>
    </row>
    <row r="8237" spans="1:2" x14ac:dyDescent="0.25">
      <c r="A8237" t="s">
        <v>8769</v>
      </c>
      <c r="B8237" s="9">
        <v>0</v>
      </c>
    </row>
    <row r="8238" spans="1:2" x14ac:dyDescent="0.25">
      <c r="A8238" t="s">
        <v>8770</v>
      </c>
      <c r="B8238" s="9">
        <v>0</v>
      </c>
    </row>
    <row r="8239" spans="1:2" x14ac:dyDescent="0.25">
      <c r="A8239" t="s">
        <v>8771</v>
      </c>
      <c r="B8239" s="9">
        <v>0</v>
      </c>
    </row>
    <row r="8240" spans="1:2" x14ac:dyDescent="0.25">
      <c r="A8240" t="s">
        <v>8772</v>
      </c>
      <c r="B8240" s="9">
        <v>0</v>
      </c>
    </row>
    <row r="8241" spans="1:2" x14ac:dyDescent="0.25">
      <c r="A8241" t="s">
        <v>8773</v>
      </c>
      <c r="B8241" s="9">
        <v>0</v>
      </c>
    </row>
    <row r="8242" spans="1:2" x14ac:dyDescent="0.25">
      <c r="A8242" t="s">
        <v>8774</v>
      </c>
      <c r="B8242" s="9">
        <v>0</v>
      </c>
    </row>
    <row r="8243" spans="1:2" x14ac:dyDescent="0.25">
      <c r="A8243" t="s">
        <v>8775</v>
      </c>
      <c r="B8243" s="9">
        <v>0</v>
      </c>
    </row>
    <row r="8244" spans="1:2" x14ac:dyDescent="0.25">
      <c r="A8244" t="s">
        <v>8776</v>
      </c>
      <c r="B8244" s="9">
        <v>0</v>
      </c>
    </row>
    <row r="8245" spans="1:2" x14ac:dyDescent="0.25">
      <c r="A8245" t="s">
        <v>8777</v>
      </c>
      <c r="B8245" s="9">
        <v>0.2</v>
      </c>
    </row>
    <row r="8246" spans="1:2" x14ac:dyDescent="0.25">
      <c r="A8246" t="s">
        <v>8778</v>
      </c>
      <c r="B8246" s="9">
        <v>0.05</v>
      </c>
    </row>
    <row r="8247" spans="1:2" x14ac:dyDescent="0.25">
      <c r="A8247" t="s">
        <v>8779</v>
      </c>
      <c r="B8247" s="9">
        <v>0.1</v>
      </c>
    </row>
    <row r="8248" spans="1:2" x14ac:dyDescent="0.25">
      <c r="A8248" t="s">
        <v>8780</v>
      </c>
      <c r="B8248" s="9">
        <v>0.2</v>
      </c>
    </row>
    <row r="8249" spans="1:2" x14ac:dyDescent="0.25">
      <c r="A8249" t="s">
        <v>8781</v>
      </c>
      <c r="B8249" s="9">
        <v>0</v>
      </c>
    </row>
    <row r="8250" spans="1:2" x14ac:dyDescent="0.25">
      <c r="A8250" t="s">
        <v>8782</v>
      </c>
      <c r="B8250" s="9">
        <v>0</v>
      </c>
    </row>
    <row r="8251" spans="1:2" x14ac:dyDescent="0.25">
      <c r="A8251" t="s">
        <v>8783</v>
      </c>
      <c r="B8251" s="9">
        <v>0</v>
      </c>
    </row>
    <row r="8252" spans="1:2" x14ac:dyDescent="0.25">
      <c r="A8252" t="s">
        <v>8784</v>
      </c>
      <c r="B8252" s="9">
        <v>0</v>
      </c>
    </row>
    <row r="8253" spans="1:2" x14ac:dyDescent="0.25">
      <c r="A8253" t="s">
        <v>8785</v>
      </c>
      <c r="B8253" s="9">
        <v>0.05</v>
      </c>
    </row>
    <row r="8254" spans="1:2" x14ac:dyDescent="0.25">
      <c r="A8254" t="s">
        <v>8786</v>
      </c>
      <c r="B8254" s="9">
        <v>0.05</v>
      </c>
    </row>
    <row r="8255" spans="1:2" x14ac:dyDescent="0.25">
      <c r="A8255" t="s">
        <v>8787</v>
      </c>
      <c r="B8255" s="9">
        <v>0</v>
      </c>
    </row>
    <row r="8256" spans="1:2" x14ac:dyDescent="0.25">
      <c r="A8256" t="s">
        <v>8788</v>
      </c>
      <c r="B8256" s="9">
        <v>0</v>
      </c>
    </row>
    <row r="8257" spans="1:2" x14ac:dyDescent="0.25">
      <c r="A8257" t="s">
        <v>8789</v>
      </c>
      <c r="B8257" s="9">
        <v>0.1</v>
      </c>
    </row>
    <row r="8258" spans="1:2" x14ac:dyDescent="0.25">
      <c r="A8258" t="s">
        <v>8790</v>
      </c>
      <c r="B8258" s="9">
        <v>0.1</v>
      </c>
    </row>
    <row r="8259" spans="1:2" x14ac:dyDescent="0.25">
      <c r="A8259" t="s">
        <v>8791</v>
      </c>
      <c r="B8259" s="9">
        <v>0.1</v>
      </c>
    </row>
    <row r="8260" spans="1:2" x14ac:dyDescent="0.25">
      <c r="A8260" t="s">
        <v>8792</v>
      </c>
      <c r="B8260" s="9">
        <v>0.08</v>
      </c>
    </row>
    <row r="8261" spans="1:2" x14ac:dyDescent="0.25">
      <c r="A8261" t="s">
        <v>8793</v>
      </c>
      <c r="B8261" s="9">
        <v>0.05</v>
      </c>
    </row>
    <row r="8262" spans="1:2" x14ac:dyDescent="0.25">
      <c r="A8262" t="s">
        <v>8794</v>
      </c>
      <c r="B8262" s="9">
        <v>0</v>
      </c>
    </row>
    <row r="8263" spans="1:2" x14ac:dyDescent="0.25">
      <c r="A8263" t="s">
        <v>8795</v>
      </c>
      <c r="B8263" s="9">
        <v>0</v>
      </c>
    </row>
    <row r="8264" spans="1:2" x14ac:dyDescent="0.25">
      <c r="A8264" t="s">
        <v>8796</v>
      </c>
      <c r="B8264" s="9">
        <v>0</v>
      </c>
    </row>
    <row r="8265" spans="1:2" x14ac:dyDescent="0.25">
      <c r="A8265" t="s">
        <v>8797</v>
      </c>
      <c r="B8265" s="9">
        <v>0</v>
      </c>
    </row>
    <row r="8266" spans="1:2" x14ac:dyDescent="0.25">
      <c r="A8266" t="s">
        <v>8798</v>
      </c>
      <c r="B8266" s="9">
        <v>0</v>
      </c>
    </row>
    <row r="8267" spans="1:2" x14ac:dyDescent="0.25">
      <c r="A8267" t="s">
        <v>8799</v>
      </c>
      <c r="B8267" s="9">
        <v>0</v>
      </c>
    </row>
    <row r="8268" spans="1:2" x14ac:dyDescent="0.25">
      <c r="A8268" t="s">
        <v>8800</v>
      </c>
      <c r="B8268" s="9">
        <v>0</v>
      </c>
    </row>
    <row r="8269" spans="1:2" x14ac:dyDescent="0.25">
      <c r="A8269" t="s">
        <v>8801</v>
      </c>
      <c r="B8269" s="9">
        <v>0</v>
      </c>
    </row>
    <row r="8270" spans="1:2" x14ac:dyDescent="0.25">
      <c r="A8270" t="s">
        <v>8802</v>
      </c>
      <c r="B8270" s="9">
        <v>0</v>
      </c>
    </row>
    <row r="8271" spans="1:2" x14ac:dyDescent="0.25">
      <c r="A8271" t="s">
        <v>8803</v>
      </c>
      <c r="B8271" s="9">
        <v>0.05</v>
      </c>
    </row>
    <row r="8272" spans="1:2" x14ac:dyDescent="0.25">
      <c r="A8272" t="s">
        <v>8804</v>
      </c>
      <c r="B8272" s="9">
        <v>0.05</v>
      </c>
    </row>
    <row r="8273" spans="1:2" x14ac:dyDescent="0.25">
      <c r="A8273" t="s">
        <v>8805</v>
      </c>
      <c r="B8273" s="9">
        <v>0.05</v>
      </c>
    </row>
    <row r="8274" spans="1:2" x14ac:dyDescent="0.25">
      <c r="A8274" t="s">
        <v>8806</v>
      </c>
      <c r="B8274" s="9">
        <v>0.05</v>
      </c>
    </row>
    <row r="8275" spans="1:2" x14ac:dyDescent="0.25">
      <c r="A8275" t="s">
        <v>8807</v>
      </c>
      <c r="B8275" s="9">
        <v>0.05</v>
      </c>
    </row>
    <row r="8276" spans="1:2" x14ac:dyDescent="0.25">
      <c r="A8276" t="s">
        <v>8808</v>
      </c>
      <c r="B8276" s="9">
        <v>0</v>
      </c>
    </row>
    <row r="8277" spans="1:2" x14ac:dyDescent="0.25">
      <c r="A8277" t="s">
        <v>8809</v>
      </c>
      <c r="B8277" s="9">
        <v>0</v>
      </c>
    </row>
    <row r="8278" spans="1:2" x14ac:dyDescent="0.25">
      <c r="A8278" t="s">
        <v>8810</v>
      </c>
      <c r="B8278" s="9">
        <v>0</v>
      </c>
    </row>
    <row r="8279" spans="1:2" x14ac:dyDescent="0.25">
      <c r="A8279" t="s">
        <v>8811</v>
      </c>
      <c r="B8279" s="9">
        <v>0</v>
      </c>
    </row>
    <row r="8280" spans="1:2" x14ac:dyDescent="0.25">
      <c r="A8280" t="s">
        <v>8812</v>
      </c>
      <c r="B8280" s="9">
        <v>0</v>
      </c>
    </row>
    <row r="8281" spans="1:2" x14ac:dyDescent="0.25">
      <c r="A8281" t="s">
        <v>8813</v>
      </c>
      <c r="B8281" s="9">
        <v>0</v>
      </c>
    </row>
    <row r="8282" spans="1:2" x14ac:dyDescent="0.25">
      <c r="A8282" t="s">
        <v>8814</v>
      </c>
      <c r="B8282" s="9">
        <v>0</v>
      </c>
    </row>
    <row r="8283" spans="1:2" x14ac:dyDescent="0.25">
      <c r="A8283" t="s">
        <v>8815</v>
      </c>
      <c r="B8283" s="9">
        <v>0</v>
      </c>
    </row>
    <row r="8284" spans="1:2" x14ac:dyDescent="0.25">
      <c r="A8284" t="s">
        <v>8816</v>
      </c>
      <c r="B8284" s="9">
        <v>0</v>
      </c>
    </row>
    <row r="8285" spans="1:2" x14ac:dyDescent="0.25">
      <c r="A8285" t="s">
        <v>8817</v>
      </c>
      <c r="B8285" s="9">
        <v>0.05</v>
      </c>
    </row>
    <row r="8286" spans="1:2" x14ac:dyDescent="0.25">
      <c r="A8286" t="s">
        <v>8818</v>
      </c>
      <c r="B8286" s="9">
        <v>0</v>
      </c>
    </row>
    <row r="8287" spans="1:2" x14ac:dyDescent="0.25">
      <c r="A8287" t="s">
        <v>8819</v>
      </c>
      <c r="B8287" s="9">
        <v>0</v>
      </c>
    </row>
    <row r="8288" spans="1:2" x14ac:dyDescent="0.25">
      <c r="A8288" t="s">
        <v>8820</v>
      </c>
      <c r="B8288" s="9">
        <v>0</v>
      </c>
    </row>
    <row r="8289" spans="1:2" x14ac:dyDescent="0.25">
      <c r="A8289" t="s">
        <v>8821</v>
      </c>
      <c r="B8289" s="9">
        <v>0</v>
      </c>
    </row>
    <row r="8290" spans="1:2" x14ac:dyDescent="0.25">
      <c r="A8290" t="s">
        <v>8822</v>
      </c>
      <c r="B8290" s="9">
        <v>0</v>
      </c>
    </row>
    <row r="8291" spans="1:2" x14ac:dyDescent="0.25">
      <c r="A8291" t="s">
        <v>8823</v>
      </c>
      <c r="B8291" s="9">
        <v>0</v>
      </c>
    </row>
    <row r="8292" spans="1:2" x14ac:dyDescent="0.25">
      <c r="A8292" t="s">
        <v>8824</v>
      </c>
      <c r="B8292" s="9">
        <v>0</v>
      </c>
    </row>
    <row r="8293" spans="1:2" x14ac:dyDescent="0.25">
      <c r="A8293" t="s">
        <v>8825</v>
      </c>
      <c r="B8293" s="9">
        <v>0</v>
      </c>
    </row>
    <row r="8294" spans="1:2" x14ac:dyDescent="0.25">
      <c r="A8294" t="s">
        <v>8826</v>
      </c>
      <c r="B8294" s="9">
        <v>0</v>
      </c>
    </row>
    <row r="8295" spans="1:2" x14ac:dyDescent="0.25">
      <c r="A8295" t="s">
        <v>8827</v>
      </c>
      <c r="B8295" s="9">
        <v>0</v>
      </c>
    </row>
    <row r="8296" spans="1:2" x14ac:dyDescent="0.25">
      <c r="A8296" t="s">
        <v>8828</v>
      </c>
      <c r="B8296" s="9">
        <v>0</v>
      </c>
    </row>
    <row r="8297" spans="1:2" x14ac:dyDescent="0.25">
      <c r="A8297" t="s">
        <v>8829</v>
      </c>
      <c r="B8297" s="9">
        <v>0</v>
      </c>
    </row>
    <row r="8298" spans="1:2" x14ac:dyDescent="0.25">
      <c r="A8298" t="s">
        <v>8830</v>
      </c>
      <c r="B8298" s="9">
        <v>0</v>
      </c>
    </row>
    <row r="8299" spans="1:2" x14ac:dyDescent="0.25">
      <c r="A8299" t="s">
        <v>8831</v>
      </c>
      <c r="B8299" s="9">
        <v>0</v>
      </c>
    </row>
    <row r="8300" spans="1:2" x14ac:dyDescent="0.25">
      <c r="A8300" t="s">
        <v>8832</v>
      </c>
      <c r="B8300" s="9">
        <v>0</v>
      </c>
    </row>
    <row r="8301" spans="1:2" x14ac:dyDescent="0.25">
      <c r="A8301" t="s">
        <v>8833</v>
      </c>
      <c r="B8301" s="9">
        <v>0</v>
      </c>
    </row>
    <row r="8302" spans="1:2" x14ac:dyDescent="0.25">
      <c r="A8302" t="s">
        <v>8834</v>
      </c>
      <c r="B8302" s="9">
        <v>0</v>
      </c>
    </row>
    <row r="8303" spans="1:2" x14ac:dyDescent="0.25">
      <c r="A8303" t="s">
        <v>8835</v>
      </c>
      <c r="B8303" s="9">
        <v>0</v>
      </c>
    </row>
    <row r="8304" spans="1:2" x14ac:dyDescent="0.25">
      <c r="A8304" t="s">
        <v>8836</v>
      </c>
      <c r="B8304" s="9">
        <v>0</v>
      </c>
    </row>
    <row r="8305" spans="1:2" x14ac:dyDescent="0.25">
      <c r="A8305" t="s">
        <v>8837</v>
      </c>
      <c r="B8305" s="9">
        <v>0</v>
      </c>
    </row>
    <row r="8306" spans="1:2" x14ac:dyDescent="0.25">
      <c r="A8306" t="s">
        <v>8838</v>
      </c>
      <c r="B8306" s="9">
        <v>0</v>
      </c>
    </row>
    <row r="8307" spans="1:2" x14ac:dyDescent="0.25">
      <c r="A8307" t="s">
        <v>8839</v>
      </c>
      <c r="B8307" s="9">
        <v>0</v>
      </c>
    </row>
    <row r="8308" spans="1:2" x14ac:dyDescent="0.25">
      <c r="A8308" t="s">
        <v>8840</v>
      </c>
      <c r="B8308" s="9">
        <v>0</v>
      </c>
    </row>
    <row r="8309" spans="1:2" x14ac:dyDescent="0.25">
      <c r="A8309" t="s">
        <v>8841</v>
      </c>
      <c r="B8309" s="9">
        <v>0</v>
      </c>
    </row>
    <row r="8310" spans="1:2" x14ac:dyDescent="0.25">
      <c r="A8310" t="s">
        <v>8842</v>
      </c>
      <c r="B8310" s="9">
        <v>0</v>
      </c>
    </row>
    <row r="8311" spans="1:2" x14ac:dyDescent="0.25">
      <c r="A8311" t="s">
        <v>8843</v>
      </c>
      <c r="B8311" s="9">
        <v>0</v>
      </c>
    </row>
    <row r="8312" spans="1:2" x14ac:dyDescent="0.25">
      <c r="A8312" t="s">
        <v>8844</v>
      </c>
      <c r="B8312" s="9">
        <v>0</v>
      </c>
    </row>
    <row r="8313" spans="1:2" x14ac:dyDescent="0.25">
      <c r="A8313" t="s">
        <v>8845</v>
      </c>
      <c r="B8313" s="9">
        <v>0</v>
      </c>
    </row>
    <row r="8314" spans="1:2" x14ac:dyDescent="0.25">
      <c r="A8314" t="s">
        <v>8846</v>
      </c>
      <c r="B8314" s="9">
        <v>0.1</v>
      </c>
    </row>
    <row r="8315" spans="1:2" x14ac:dyDescent="0.25">
      <c r="A8315" t="s">
        <v>8847</v>
      </c>
      <c r="B8315" s="9">
        <v>0</v>
      </c>
    </row>
    <row r="8316" spans="1:2" x14ac:dyDescent="0.25">
      <c r="A8316" t="s">
        <v>8848</v>
      </c>
      <c r="B8316" s="9">
        <v>0.1</v>
      </c>
    </row>
    <row r="8317" spans="1:2" x14ac:dyDescent="0.25">
      <c r="A8317" t="s">
        <v>8849</v>
      </c>
      <c r="B8317" s="9">
        <v>0</v>
      </c>
    </row>
    <row r="8318" spans="1:2" x14ac:dyDescent="0.25">
      <c r="A8318" t="s">
        <v>8850</v>
      </c>
      <c r="B8318" s="9">
        <v>0</v>
      </c>
    </row>
    <row r="8319" spans="1:2" x14ac:dyDescent="0.25">
      <c r="A8319" t="s">
        <v>8851</v>
      </c>
      <c r="B8319" s="9">
        <v>0</v>
      </c>
    </row>
    <row r="8320" spans="1:2" x14ac:dyDescent="0.25">
      <c r="A8320" t="s">
        <v>8852</v>
      </c>
      <c r="B8320" s="9">
        <v>0</v>
      </c>
    </row>
    <row r="8321" spans="1:2" x14ac:dyDescent="0.25">
      <c r="A8321" t="s">
        <v>8853</v>
      </c>
      <c r="B8321" s="9">
        <v>0</v>
      </c>
    </row>
    <row r="8322" spans="1:2" x14ac:dyDescent="0.25">
      <c r="A8322" t="s">
        <v>8854</v>
      </c>
      <c r="B8322" s="9">
        <v>0</v>
      </c>
    </row>
    <row r="8323" spans="1:2" x14ac:dyDescent="0.25">
      <c r="A8323" t="s">
        <v>8855</v>
      </c>
      <c r="B8323" s="9">
        <v>0</v>
      </c>
    </row>
    <row r="8324" spans="1:2" x14ac:dyDescent="0.25">
      <c r="A8324" t="s">
        <v>8856</v>
      </c>
      <c r="B8324" s="9">
        <v>0</v>
      </c>
    </row>
    <row r="8325" spans="1:2" x14ac:dyDescent="0.25">
      <c r="A8325" t="s">
        <v>8857</v>
      </c>
      <c r="B8325" s="9">
        <v>0</v>
      </c>
    </row>
    <row r="8326" spans="1:2" x14ac:dyDescent="0.25">
      <c r="A8326" t="s">
        <v>8858</v>
      </c>
      <c r="B8326" s="9">
        <v>0</v>
      </c>
    </row>
    <row r="8327" spans="1:2" x14ac:dyDescent="0.25">
      <c r="A8327" t="s">
        <v>8859</v>
      </c>
      <c r="B8327" s="9">
        <v>0</v>
      </c>
    </row>
    <row r="8328" spans="1:2" x14ac:dyDescent="0.25">
      <c r="A8328" t="s">
        <v>8860</v>
      </c>
      <c r="B8328" s="9">
        <v>0</v>
      </c>
    </row>
    <row r="8329" spans="1:2" x14ac:dyDescent="0.25">
      <c r="A8329" t="s">
        <v>8861</v>
      </c>
      <c r="B8329" s="9">
        <v>0</v>
      </c>
    </row>
    <row r="8330" spans="1:2" x14ac:dyDescent="0.25">
      <c r="A8330" t="s">
        <v>8862</v>
      </c>
      <c r="B8330" s="9">
        <v>0</v>
      </c>
    </row>
    <row r="8331" spans="1:2" x14ac:dyDescent="0.25">
      <c r="A8331" t="s">
        <v>8863</v>
      </c>
      <c r="B8331" s="9">
        <v>0</v>
      </c>
    </row>
    <row r="8332" spans="1:2" x14ac:dyDescent="0.25">
      <c r="A8332" t="s">
        <v>8864</v>
      </c>
      <c r="B8332" s="9">
        <v>0</v>
      </c>
    </row>
    <row r="8333" spans="1:2" x14ac:dyDescent="0.25">
      <c r="A8333" t="s">
        <v>8865</v>
      </c>
      <c r="B8333" s="9">
        <v>0</v>
      </c>
    </row>
    <row r="8334" spans="1:2" x14ac:dyDescent="0.25">
      <c r="A8334" t="s">
        <v>8866</v>
      </c>
      <c r="B8334" s="9">
        <v>0</v>
      </c>
    </row>
    <row r="8335" spans="1:2" x14ac:dyDescent="0.25">
      <c r="A8335" t="s">
        <v>8867</v>
      </c>
      <c r="B8335" s="9">
        <v>0</v>
      </c>
    </row>
    <row r="8336" spans="1:2" x14ac:dyDescent="0.25">
      <c r="A8336" t="s">
        <v>8868</v>
      </c>
      <c r="B8336" s="9">
        <v>0</v>
      </c>
    </row>
    <row r="8337" spans="1:3" x14ac:dyDescent="0.25">
      <c r="A8337" t="s">
        <v>8869</v>
      </c>
      <c r="B8337" s="9">
        <v>0</v>
      </c>
    </row>
    <row r="8338" spans="1:3" x14ac:dyDescent="0.25">
      <c r="A8338" t="s">
        <v>8870</v>
      </c>
      <c r="B8338" s="9">
        <v>0</v>
      </c>
    </row>
    <row r="8339" spans="1:3" x14ac:dyDescent="0.25">
      <c r="A8339" t="s">
        <v>8871</v>
      </c>
      <c r="B8339" s="9">
        <v>0</v>
      </c>
    </row>
    <row r="8340" spans="1:3" x14ac:dyDescent="0.25">
      <c r="A8340" t="s">
        <v>8872</v>
      </c>
      <c r="B8340" s="9">
        <v>0</v>
      </c>
    </row>
    <row r="8341" spans="1:3" x14ac:dyDescent="0.25">
      <c r="A8341" t="s">
        <v>84</v>
      </c>
      <c r="B8341" s="9">
        <v>0</v>
      </c>
      <c r="C8341" t="s">
        <v>84</v>
      </c>
    </row>
    <row r="8342" spans="1:3" x14ac:dyDescent="0.25">
      <c r="A8342" t="s">
        <v>8873</v>
      </c>
      <c r="B8342" s="9">
        <v>0</v>
      </c>
    </row>
    <row r="8343" spans="1:3" x14ac:dyDescent="0.25">
      <c r="A8343" t="s">
        <v>8874</v>
      </c>
      <c r="B8343" s="9">
        <v>0.05</v>
      </c>
    </row>
    <row r="8344" spans="1:3" x14ac:dyDescent="0.25">
      <c r="A8344" t="s">
        <v>8875</v>
      </c>
      <c r="B8344" s="9">
        <v>0</v>
      </c>
    </row>
    <row r="8345" spans="1:3" x14ac:dyDescent="0.25">
      <c r="A8345" t="s">
        <v>8876</v>
      </c>
      <c r="B8345" s="9">
        <v>0</v>
      </c>
    </row>
    <row r="8346" spans="1:3" x14ac:dyDescent="0.25">
      <c r="A8346" t="s">
        <v>8877</v>
      </c>
      <c r="B8346" s="9">
        <v>0</v>
      </c>
    </row>
    <row r="8347" spans="1:3" x14ac:dyDescent="0.25">
      <c r="A8347" t="s">
        <v>8878</v>
      </c>
      <c r="B8347" s="9">
        <v>0</v>
      </c>
    </row>
    <row r="8348" spans="1:3" x14ac:dyDescent="0.25">
      <c r="A8348" t="s">
        <v>8879</v>
      </c>
      <c r="B8348" s="9">
        <v>0</v>
      </c>
    </row>
    <row r="8349" spans="1:3" x14ac:dyDescent="0.25">
      <c r="A8349" t="s">
        <v>8880</v>
      </c>
      <c r="B8349" s="9">
        <v>0</v>
      </c>
    </row>
    <row r="8350" spans="1:3" x14ac:dyDescent="0.25">
      <c r="A8350" t="s">
        <v>8881</v>
      </c>
      <c r="B8350" s="9">
        <v>0</v>
      </c>
    </row>
    <row r="8351" spans="1:3" x14ac:dyDescent="0.25">
      <c r="A8351" t="s">
        <v>8882</v>
      </c>
      <c r="B8351" s="9">
        <v>0</v>
      </c>
    </row>
    <row r="8352" spans="1:3" x14ac:dyDescent="0.25">
      <c r="A8352" t="s">
        <v>8883</v>
      </c>
      <c r="B8352" s="9">
        <v>0</v>
      </c>
    </row>
    <row r="8353" spans="1:3" x14ac:dyDescent="0.25">
      <c r="A8353" t="s">
        <v>8884</v>
      </c>
      <c r="B8353" s="9">
        <v>0</v>
      </c>
    </row>
    <row r="8354" spans="1:3" x14ac:dyDescent="0.25">
      <c r="A8354" t="s">
        <v>8885</v>
      </c>
      <c r="B8354" s="9">
        <v>0</v>
      </c>
    </row>
    <row r="8355" spans="1:3" x14ac:dyDescent="0.25">
      <c r="A8355" t="s">
        <v>8886</v>
      </c>
      <c r="B8355" s="9">
        <v>0</v>
      </c>
    </row>
    <row r="8356" spans="1:3" x14ac:dyDescent="0.25">
      <c r="A8356" t="s">
        <v>8887</v>
      </c>
      <c r="B8356" s="9">
        <v>0</v>
      </c>
    </row>
    <row r="8357" spans="1:3" x14ac:dyDescent="0.25">
      <c r="A8357" t="s">
        <v>8888</v>
      </c>
      <c r="B8357" s="9">
        <v>0</v>
      </c>
    </row>
    <row r="8358" spans="1:3" x14ac:dyDescent="0.25">
      <c r="A8358" t="s">
        <v>8889</v>
      </c>
      <c r="B8358" s="9">
        <v>0</v>
      </c>
    </row>
    <row r="8359" spans="1:3" x14ac:dyDescent="0.25">
      <c r="A8359" t="s">
        <v>85</v>
      </c>
      <c r="B8359" s="9">
        <v>0</v>
      </c>
      <c r="C8359" t="s">
        <v>85</v>
      </c>
    </row>
    <row r="8360" spans="1:3" x14ac:dyDescent="0.25">
      <c r="A8360" t="s">
        <v>8890</v>
      </c>
      <c r="B8360" s="9">
        <v>0.05</v>
      </c>
    </row>
    <row r="8361" spans="1:3" x14ac:dyDescent="0.25">
      <c r="A8361" t="s">
        <v>8891</v>
      </c>
      <c r="B8361" s="9">
        <v>0.05</v>
      </c>
    </row>
    <row r="8362" spans="1:3" x14ac:dyDescent="0.25">
      <c r="A8362" t="s">
        <v>8892</v>
      </c>
      <c r="B8362" s="9">
        <v>0.05</v>
      </c>
    </row>
    <row r="8363" spans="1:3" x14ac:dyDescent="0.25">
      <c r="A8363" t="s">
        <v>8893</v>
      </c>
      <c r="B8363" s="9">
        <v>0.05</v>
      </c>
    </row>
    <row r="8364" spans="1:3" x14ac:dyDescent="0.25">
      <c r="A8364" t="s">
        <v>8894</v>
      </c>
      <c r="B8364" s="9">
        <v>0.05</v>
      </c>
    </row>
    <row r="8365" spans="1:3" x14ac:dyDescent="0.25">
      <c r="A8365" t="s">
        <v>8895</v>
      </c>
      <c r="B8365" s="9">
        <v>0.05</v>
      </c>
    </row>
    <row r="8366" spans="1:3" x14ac:dyDescent="0.25">
      <c r="A8366" t="s">
        <v>8896</v>
      </c>
      <c r="B8366" s="9">
        <v>0.05</v>
      </c>
    </row>
    <row r="8367" spans="1:3" x14ac:dyDescent="0.25">
      <c r="A8367" t="s">
        <v>8897</v>
      </c>
      <c r="B8367" s="9">
        <v>0</v>
      </c>
    </row>
    <row r="8368" spans="1:3" x14ac:dyDescent="0.25">
      <c r="A8368" t="s">
        <v>86</v>
      </c>
      <c r="B8368" s="9">
        <v>0.05</v>
      </c>
      <c r="C8368" t="s">
        <v>86</v>
      </c>
    </row>
    <row r="8369" spans="1:3" x14ac:dyDescent="0.25">
      <c r="A8369" t="s">
        <v>8898</v>
      </c>
      <c r="B8369" s="9">
        <v>0.05</v>
      </c>
    </row>
    <row r="8370" spans="1:3" x14ac:dyDescent="0.25">
      <c r="A8370" t="s">
        <v>8899</v>
      </c>
      <c r="B8370" s="9">
        <v>0.05</v>
      </c>
    </row>
    <row r="8371" spans="1:3" x14ac:dyDescent="0.25">
      <c r="A8371" t="s">
        <v>8900</v>
      </c>
      <c r="B8371" s="9">
        <v>0.05</v>
      </c>
    </row>
    <row r="8372" spans="1:3" x14ac:dyDescent="0.25">
      <c r="A8372" t="s">
        <v>8901</v>
      </c>
      <c r="B8372" s="9">
        <v>0.05</v>
      </c>
    </row>
    <row r="8373" spans="1:3" x14ac:dyDescent="0.25">
      <c r="A8373" t="s">
        <v>87</v>
      </c>
      <c r="B8373" s="9">
        <v>0.05</v>
      </c>
      <c r="C8373" t="s">
        <v>87</v>
      </c>
    </row>
    <row r="8374" spans="1:3" x14ac:dyDescent="0.25">
      <c r="A8374" t="s">
        <v>88</v>
      </c>
      <c r="B8374" s="9">
        <v>0.05</v>
      </c>
      <c r="C8374" t="s">
        <v>88</v>
      </c>
    </row>
    <row r="8375" spans="1:3" x14ac:dyDescent="0.25">
      <c r="A8375" t="s">
        <v>89</v>
      </c>
      <c r="B8375" s="9">
        <v>0.05</v>
      </c>
      <c r="C8375" t="s">
        <v>89</v>
      </c>
    </row>
    <row r="8376" spans="1:3" x14ac:dyDescent="0.25">
      <c r="A8376" t="s">
        <v>90</v>
      </c>
      <c r="B8376" s="9">
        <v>0.05</v>
      </c>
      <c r="C8376" t="s">
        <v>90</v>
      </c>
    </row>
    <row r="8377" spans="1:3" x14ac:dyDescent="0.25">
      <c r="A8377" t="s">
        <v>91</v>
      </c>
      <c r="B8377" s="9">
        <v>0</v>
      </c>
      <c r="C8377" t="s">
        <v>91</v>
      </c>
    </row>
    <row r="8378" spans="1:3" x14ac:dyDescent="0.25">
      <c r="A8378" t="s">
        <v>92</v>
      </c>
      <c r="B8378" s="9">
        <v>0</v>
      </c>
      <c r="C8378" t="s">
        <v>92</v>
      </c>
    </row>
    <row r="8379" spans="1:3" x14ac:dyDescent="0.25">
      <c r="A8379" t="s">
        <v>93</v>
      </c>
      <c r="B8379" s="9">
        <v>0</v>
      </c>
      <c r="C8379" t="s">
        <v>93</v>
      </c>
    </row>
    <row r="8380" spans="1:3" x14ac:dyDescent="0.25">
      <c r="A8380" t="s">
        <v>8902</v>
      </c>
      <c r="B8380" s="9">
        <v>0</v>
      </c>
    </row>
    <row r="8381" spans="1:3" x14ac:dyDescent="0.25">
      <c r="A8381" t="s">
        <v>8903</v>
      </c>
      <c r="B8381" s="9">
        <v>0</v>
      </c>
    </row>
    <row r="8382" spans="1:3" x14ac:dyDescent="0.25">
      <c r="A8382" t="s">
        <v>8904</v>
      </c>
      <c r="B8382" s="9">
        <v>0</v>
      </c>
    </row>
    <row r="8383" spans="1:3" x14ac:dyDescent="0.25">
      <c r="A8383" t="s">
        <v>8905</v>
      </c>
      <c r="B8383" s="9">
        <v>0</v>
      </c>
    </row>
    <row r="8384" spans="1:3" x14ac:dyDescent="0.25">
      <c r="A8384" t="s">
        <v>8906</v>
      </c>
      <c r="B8384" s="9">
        <v>0</v>
      </c>
    </row>
    <row r="8385" spans="1:3" x14ac:dyDescent="0.25">
      <c r="A8385" t="s">
        <v>8907</v>
      </c>
      <c r="B8385" s="9">
        <v>0</v>
      </c>
    </row>
    <row r="8386" spans="1:3" x14ac:dyDescent="0.25">
      <c r="A8386" t="s">
        <v>94</v>
      </c>
      <c r="B8386" s="9">
        <v>0</v>
      </c>
      <c r="C8386" t="s">
        <v>94</v>
      </c>
    </row>
    <row r="8387" spans="1:3" x14ac:dyDescent="0.25">
      <c r="A8387" t="s">
        <v>8908</v>
      </c>
      <c r="B8387" s="9">
        <v>0.05</v>
      </c>
    </row>
    <row r="8388" spans="1:3" x14ac:dyDescent="0.25">
      <c r="A8388" t="s">
        <v>95</v>
      </c>
      <c r="B8388" s="9">
        <v>0.05</v>
      </c>
      <c r="C8388" t="s">
        <v>95</v>
      </c>
    </row>
    <row r="8389" spans="1:3" x14ac:dyDescent="0.25">
      <c r="A8389" t="s">
        <v>96</v>
      </c>
      <c r="B8389" s="9">
        <v>0.05</v>
      </c>
      <c r="C8389" t="s">
        <v>96</v>
      </c>
    </row>
    <row r="8390" spans="1:3" x14ac:dyDescent="0.25">
      <c r="A8390" t="s">
        <v>97</v>
      </c>
      <c r="B8390" s="9">
        <v>0.05</v>
      </c>
      <c r="C8390" t="s">
        <v>97</v>
      </c>
    </row>
    <row r="8391" spans="1:3" x14ac:dyDescent="0.25">
      <c r="A8391" t="s">
        <v>98</v>
      </c>
      <c r="B8391" s="9">
        <v>0</v>
      </c>
      <c r="C8391" t="s">
        <v>98</v>
      </c>
    </row>
    <row r="8392" spans="1:3" x14ac:dyDescent="0.25">
      <c r="A8392" t="s">
        <v>99</v>
      </c>
      <c r="B8392" s="9">
        <v>0</v>
      </c>
      <c r="C8392" t="s">
        <v>99</v>
      </c>
    </row>
    <row r="8393" spans="1:3" x14ac:dyDescent="0.25">
      <c r="A8393" t="s">
        <v>100</v>
      </c>
      <c r="B8393" s="9">
        <v>0</v>
      </c>
      <c r="C8393" t="s">
        <v>100</v>
      </c>
    </row>
    <row r="8394" spans="1:3" x14ac:dyDescent="0.25">
      <c r="A8394" t="s">
        <v>101</v>
      </c>
      <c r="B8394" s="9">
        <v>0</v>
      </c>
      <c r="C8394" t="s">
        <v>101</v>
      </c>
    </row>
    <row r="8395" spans="1:3" x14ac:dyDescent="0.25">
      <c r="A8395" t="s">
        <v>102</v>
      </c>
      <c r="B8395" s="9">
        <v>0</v>
      </c>
      <c r="C8395" t="s">
        <v>102</v>
      </c>
    </row>
    <row r="8396" spans="1:3" x14ac:dyDescent="0.25">
      <c r="A8396" t="s">
        <v>103</v>
      </c>
      <c r="B8396" s="9">
        <v>0</v>
      </c>
      <c r="C8396" t="s">
        <v>103</v>
      </c>
    </row>
    <row r="8397" spans="1:3" x14ac:dyDescent="0.25">
      <c r="A8397" t="s">
        <v>104</v>
      </c>
      <c r="B8397" s="9">
        <v>0</v>
      </c>
      <c r="C8397" t="s">
        <v>104</v>
      </c>
    </row>
    <row r="8398" spans="1:3" x14ac:dyDescent="0.25">
      <c r="A8398" t="s">
        <v>105</v>
      </c>
      <c r="B8398" s="9">
        <v>0</v>
      </c>
      <c r="C8398" t="s">
        <v>105</v>
      </c>
    </row>
    <row r="8399" spans="1:3" x14ac:dyDescent="0.25">
      <c r="A8399" t="s">
        <v>106</v>
      </c>
      <c r="B8399" s="9">
        <v>0</v>
      </c>
      <c r="C8399" t="s">
        <v>106</v>
      </c>
    </row>
    <row r="8400" spans="1:3" x14ac:dyDescent="0.25">
      <c r="A8400" t="s">
        <v>107</v>
      </c>
      <c r="B8400" s="9">
        <v>0</v>
      </c>
      <c r="C8400" t="s">
        <v>107</v>
      </c>
    </row>
    <row r="8401" spans="1:3" x14ac:dyDescent="0.25">
      <c r="A8401" t="s">
        <v>108</v>
      </c>
      <c r="B8401" s="9">
        <v>0</v>
      </c>
      <c r="C8401" t="s">
        <v>108</v>
      </c>
    </row>
    <row r="8402" spans="1:3" x14ac:dyDescent="0.25">
      <c r="A8402" t="s">
        <v>109</v>
      </c>
      <c r="B8402" s="9">
        <v>0</v>
      </c>
      <c r="C8402" t="s">
        <v>109</v>
      </c>
    </row>
    <row r="8403" spans="1:3" x14ac:dyDescent="0.25">
      <c r="A8403" t="s">
        <v>110</v>
      </c>
      <c r="B8403" s="9">
        <v>0</v>
      </c>
      <c r="C8403" t="s">
        <v>110</v>
      </c>
    </row>
    <row r="8404" spans="1:3" x14ac:dyDescent="0.25">
      <c r="A8404" t="s">
        <v>111</v>
      </c>
      <c r="B8404" s="9">
        <v>0</v>
      </c>
      <c r="C8404" t="s">
        <v>111</v>
      </c>
    </row>
    <row r="8405" spans="1:3" x14ac:dyDescent="0.25">
      <c r="A8405" t="s">
        <v>8909</v>
      </c>
      <c r="B8405" s="9">
        <v>0.05</v>
      </c>
    </row>
    <row r="8406" spans="1:3" x14ac:dyDescent="0.25">
      <c r="A8406" t="s">
        <v>112</v>
      </c>
      <c r="B8406" s="9">
        <v>0.05</v>
      </c>
      <c r="C8406" t="s">
        <v>112</v>
      </c>
    </row>
    <row r="8407" spans="1:3" x14ac:dyDescent="0.25">
      <c r="A8407" t="s">
        <v>113</v>
      </c>
      <c r="B8407" s="9">
        <v>0.04</v>
      </c>
      <c r="C8407" t="s">
        <v>113</v>
      </c>
    </row>
    <row r="8408" spans="1:3" x14ac:dyDescent="0.25">
      <c r="A8408" t="s">
        <v>114</v>
      </c>
      <c r="B8408" s="9">
        <v>0</v>
      </c>
      <c r="C8408" t="s">
        <v>114</v>
      </c>
    </row>
    <row r="8409" spans="1:3" x14ac:dyDescent="0.25">
      <c r="A8409" t="s">
        <v>115</v>
      </c>
      <c r="B8409" s="9">
        <v>0</v>
      </c>
      <c r="C8409" t="s">
        <v>115</v>
      </c>
    </row>
    <row r="8410" spans="1:3" x14ac:dyDescent="0.25">
      <c r="A8410" t="s">
        <v>116</v>
      </c>
      <c r="B8410" s="9">
        <v>0</v>
      </c>
      <c r="C8410" t="s">
        <v>116</v>
      </c>
    </row>
    <row r="8411" spans="1:3" x14ac:dyDescent="0.25">
      <c r="A8411" t="s">
        <v>8910</v>
      </c>
      <c r="B8411" s="9">
        <v>0.05</v>
      </c>
    </row>
    <row r="8412" spans="1:3" x14ac:dyDescent="0.25">
      <c r="A8412" t="s">
        <v>117</v>
      </c>
      <c r="B8412" s="9">
        <v>0</v>
      </c>
      <c r="C8412" t="s">
        <v>117</v>
      </c>
    </row>
    <row r="8413" spans="1:3" x14ac:dyDescent="0.25">
      <c r="A8413" t="s">
        <v>8911</v>
      </c>
      <c r="B8413" s="9">
        <v>0.05</v>
      </c>
    </row>
    <row r="8414" spans="1:3" x14ac:dyDescent="0.25">
      <c r="A8414" t="s">
        <v>118</v>
      </c>
      <c r="B8414" s="9">
        <v>0</v>
      </c>
      <c r="C8414" t="s">
        <v>118</v>
      </c>
    </row>
    <row r="8415" spans="1:3" x14ac:dyDescent="0.25">
      <c r="A8415" t="s">
        <v>119</v>
      </c>
      <c r="B8415" s="9">
        <v>0</v>
      </c>
      <c r="C8415" t="s">
        <v>119</v>
      </c>
    </row>
    <row r="8416" spans="1:3" x14ac:dyDescent="0.25">
      <c r="A8416" t="s">
        <v>120</v>
      </c>
      <c r="B8416" s="9">
        <v>0</v>
      </c>
      <c r="C8416" t="s">
        <v>120</v>
      </c>
    </row>
    <row r="8417" spans="1:3" x14ac:dyDescent="0.25">
      <c r="A8417" t="s">
        <v>121</v>
      </c>
      <c r="B8417" s="9">
        <v>0</v>
      </c>
      <c r="C8417" t="s">
        <v>121</v>
      </c>
    </row>
    <row r="8418" spans="1:3" x14ac:dyDescent="0.25">
      <c r="A8418" t="s">
        <v>8912</v>
      </c>
      <c r="B8418" s="9">
        <v>0.05</v>
      </c>
    </row>
    <row r="8419" spans="1:3" x14ac:dyDescent="0.25">
      <c r="A8419" t="s">
        <v>8913</v>
      </c>
      <c r="B8419" s="9">
        <v>0.05</v>
      </c>
    </row>
    <row r="8420" spans="1:3" x14ac:dyDescent="0.25">
      <c r="A8420" t="s">
        <v>122</v>
      </c>
      <c r="B8420" s="9">
        <v>0</v>
      </c>
      <c r="C8420" t="s">
        <v>122</v>
      </c>
    </row>
    <row r="8421" spans="1:3" x14ac:dyDescent="0.25">
      <c r="A8421" t="s">
        <v>123</v>
      </c>
      <c r="B8421" s="9">
        <v>0</v>
      </c>
      <c r="C8421" t="s">
        <v>123</v>
      </c>
    </row>
    <row r="8422" spans="1:3" x14ac:dyDescent="0.25">
      <c r="A8422" t="s">
        <v>124</v>
      </c>
      <c r="B8422" s="9">
        <v>0</v>
      </c>
      <c r="C8422" t="s">
        <v>124</v>
      </c>
    </row>
    <row r="8423" spans="1:3" x14ac:dyDescent="0.25">
      <c r="A8423" t="s">
        <v>8914</v>
      </c>
      <c r="B8423" s="9">
        <v>0.05</v>
      </c>
    </row>
    <row r="8424" spans="1:3" x14ac:dyDescent="0.25">
      <c r="A8424" t="s">
        <v>8915</v>
      </c>
      <c r="B8424" s="9">
        <v>0</v>
      </c>
    </row>
    <row r="8425" spans="1:3" x14ac:dyDescent="0.25">
      <c r="A8425" t="s">
        <v>8916</v>
      </c>
      <c r="B8425" s="9">
        <v>0</v>
      </c>
    </row>
    <row r="8426" spans="1:3" x14ac:dyDescent="0.25">
      <c r="A8426" t="s">
        <v>8917</v>
      </c>
      <c r="B8426" s="9">
        <v>0</v>
      </c>
    </row>
    <row r="8427" spans="1:3" x14ac:dyDescent="0.25">
      <c r="A8427" t="s">
        <v>8918</v>
      </c>
      <c r="B8427" s="9">
        <v>0</v>
      </c>
    </row>
    <row r="8428" spans="1:3" x14ac:dyDescent="0.25">
      <c r="A8428" t="s">
        <v>8919</v>
      </c>
      <c r="B8428" s="9">
        <v>0</v>
      </c>
    </row>
    <row r="8429" spans="1:3" x14ac:dyDescent="0.25">
      <c r="A8429" t="s">
        <v>8920</v>
      </c>
      <c r="B8429" s="9">
        <v>0</v>
      </c>
    </row>
    <row r="8430" spans="1:3" x14ac:dyDescent="0.25">
      <c r="A8430" t="s">
        <v>8921</v>
      </c>
      <c r="B8430" s="9">
        <v>0</v>
      </c>
    </row>
    <row r="8431" spans="1:3" x14ac:dyDescent="0.25">
      <c r="A8431" t="s">
        <v>8922</v>
      </c>
      <c r="B8431" s="9">
        <v>0</v>
      </c>
    </row>
    <row r="8432" spans="1:3" x14ac:dyDescent="0.25">
      <c r="A8432" t="s">
        <v>8923</v>
      </c>
      <c r="B8432" s="9">
        <v>0</v>
      </c>
    </row>
    <row r="8433" spans="1:2" x14ac:dyDescent="0.25">
      <c r="A8433" t="s">
        <v>8924</v>
      </c>
      <c r="B8433" s="9">
        <v>0</v>
      </c>
    </row>
    <row r="8434" spans="1:2" x14ac:dyDescent="0.25">
      <c r="A8434" t="s">
        <v>8925</v>
      </c>
      <c r="B8434" s="9">
        <v>0</v>
      </c>
    </row>
    <row r="8435" spans="1:2" x14ac:dyDescent="0.25">
      <c r="A8435" t="s">
        <v>8926</v>
      </c>
      <c r="B8435" s="9">
        <v>0.05</v>
      </c>
    </row>
    <row r="8436" spans="1:2" x14ac:dyDescent="0.25">
      <c r="A8436" t="s">
        <v>8927</v>
      </c>
      <c r="B8436" s="9">
        <v>0</v>
      </c>
    </row>
    <row r="8437" spans="1:2" x14ac:dyDescent="0.25">
      <c r="A8437" t="s">
        <v>8928</v>
      </c>
      <c r="B8437" s="9">
        <v>0</v>
      </c>
    </row>
    <row r="8438" spans="1:2" x14ac:dyDescent="0.25">
      <c r="A8438" t="s">
        <v>8929</v>
      </c>
      <c r="B8438" s="9">
        <v>0</v>
      </c>
    </row>
    <row r="8439" spans="1:2" x14ac:dyDescent="0.25">
      <c r="A8439" t="s">
        <v>8930</v>
      </c>
      <c r="B8439" s="9">
        <v>0</v>
      </c>
    </row>
    <row r="8440" spans="1:2" x14ac:dyDescent="0.25">
      <c r="A8440" t="s">
        <v>8931</v>
      </c>
      <c r="B8440" s="9">
        <v>0</v>
      </c>
    </row>
    <row r="8441" spans="1:2" x14ac:dyDescent="0.25">
      <c r="A8441" t="s">
        <v>8932</v>
      </c>
      <c r="B8441" s="9">
        <v>0</v>
      </c>
    </row>
    <row r="8442" spans="1:2" x14ac:dyDescent="0.25">
      <c r="A8442" t="s">
        <v>8933</v>
      </c>
      <c r="B8442" s="9">
        <v>0</v>
      </c>
    </row>
    <row r="8443" spans="1:2" x14ac:dyDescent="0.25">
      <c r="A8443" t="s">
        <v>8934</v>
      </c>
      <c r="B8443" s="9">
        <v>0</v>
      </c>
    </row>
    <row r="8444" spans="1:2" x14ac:dyDescent="0.25">
      <c r="A8444" t="s">
        <v>8935</v>
      </c>
      <c r="B8444" s="9">
        <v>0</v>
      </c>
    </row>
    <row r="8445" spans="1:2" x14ac:dyDescent="0.25">
      <c r="A8445" t="s">
        <v>8936</v>
      </c>
      <c r="B8445" s="9">
        <v>0.05</v>
      </c>
    </row>
    <row r="8446" spans="1:2" x14ac:dyDescent="0.25">
      <c r="A8446" t="s">
        <v>8937</v>
      </c>
      <c r="B8446" s="9">
        <v>0.05</v>
      </c>
    </row>
    <row r="8447" spans="1:2" x14ac:dyDescent="0.25">
      <c r="A8447" t="s">
        <v>8938</v>
      </c>
      <c r="B8447" s="9">
        <v>0.05</v>
      </c>
    </row>
    <row r="8448" spans="1:2" x14ac:dyDescent="0.25">
      <c r="A8448" t="s">
        <v>8939</v>
      </c>
      <c r="B8448" s="9">
        <v>0</v>
      </c>
    </row>
    <row r="8449" spans="1:2" x14ac:dyDescent="0.25">
      <c r="A8449" t="s">
        <v>8940</v>
      </c>
      <c r="B8449" s="9">
        <v>0</v>
      </c>
    </row>
    <row r="8450" spans="1:2" x14ac:dyDescent="0.25">
      <c r="A8450" t="s">
        <v>8941</v>
      </c>
      <c r="B8450" s="9">
        <v>0</v>
      </c>
    </row>
    <row r="8451" spans="1:2" x14ac:dyDescent="0.25">
      <c r="A8451" t="s">
        <v>8942</v>
      </c>
      <c r="B8451" s="9">
        <v>0</v>
      </c>
    </row>
    <row r="8452" spans="1:2" x14ac:dyDescent="0.25">
      <c r="A8452" t="s">
        <v>8943</v>
      </c>
      <c r="B8452" s="9">
        <v>0.05</v>
      </c>
    </row>
    <row r="8453" spans="1:2" x14ac:dyDescent="0.25">
      <c r="A8453" t="s">
        <v>8944</v>
      </c>
      <c r="B8453" s="9">
        <v>0</v>
      </c>
    </row>
    <row r="8454" spans="1:2" x14ac:dyDescent="0.25">
      <c r="A8454" t="s">
        <v>8945</v>
      </c>
      <c r="B8454" s="9">
        <v>0</v>
      </c>
    </row>
    <row r="8455" spans="1:2" x14ac:dyDescent="0.25">
      <c r="A8455" t="s">
        <v>8946</v>
      </c>
      <c r="B8455" s="9">
        <v>0</v>
      </c>
    </row>
    <row r="8456" spans="1:2" x14ac:dyDescent="0.25">
      <c r="A8456" t="s">
        <v>8947</v>
      </c>
      <c r="B8456" s="9">
        <v>0</v>
      </c>
    </row>
    <row r="8457" spans="1:2" x14ac:dyDescent="0.25">
      <c r="A8457" t="s">
        <v>8948</v>
      </c>
      <c r="B8457" s="9">
        <v>0</v>
      </c>
    </row>
    <row r="8458" spans="1:2" x14ac:dyDescent="0.25">
      <c r="A8458" t="s">
        <v>8949</v>
      </c>
      <c r="B8458" s="9">
        <v>0</v>
      </c>
    </row>
    <row r="8459" spans="1:2" x14ac:dyDescent="0.25">
      <c r="A8459" t="s">
        <v>8950</v>
      </c>
      <c r="B8459" s="9">
        <v>0</v>
      </c>
    </row>
    <row r="8460" spans="1:2" x14ac:dyDescent="0.25">
      <c r="A8460" t="s">
        <v>8951</v>
      </c>
      <c r="B8460" s="9">
        <v>0.05</v>
      </c>
    </row>
    <row r="8461" spans="1:2" x14ac:dyDescent="0.25">
      <c r="A8461" t="s">
        <v>8952</v>
      </c>
      <c r="B8461" s="9">
        <v>0</v>
      </c>
    </row>
    <row r="8462" spans="1:2" x14ac:dyDescent="0.25">
      <c r="A8462" t="s">
        <v>8953</v>
      </c>
      <c r="B8462" s="9">
        <v>0</v>
      </c>
    </row>
    <row r="8463" spans="1:2" x14ac:dyDescent="0.25">
      <c r="A8463" t="s">
        <v>8954</v>
      </c>
      <c r="B8463" s="9">
        <v>0</v>
      </c>
    </row>
    <row r="8464" spans="1:2" x14ac:dyDescent="0.25">
      <c r="A8464" t="s">
        <v>8955</v>
      </c>
      <c r="B8464" s="9">
        <v>0.05</v>
      </c>
    </row>
    <row r="8465" spans="1:2" x14ac:dyDescent="0.25">
      <c r="A8465" t="s">
        <v>8956</v>
      </c>
      <c r="B8465" s="9">
        <v>0.05</v>
      </c>
    </row>
    <row r="8466" spans="1:2" x14ac:dyDescent="0.25">
      <c r="A8466" t="s">
        <v>8957</v>
      </c>
      <c r="B8466" s="9">
        <v>0.05</v>
      </c>
    </row>
    <row r="8467" spans="1:2" x14ac:dyDescent="0.25">
      <c r="A8467" t="s">
        <v>8958</v>
      </c>
      <c r="B8467" s="9">
        <v>0.05</v>
      </c>
    </row>
    <row r="8468" spans="1:2" x14ac:dyDescent="0.25">
      <c r="A8468" t="s">
        <v>8959</v>
      </c>
      <c r="B8468" s="9">
        <v>0</v>
      </c>
    </row>
    <row r="8469" spans="1:2" x14ac:dyDescent="0.25">
      <c r="A8469" t="s">
        <v>8960</v>
      </c>
      <c r="B8469" s="9">
        <v>0</v>
      </c>
    </row>
    <row r="8470" spans="1:2" x14ac:dyDescent="0.25">
      <c r="A8470" t="s">
        <v>8961</v>
      </c>
      <c r="B8470" s="9">
        <v>0</v>
      </c>
    </row>
    <row r="8471" spans="1:2" x14ac:dyDescent="0.25">
      <c r="A8471" t="s">
        <v>8962</v>
      </c>
      <c r="B8471" s="9">
        <v>0</v>
      </c>
    </row>
    <row r="8472" spans="1:2" x14ac:dyDescent="0.25">
      <c r="A8472" t="s">
        <v>8963</v>
      </c>
      <c r="B8472" s="9">
        <v>0</v>
      </c>
    </row>
    <row r="8473" spans="1:2" x14ac:dyDescent="0.25">
      <c r="A8473" t="s">
        <v>8964</v>
      </c>
      <c r="B8473" s="9">
        <v>0</v>
      </c>
    </row>
    <row r="8474" spans="1:2" x14ac:dyDescent="0.25">
      <c r="A8474" t="s">
        <v>8965</v>
      </c>
      <c r="B8474" s="9">
        <v>0</v>
      </c>
    </row>
    <row r="8475" spans="1:2" x14ac:dyDescent="0.25">
      <c r="A8475" t="s">
        <v>8966</v>
      </c>
      <c r="B8475" s="9">
        <v>0</v>
      </c>
    </row>
    <row r="8476" spans="1:2" x14ac:dyDescent="0.25">
      <c r="A8476" t="s">
        <v>8967</v>
      </c>
      <c r="B8476" s="9">
        <v>0</v>
      </c>
    </row>
    <row r="8477" spans="1:2" x14ac:dyDescent="0.25">
      <c r="A8477" t="s">
        <v>8968</v>
      </c>
      <c r="B8477" s="9">
        <v>0</v>
      </c>
    </row>
    <row r="8478" spans="1:2" x14ac:dyDescent="0.25">
      <c r="A8478" t="s">
        <v>8969</v>
      </c>
      <c r="B8478" s="9">
        <v>0</v>
      </c>
    </row>
    <row r="8479" spans="1:2" x14ac:dyDescent="0.25">
      <c r="A8479" t="s">
        <v>8970</v>
      </c>
      <c r="B8479" s="9">
        <v>0</v>
      </c>
    </row>
    <row r="8480" spans="1:2" x14ac:dyDescent="0.25">
      <c r="A8480" t="s">
        <v>8971</v>
      </c>
      <c r="B8480" s="9">
        <v>0</v>
      </c>
    </row>
    <row r="8481" spans="1:2" x14ac:dyDescent="0.25">
      <c r="A8481" t="s">
        <v>8972</v>
      </c>
      <c r="B8481" s="9">
        <v>0</v>
      </c>
    </row>
    <row r="8482" spans="1:2" x14ac:dyDescent="0.25">
      <c r="A8482" t="s">
        <v>8973</v>
      </c>
      <c r="B8482" s="9">
        <v>0.15</v>
      </c>
    </row>
    <row r="8483" spans="1:2" x14ac:dyDescent="0.25">
      <c r="A8483" t="s">
        <v>8974</v>
      </c>
      <c r="B8483" s="9">
        <v>0.15</v>
      </c>
    </row>
    <row r="8484" spans="1:2" x14ac:dyDescent="0.25">
      <c r="A8484" t="s">
        <v>8975</v>
      </c>
      <c r="B8484" s="9">
        <v>0.15</v>
      </c>
    </row>
    <row r="8485" spans="1:2" x14ac:dyDescent="0.25">
      <c r="A8485" t="s">
        <v>8976</v>
      </c>
      <c r="B8485" s="9">
        <v>0.15</v>
      </c>
    </row>
    <row r="8486" spans="1:2" x14ac:dyDescent="0.25">
      <c r="A8486" t="s">
        <v>8977</v>
      </c>
      <c r="B8486" s="9">
        <v>0.15</v>
      </c>
    </row>
    <row r="8487" spans="1:2" x14ac:dyDescent="0.25">
      <c r="A8487" t="s">
        <v>8978</v>
      </c>
      <c r="B8487" s="9">
        <v>0.15</v>
      </c>
    </row>
    <row r="8488" spans="1:2" x14ac:dyDescent="0.25">
      <c r="A8488" t="s">
        <v>8979</v>
      </c>
      <c r="B8488" s="9">
        <v>0.15</v>
      </c>
    </row>
    <row r="8489" spans="1:2" x14ac:dyDescent="0.25">
      <c r="A8489" t="s">
        <v>8980</v>
      </c>
      <c r="B8489" s="9">
        <v>0.15</v>
      </c>
    </row>
    <row r="8490" spans="1:2" x14ac:dyDescent="0.25">
      <c r="A8490" t="s">
        <v>8981</v>
      </c>
      <c r="B8490" s="9">
        <v>0.15</v>
      </c>
    </row>
    <row r="8491" spans="1:2" x14ac:dyDescent="0.25">
      <c r="A8491" t="s">
        <v>8982</v>
      </c>
      <c r="B8491" s="9">
        <v>0.15</v>
      </c>
    </row>
    <row r="8492" spans="1:2" x14ac:dyDescent="0.25">
      <c r="A8492" t="s">
        <v>8983</v>
      </c>
      <c r="B8492" s="9">
        <v>0</v>
      </c>
    </row>
    <row r="8493" spans="1:2" x14ac:dyDescent="0.25">
      <c r="A8493" t="s">
        <v>8984</v>
      </c>
      <c r="B8493" s="9">
        <v>0.15</v>
      </c>
    </row>
    <row r="8494" spans="1:2" x14ac:dyDescent="0.25">
      <c r="A8494" t="s">
        <v>8985</v>
      </c>
      <c r="B8494" s="9">
        <v>0.15</v>
      </c>
    </row>
    <row r="8495" spans="1:2" x14ac:dyDescent="0.25">
      <c r="A8495" t="s">
        <v>8986</v>
      </c>
      <c r="B8495" s="9">
        <v>0.15</v>
      </c>
    </row>
    <row r="8496" spans="1:2" x14ac:dyDescent="0.25">
      <c r="A8496" t="s">
        <v>8987</v>
      </c>
      <c r="B8496" s="9">
        <v>0.15</v>
      </c>
    </row>
    <row r="8497" spans="1:2" x14ac:dyDescent="0.25">
      <c r="A8497" t="s">
        <v>8988</v>
      </c>
      <c r="B8497" s="9">
        <v>0.15</v>
      </c>
    </row>
    <row r="8498" spans="1:2" x14ac:dyDescent="0.25">
      <c r="A8498" t="s">
        <v>8989</v>
      </c>
      <c r="B8498" s="9">
        <v>0.15</v>
      </c>
    </row>
    <row r="8499" spans="1:2" x14ac:dyDescent="0.25">
      <c r="A8499" t="s">
        <v>8990</v>
      </c>
      <c r="B8499" s="9">
        <v>0.15</v>
      </c>
    </row>
    <row r="8500" spans="1:2" x14ac:dyDescent="0.25">
      <c r="A8500" t="s">
        <v>8991</v>
      </c>
      <c r="B8500" s="9">
        <v>0.15</v>
      </c>
    </row>
    <row r="8501" spans="1:2" x14ac:dyDescent="0.25">
      <c r="A8501" t="s">
        <v>8992</v>
      </c>
      <c r="B8501" s="9">
        <v>0.15</v>
      </c>
    </row>
    <row r="8502" spans="1:2" x14ac:dyDescent="0.25">
      <c r="A8502" t="s">
        <v>8993</v>
      </c>
      <c r="B8502" s="9">
        <v>0.15</v>
      </c>
    </row>
    <row r="8503" spans="1:2" x14ac:dyDescent="0.25">
      <c r="A8503" t="s">
        <v>8994</v>
      </c>
      <c r="B8503" s="9">
        <v>0.15</v>
      </c>
    </row>
    <row r="8504" spans="1:2" x14ac:dyDescent="0.25">
      <c r="A8504" t="s">
        <v>8995</v>
      </c>
      <c r="B8504" s="9">
        <v>0.15</v>
      </c>
    </row>
    <row r="8505" spans="1:2" x14ac:dyDescent="0.25">
      <c r="A8505" t="s">
        <v>8996</v>
      </c>
      <c r="B8505" s="9">
        <v>0.15</v>
      </c>
    </row>
    <row r="8506" spans="1:2" x14ac:dyDescent="0.25">
      <c r="A8506" t="s">
        <v>8997</v>
      </c>
      <c r="B8506" s="9">
        <v>0.15</v>
      </c>
    </row>
    <row r="8507" spans="1:2" x14ac:dyDescent="0.25">
      <c r="A8507" t="s">
        <v>8998</v>
      </c>
      <c r="B8507" s="9">
        <v>0.15</v>
      </c>
    </row>
    <row r="8508" spans="1:2" x14ac:dyDescent="0.25">
      <c r="A8508" t="s">
        <v>8999</v>
      </c>
      <c r="B8508" s="9">
        <v>0.15</v>
      </c>
    </row>
    <row r="8509" spans="1:2" x14ac:dyDescent="0.25">
      <c r="A8509" t="s">
        <v>9000</v>
      </c>
      <c r="B8509" s="9">
        <v>0.15</v>
      </c>
    </row>
    <row r="8510" spans="1:2" x14ac:dyDescent="0.25">
      <c r="A8510" t="s">
        <v>9001</v>
      </c>
      <c r="B8510" s="9">
        <v>0</v>
      </c>
    </row>
    <row r="8511" spans="1:2" x14ac:dyDescent="0.25">
      <c r="A8511" t="s">
        <v>9002</v>
      </c>
      <c r="B8511" s="9">
        <v>0.2</v>
      </c>
    </row>
    <row r="8512" spans="1:2" x14ac:dyDescent="0.25">
      <c r="A8512" t="s">
        <v>9003</v>
      </c>
      <c r="B8512" s="9">
        <v>0.2</v>
      </c>
    </row>
    <row r="8513" spans="1:2" x14ac:dyDescent="0.25">
      <c r="A8513" t="s">
        <v>9004</v>
      </c>
      <c r="B8513" s="9">
        <v>0.2</v>
      </c>
    </row>
    <row r="8514" spans="1:2" x14ac:dyDescent="0.25">
      <c r="A8514" t="s">
        <v>9005</v>
      </c>
      <c r="B8514" s="9">
        <v>0.2</v>
      </c>
    </row>
    <row r="8515" spans="1:2" x14ac:dyDescent="0.25">
      <c r="A8515" t="s">
        <v>9006</v>
      </c>
      <c r="B8515" s="9">
        <v>0.2</v>
      </c>
    </row>
    <row r="8516" spans="1:2" x14ac:dyDescent="0.25">
      <c r="A8516" t="s">
        <v>9007</v>
      </c>
      <c r="B8516" s="9">
        <v>0.05</v>
      </c>
    </row>
    <row r="8517" spans="1:2" x14ac:dyDescent="0.25">
      <c r="A8517" t="s">
        <v>9008</v>
      </c>
      <c r="B8517" s="9">
        <v>0</v>
      </c>
    </row>
    <row r="8518" spans="1:2" x14ac:dyDescent="0.25">
      <c r="A8518" t="s">
        <v>9009</v>
      </c>
      <c r="B8518" s="9">
        <v>0</v>
      </c>
    </row>
    <row r="8519" spans="1:2" x14ac:dyDescent="0.25">
      <c r="A8519" t="s">
        <v>9010</v>
      </c>
      <c r="B8519" s="9">
        <v>0</v>
      </c>
    </row>
    <row r="8520" spans="1:2" x14ac:dyDescent="0.25">
      <c r="A8520" t="s">
        <v>9011</v>
      </c>
      <c r="B8520" s="9">
        <v>0.1</v>
      </c>
    </row>
    <row r="8521" spans="1:2" x14ac:dyDescent="0.25">
      <c r="A8521" t="s">
        <v>9012</v>
      </c>
      <c r="B8521" s="9">
        <v>0.1</v>
      </c>
    </row>
    <row r="8522" spans="1:2" x14ac:dyDescent="0.25">
      <c r="A8522" t="s">
        <v>9013</v>
      </c>
      <c r="B8522" s="9">
        <v>0.1</v>
      </c>
    </row>
    <row r="8523" spans="1:2" x14ac:dyDescent="0.25">
      <c r="A8523" t="s">
        <v>9014</v>
      </c>
      <c r="B8523" s="9">
        <v>0.1</v>
      </c>
    </row>
    <row r="8524" spans="1:2" x14ac:dyDescent="0.25">
      <c r="A8524" t="s">
        <v>9015</v>
      </c>
      <c r="B8524" s="9">
        <v>0.05</v>
      </c>
    </row>
    <row r="8525" spans="1:2" x14ac:dyDescent="0.25">
      <c r="A8525" t="s">
        <v>9016</v>
      </c>
      <c r="B8525" s="9">
        <v>0.05</v>
      </c>
    </row>
    <row r="8526" spans="1:2" x14ac:dyDescent="0.25">
      <c r="A8526" t="s">
        <v>9017</v>
      </c>
      <c r="B8526" s="9">
        <v>0.1</v>
      </c>
    </row>
    <row r="8527" spans="1:2" x14ac:dyDescent="0.25">
      <c r="A8527" t="s">
        <v>9018</v>
      </c>
      <c r="B8527" s="9">
        <v>0.05</v>
      </c>
    </row>
    <row r="8528" spans="1:2" x14ac:dyDescent="0.25">
      <c r="A8528" t="s">
        <v>9019</v>
      </c>
      <c r="B8528" s="9">
        <v>0.05</v>
      </c>
    </row>
    <row r="8529" spans="1:2" x14ac:dyDescent="0.25">
      <c r="A8529" t="s">
        <v>9020</v>
      </c>
      <c r="B8529" s="9">
        <v>0.05</v>
      </c>
    </row>
    <row r="8530" spans="1:2" x14ac:dyDescent="0.25">
      <c r="A8530" t="s">
        <v>9021</v>
      </c>
      <c r="B8530" s="9">
        <v>0.1</v>
      </c>
    </row>
    <row r="8531" spans="1:2" x14ac:dyDescent="0.25">
      <c r="A8531" t="s">
        <v>9022</v>
      </c>
      <c r="B8531" s="9">
        <v>0.1</v>
      </c>
    </row>
    <row r="8532" spans="1:2" x14ac:dyDescent="0.25">
      <c r="A8532" t="s">
        <v>9023</v>
      </c>
      <c r="B8532" s="9">
        <v>0.05</v>
      </c>
    </row>
    <row r="8533" spans="1:2" x14ac:dyDescent="0.25">
      <c r="A8533" t="s">
        <v>9024</v>
      </c>
      <c r="B8533" s="9">
        <v>0.1</v>
      </c>
    </row>
    <row r="8534" spans="1:2" x14ac:dyDescent="0.25">
      <c r="A8534" t="s">
        <v>9025</v>
      </c>
      <c r="B8534" s="9">
        <v>0.1</v>
      </c>
    </row>
    <row r="8535" spans="1:2" x14ac:dyDescent="0.25">
      <c r="A8535" t="s">
        <v>9026</v>
      </c>
      <c r="B8535" s="9">
        <v>0.15</v>
      </c>
    </row>
    <row r="8536" spans="1:2" x14ac:dyDescent="0.25">
      <c r="A8536" t="s">
        <v>9027</v>
      </c>
      <c r="B8536" s="9">
        <v>0.1</v>
      </c>
    </row>
    <row r="8537" spans="1:2" x14ac:dyDescent="0.25">
      <c r="A8537" t="s">
        <v>9028</v>
      </c>
      <c r="B8537" s="9">
        <v>0.1</v>
      </c>
    </row>
    <row r="8538" spans="1:2" x14ac:dyDescent="0.25">
      <c r="A8538" t="s">
        <v>9029</v>
      </c>
      <c r="B8538" s="9">
        <v>0.1</v>
      </c>
    </row>
    <row r="8539" spans="1:2" x14ac:dyDescent="0.25">
      <c r="A8539" t="s">
        <v>9030</v>
      </c>
      <c r="B8539" s="9">
        <v>0</v>
      </c>
    </row>
    <row r="8540" spans="1:2" x14ac:dyDescent="0.25">
      <c r="A8540" t="s">
        <v>9031</v>
      </c>
      <c r="B8540" s="9">
        <v>0</v>
      </c>
    </row>
    <row r="8541" spans="1:2" x14ac:dyDescent="0.25">
      <c r="A8541" t="s">
        <v>9032</v>
      </c>
      <c r="B8541" s="9">
        <v>0</v>
      </c>
    </row>
    <row r="8542" spans="1:2" x14ac:dyDescent="0.25">
      <c r="A8542" t="s">
        <v>9033</v>
      </c>
      <c r="B8542" s="9">
        <v>0</v>
      </c>
    </row>
    <row r="8543" spans="1:2" x14ac:dyDescent="0.25">
      <c r="A8543" t="s">
        <v>9034</v>
      </c>
      <c r="B8543" s="9">
        <v>0</v>
      </c>
    </row>
    <row r="8544" spans="1:2" x14ac:dyDescent="0.25">
      <c r="A8544" t="s">
        <v>9035</v>
      </c>
      <c r="B8544" s="9">
        <v>0</v>
      </c>
    </row>
    <row r="8545" spans="1:2" x14ac:dyDescent="0.25">
      <c r="A8545" t="s">
        <v>9036</v>
      </c>
      <c r="B8545" s="9">
        <v>0</v>
      </c>
    </row>
    <row r="8546" spans="1:2" x14ac:dyDescent="0.25">
      <c r="A8546" t="s">
        <v>9037</v>
      </c>
      <c r="B8546" s="9">
        <v>0</v>
      </c>
    </row>
    <row r="8547" spans="1:2" x14ac:dyDescent="0.25">
      <c r="A8547" t="s">
        <v>9038</v>
      </c>
      <c r="B8547" s="9">
        <v>0</v>
      </c>
    </row>
    <row r="8548" spans="1:2" x14ac:dyDescent="0.25">
      <c r="A8548" t="s">
        <v>9039</v>
      </c>
      <c r="B8548" s="9">
        <v>0</v>
      </c>
    </row>
    <row r="8549" spans="1:2" x14ac:dyDescent="0.25">
      <c r="A8549" t="s">
        <v>9040</v>
      </c>
      <c r="B8549" s="9">
        <v>0</v>
      </c>
    </row>
    <row r="8550" spans="1:2" x14ac:dyDescent="0.25">
      <c r="A8550" t="s">
        <v>9041</v>
      </c>
      <c r="B8550" s="9">
        <v>0</v>
      </c>
    </row>
    <row r="8551" spans="1:2" x14ac:dyDescent="0.25">
      <c r="A8551" t="s">
        <v>9042</v>
      </c>
      <c r="B8551" s="9">
        <v>0</v>
      </c>
    </row>
    <row r="8552" spans="1:2" x14ac:dyDescent="0.25">
      <c r="A8552" t="s">
        <v>9043</v>
      </c>
      <c r="B8552" s="9">
        <v>0</v>
      </c>
    </row>
    <row r="8553" spans="1:2" x14ac:dyDescent="0.25">
      <c r="A8553" t="s">
        <v>9044</v>
      </c>
      <c r="B8553" s="9">
        <v>0</v>
      </c>
    </row>
    <row r="8554" spans="1:2" x14ac:dyDescent="0.25">
      <c r="A8554" t="s">
        <v>9045</v>
      </c>
      <c r="B8554" s="9">
        <v>0</v>
      </c>
    </row>
    <row r="8555" spans="1:2" x14ac:dyDescent="0.25">
      <c r="A8555" t="s">
        <v>9046</v>
      </c>
      <c r="B8555" s="9">
        <v>0</v>
      </c>
    </row>
    <row r="8556" spans="1:2" x14ac:dyDescent="0.25">
      <c r="A8556" t="s">
        <v>9047</v>
      </c>
      <c r="B8556" s="9">
        <v>0</v>
      </c>
    </row>
    <row r="8557" spans="1:2" x14ac:dyDescent="0.25">
      <c r="A8557" t="s">
        <v>9048</v>
      </c>
      <c r="B8557" s="9">
        <v>0</v>
      </c>
    </row>
    <row r="8558" spans="1:2" x14ac:dyDescent="0.25">
      <c r="A8558" t="s">
        <v>9049</v>
      </c>
      <c r="B8558" s="9">
        <v>0</v>
      </c>
    </row>
    <row r="8559" spans="1:2" x14ac:dyDescent="0.25">
      <c r="A8559" t="s">
        <v>9050</v>
      </c>
      <c r="B8559" s="9">
        <v>0</v>
      </c>
    </row>
    <row r="8560" spans="1:2" x14ac:dyDescent="0.25">
      <c r="A8560" t="s">
        <v>9051</v>
      </c>
      <c r="B8560" s="9">
        <v>0</v>
      </c>
    </row>
    <row r="8561" spans="1:2" x14ac:dyDescent="0.25">
      <c r="A8561" t="s">
        <v>9052</v>
      </c>
      <c r="B8561" s="9">
        <v>0</v>
      </c>
    </row>
    <row r="8562" spans="1:2" x14ac:dyDescent="0.25">
      <c r="A8562" t="s">
        <v>9053</v>
      </c>
      <c r="B8562" s="9">
        <v>0</v>
      </c>
    </row>
    <row r="8563" spans="1:2" x14ac:dyDescent="0.25">
      <c r="A8563" t="s">
        <v>9054</v>
      </c>
      <c r="B8563" s="9">
        <v>0</v>
      </c>
    </row>
    <row r="8564" spans="1:2" x14ac:dyDescent="0.25">
      <c r="A8564" t="s">
        <v>9055</v>
      </c>
      <c r="B8564" s="9">
        <v>0</v>
      </c>
    </row>
    <row r="8565" spans="1:2" x14ac:dyDescent="0.25">
      <c r="A8565" t="s">
        <v>9056</v>
      </c>
      <c r="B8565" s="9">
        <v>0</v>
      </c>
    </row>
    <row r="8566" spans="1:2" x14ac:dyDescent="0.25">
      <c r="A8566" t="s">
        <v>9057</v>
      </c>
      <c r="B8566" s="9">
        <v>0</v>
      </c>
    </row>
    <row r="8567" spans="1:2" x14ac:dyDescent="0.25">
      <c r="A8567" t="s">
        <v>9058</v>
      </c>
      <c r="B8567" s="9">
        <v>0</v>
      </c>
    </row>
    <row r="8568" spans="1:2" x14ac:dyDescent="0.25">
      <c r="A8568" t="s">
        <v>9059</v>
      </c>
      <c r="B8568" s="9">
        <v>0</v>
      </c>
    </row>
    <row r="8569" spans="1:2" x14ac:dyDescent="0.25">
      <c r="A8569" t="s">
        <v>9060</v>
      </c>
      <c r="B8569" s="9">
        <v>0</v>
      </c>
    </row>
    <row r="8570" spans="1:2" x14ac:dyDescent="0.25">
      <c r="A8570" t="s">
        <v>9061</v>
      </c>
      <c r="B8570" s="9">
        <v>0</v>
      </c>
    </row>
    <row r="8571" spans="1:2" x14ac:dyDescent="0.25">
      <c r="A8571" t="s">
        <v>9062</v>
      </c>
      <c r="B8571" s="9">
        <v>0</v>
      </c>
    </row>
    <row r="8572" spans="1:2" x14ac:dyDescent="0.25">
      <c r="A8572" t="s">
        <v>9063</v>
      </c>
      <c r="B8572" s="9">
        <v>0</v>
      </c>
    </row>
    <row r="8573" spans="1:2" x14ac:dyDescent="0.25">
      <c r="A8573" t="s">
        <v>9064</v>
      </c>
      <c r="B8573" s="9">
        <v>0</v>
      </c>
    </row>
    <row r="8574" spans="1:2" x14ac:dyDescent="0.25">
      <c r="A8574" t="s">
        <v>9065</v>
      </c>
      <c r="B8574" s="9">
        <v>0</v>
      </c>
    </row>
    <row r="8575" spans="1:2" x14ac:dyDescent="0.25">
      <c r="A8575" t="s">
        <v>9066</v>
      </c>
      <c r="B8575" s="9">
        <v>0</v>
      </c>
    </row>
    <row r="8576" spans="1:2" x14ac:dyDescent="0.25">
      <c r="A8576" t="s">
        <v>9067</v>
      </c>
      <c r="B8576" s="9">
        <v>0</v>
      </c>
    </row>
    <row r="8577" spans="1:2" x14ac:dyDescent="0.25">
      <c r="A8577" t="s">
        <v>9068</v>
      </c>
      <c r="B8577" s="9">
        <v>0</v>
      </c>
    </row>
    <row r="8578" spans="1:2" x14ac:dyDescent="0.25">
      <c r="A8578" t="s">
        <v>9069</v>
      </c>
      <c r="B8578" s="9">
        <v>0</v>
      </c>
    </row>
    <row r="8579" spans="1:2" x14ac:dyDescent="0.25">
      <c r="A8579" t="s">
        <v>9070</v>
      </c>
      <c r="B8579" s="9">
        <v>0</v>
      </c>
    </row>
    <row r="8580" spans="1:2" x14ac:dyDescent="0.25">
      <c r="A8580" t="s">
        <v>9071</v>
      </c>
      <c r="B8580" s="9">
        <v>0</v>
      </c>
    </row>
    <row r="8581" spans="1:2" x14ac:dyDescent="0.25">
      <c r="A8581" t="s">
        <v>9072</v>
      </c>
      <c r="B8581" s="9">
        <v>0</v>
      </c>
    </row>
    <row r="8582" spans="1:2" x14ac:dyDescent="0.25">
      <c r="A8582" t="s">
        <v>9073</v>
      </c>
      <c r="B8582" s="9">
        <v>0</v>
      </c>
    </row>
    <row r="8583" spans="1:2" x14ac:dyDescent="0.25">
      <c r="A8583" t="s">
        <v>9074</v>
      </c>
      <c r="B8583" s="9">
        <v>0</v>
      </c>
    </row>
    <row r="8584" spans="1:2" x14ac:dyDescent="0.25">
      <c r="A8584" t="s">
        <v>9075</v>
      </c>
      <c r="B8584" s="9">
        <v>0</v>
      </c>
    </row>
    <row r="8585" spans="1:2" x14ac:dyDescent="0.25">
      <c r="A8585" t="s">
        <v>9076</v>
      </c>
      <c r="B8585" s="9">
        <v>0</v>
      </c>
    </row>
    <row r="8586" spans="1:2" x14ac:dyDescent="0.25">
      <c r="A8586" t="s">
        <v>9077</v>
      </c>
      <c r="B8586" s="9">
        <v>0</v>
      </c>
    </row>
    <row r="8587" spans="1:2" x14ac:dyDescent="0.25">
      <c r="A8587" t="s">
        <v>9078</v>
      </c>
      <c r="B8587" s="9">
        <v>0</v>
      </c>
    </row>
    <row r="8588" spans="1:2" x14ac:dyDescent="0.25">
      <c r="A8588" t="s">
        <v>9079</v>
      </c>
      <c r="B8588" s="9">
        <v>0</v>
      </c>
    </row>
    <row r="8589" spans="1:2" x14ac:dyDescent="0.25">
      <c r="A8589" t="s">
        <v>9080</v>
      </c>
      <c r="B8589" s="9">
        <v>0</v>
      </c>
    </row>
    <row r="8590" spans="1:2" x14ac:dyDescent="0.25">
      <c r="A8590" t="s">
        <v>9081</v>
      </c>
      <c r="B8590" s="9">
        <v>0</v>
      </c>
    </row>
    <row r="8591" spans="1:2" x14ac:dyDescent="0.25">
      <c r="A8591" t="s">
        <v>9082</v>
      </c>
      <c r="B8591" s="9">
        <v>0</v>
      </c>
    </row>
    <row r="8592" spans="1:2" x14ac:dyDescent="0.25">
      <c r="A8592" t="s">
        <v>9083</v>
      </c>
      <c r="B8592" s="9">
        <v>0</v>
      </c>
    </row>
    <row r="8593" spans="1:2" x14ac:dyDescent="0.25">
      <c r="A8593" t="s">
        <v>9084</v>
      </c>
      <c r="B8593" s="9">
        <v>0</v>
      </c>
    </row>
    <row r="8594" spans="1:2" x14ac:dyDescent="0.25">
      <c r="A8594" t="s">
        <v>9085</v>
      </c>
      <c r="B8594" s="9">
        <v>0</v>
      </c>
    </row>
    <row r="8595" spans="1:2" x14ac:dyDescent="0.25">
      <c r="A8595" t="s">
        <v>9086</v>
      </c>
      <c r="B8595" s="9">
        <v>0.05</v>
      </c>
    </row>
    <row r="8596" spans="1:2" x14ac:dyDescent="0.25">
      <c r="A8596" t="s">
        <v>9087</v>
      </c>
      <c r="B8596" s="9">
        <v>0.05</v>
      </c>
    </row>
    <row r="8597" spans="1:2" x14ac:dyDescent="0.25">
      <c r="A8597" t="s">
        <v>9088</v>
      </c>
      <c r="B8597" s="9">
        <v>0.05</v>
      </c>
    </row>
    <row r="8598" spans="1:2" x14ac:dyDescent="0.25">
      <c r="A8598" t="s">
        <v>9089</v>
      </c>
      <c r="B8598" s="9">
        <v>0.05</v>
      </c>
    </row>
    <row r="8599" spans="1:2" x14ac:dyDescent="0.25">
      <c r="A8599" t="s">
        <v>9090</v>
      </c>
      <c r="B8599" s="9">
        <v>0.05</v>
      </c>
    </row>
    <row r="8600" spans="1:2" x14ac:dyDescent="0.25">
      <c r="A8600" t="s">
        <v>9091</v>
      </c>
      <c r="B8600" s="9">
        <v>0</v>
      </c>
    </row>
    <row r="8601" spans="1:2" x14ac:dyDescent="0.25">
      <c r="A8601" t="s">
        <v>9092</v>
      </c>
      <c r="B8601" s="9">
        <v>0.05</v>
      </c>
    </row>
    <row r="8602" spans="1:2" x14ac:dyDescent="0.25">
      <c r="A8602" t="s">
        <v>9093</v>
      </c>
      <c r="B8602" s="9">
        <v>0.05</v>
      </c>
    </row>
    <row r="8603" spans="1:2" x14ac:dyDescent="0.25">
      <c r="A8603" t="s">
        <v>9094</v>
      </c>
      <c r="B8603" s="9">
        <v>0.05</v>
      </c>
    </row>
    <row r="8604" spans="1:2" x14ac:dyDescent="0.25">
      <c r="A8604" t="s">
        <v>9095</v>
      </c>
      <c r="B8604" s="9">
        <v>0.05</v>
      </c>
    </row>
    <row r="8605" spans="1:2" x14ac:dyDescent="0.25">
      <c r="A8605" t="s">
        <v>9096</v>
      </c>
      <c r="B8605" s="9">
        <v>0.05</v>
      </c>
    </row>
    <row r="8606" spans="1:2" x14ac:dyDescent="0.25">
      <c r="A8606" t="s">
        <v>9097</v>
      </c>
      <c r="B8606" s="9">
        <v>0.05</v>
      </c>
    </row>
    <row r="8607" spans="1:2" x14ac:dyDescent="0.25">
      <c r="A8607" t="s">
        <v>9098</v>
      </c>
      <c r="B8607" s="9">
        <v>0.05</v>
      </c>
    </row>
    <row r="8608" spans="1:2" x14ac:dyDescent="0.25">
      <c r="A8608" t="s">
        <v>9099</v>
      </c>
      <c r="B8608" s="9">
        <v>0.05</v>
      </c>
    </row>
    <row r="8609" spans="1:2" x14ac:dyDescent="0.25">
      <c r="A8609" t="s">
        <v>9100</v>
      </c>
      <c r="B8609" s="9">
        <v>0.05</v>
      </c>
    </row>
    <row r="8610" spans="1:2" x14ac:dyDescent="0.25">
      <c r="A8610" t="s">
        <v>9101</v>
      </c>
      <c r="B8610" s="9">
        <v>0.05</v>
      </c>
    </row>
    <row r="8611" spans="1:2" x14ac:dyDescent="0.25">
      <c r="A8611" t="s">
        <v>9102</v>
      </c>
      <c r="B8611" s="9">
        <v>0.05</v>
      </c>
    </row>
    <row r="8612" spans="1:2" x14ac:dyDescent="0.25">
      <c r="A8612" t="s">
        <v>9103</v>
      </c>
      <c r="B8612" s="9">
        <v>0.05</v>
      </c>
    </row>
    <row r="8613" spans="1:2" x14ac:dyDescent="0.25">
      <c r="A8613" t="s">
        <v>9104</v>
      </c>
      <c r="B8613" s="9">
        <v>0.05</v>
      </c>
    </row>
    <row r="8614" spans="1:2" x14ac:dyDescent="0.25">
      <c r="A8614" t="s">
        <v>9105</v>
      </c>
      <c r="B8614" s="9">
        <v>0.05</v>
      </c>
    </row>
    <row r="8615" spans="1:2" x14ac:dyDescent="0.25">
      <c r="A8615" t="s">
        <v>9106</v>
      </c>
      <c r="B8615" s="9">
        <v>0.05</v>
      </c>
    </row>
    <row r="8616" spans="1:2" x14ac:dyDescent="0.25">
      <c r="A8616" t="s">
        <v>9107</v>
      </c>
      <c r="B8616" s="9">
        <v>0.05</v>
      </c>
    </row>
    <row r="8617" spans="1:2" x14ac:dyDescent="0.25">
      <c r="A8617" t="s">
        <v>9108</v>
      </c>
      <c r="B8617" s="9">
        <v>0.05</v>
      </c>
    </row>
    <row r="8618" spans="1:2" x14ac:dyDescent="0.25">
      <c r="A8618" t="s">
        <v>9109</v>
      </c>
      <c r="B8618" s="9">
        <v>0.05</v>
      </c>
    </row>
    <row r="8619" spans="1:2" x14ac:dyDescent="0.25">
      <c r="A8619" t="s">
        <v>9110</v>
      </c>
      <c r="B8619" s="9">
        <v>0.05</v>
      </c>
    </row>
    <row r="8620" spans="1:2" x14ac:dyDescent="0.25">
      <c r="A8620" t="s">
        <v>9111</v>
      </c>
      <c r="B8620" s="9">
        <v>0.05</v>
      </c>
    </row>
    <row r="8621" spans="1:2" x14ac:dyDescent="0.25">
      <c r="A8621" t="s">
        <v>9112</v>
      </c>
      <c r="B8621" s="9">
        <v>0</v>
      </c>
    </row>
    <row r="8622" spans="1:2" x14ac:dyDescent="0.25">
      <c r="A8622" t="s">
        <v>9113</v>
      </c>
      <c r="B8622" s="9">
        <v>0.05</v>
      </c>
    </row>
    <row r="8623" spans="1:2" x14ac:dyDescent="0.25">
      <c r="A8623" t="s">
        <v>9114</v>
      </c>
      <c r="B8623" s="9">
        <v>0.05</v>
      </c>
    </row>
    <row r="8624" spans="1:2" x14ac:dyDescent="0.25">
      <c r="A8624" t="s">
        <v>9115</v>
      </c>
      <c r="B8624" s="9">
        <v>0.05</v>
      </c>
    </row>
    <row r="8625" spans="1:2" x14ac:dyDescent="0.25">
      <c r="A8625" t="s">
        <v>9116</v>
      </c>
      <c r="B8625" s="9">
        <v>0.05</v>
      </c>
    </row>
    <row r="8626" spans="1:2" x14ac:dyDescent="0.25">
      <c r="A8626" t="s">
        <v>9117</v>
      </c>
      <c r="B8626" s="9">
        <v>0.05</v>
      </c>
    </row>
    <row r="8627" spans="1:2" x14ac:dyDescent="0.25">
      <c r="A8627" t="s">
        <v>9118</v>
      </c>
      <c r="B8627" s="9">
        <v>0.05</v>
      </c>
    </row>
    <row r="8628" spans="1:2" x14ac:dyDescent="0.25">
      <c r="A8628" t="s">
        <v>9119</v>
      </c>
      <c r="B8628" s="9">
        <v>0.05</v>
      </c>
    </row>
    <row r="8629" spans="1:2" x14ac:dyDescent="0.25">
      <c r="A8629" t="s">
        <v>9120</v>
      </c>
      <c r="B8629" s="9">
        <v>0.05</v>
      </c>
    </row>
    <row r="8630" spans="1:2" x14ac:dyDescent="0.25">
      <c r="A8630" t="s">
        <v>9121</v>
      </c>
      <c r="B8630" s="9">
        <v>0.05</v>
      </c>
    </row>
    <row r="8631" spans="1:2" x14ac:dyDescent="0.25">
      <c r="A8631" t="s">
        <v>9122</v>
      </c>
      <c r="B8631" s="9">
        <v>0.05</v>
      </c>
    </row>
    <row r="8632" spans="1:2" x14ac:dyDescent="0.25">
      <c r="A8632" t="s">
        <v>9123</v>
      </c>
      <c r="B8632" s="9">
        <v>0.05</v>
      </c>
    </row>
    <row r="8633" spans="1:2" x14ac:dyDescent="0.25">
      <c r="A8633" t="s">
        <v>9124</v>
      </c>
      <c r="B8633" s="9">
        <v>0.05</v>
      </c>
    </row>
    <row r="8634" spans="1:2" x14ac:dyDescent="0.25">
      <c r="A8634" t="s">
        <v>9125</v>
      </c>
      <c r="B8634" s="9">
        <v>0</v>
      </c>
    </row>
    <row r="8635" spans="1:2" x14ac:dyDescent="0.25">
      <c r="A8635" t="s">
        <v>9126</v>
      </c>
      <c r="B8635" s="9">
        <v>0</v>
      </c>
    </row>
    <row r="8636" spans="1:2" x14ac:dyDescent="0.25">
      <c r="A8636" t="s">
        <v>9127</v>
      </c>
      <c r="B8636" s="9">
        <v>0</v>
      </c>
    </row>
    <row r="8637" spans="1:2" x14ac:dyDescent="0.25">
      <c r="A8637" t="s">
        <v>9128</v>
      </c>
      <c r="B8637" s="9">
        <v>0.05</v>
      </c>
    </row>
    <row r="8638" spans="1:2" x14ac:dyDescent="0.25">
      <c r="A8638" t="s">
        <v>9129</v>
      </c>
      <c r="B8638" s="9">
        <v>0.05</v>
      </c>
    </row>
    <row r="8639" spans="1:2" x14ac:dyDescent="0.25">
      <c r="A8639" t="s">
        <v>9130</v>
      </c>
      <c r="B8639" s="9">
        <v>0.05</v>
      </c>
    </row>
    <row r="8640" spans="1:2" x14ac:dyDescent="0.25">
      <c r="A8640" t="s">
        <v>9131</v>
      </c>
      <c r="B8640" s="9">
        <v>0.2</v>
      </c>
    </row>
    <row r="8641" spans="1:2" x14ac:dyDescent="0.25">
      <c r="A8641" t="s">
        <v>9131</v>
      </c>
      <c r="B8641" s="9">
        <v>0.1</v>
      </c>
    </row>
    <row r="8642" spans="1:2" x14ac:dyDescent="0.25">
      <c r="A8642" t="s">
        <v>9132</v>
      </c>
      <c r="B8642" s="9">
        <v>0.05</v>
      </c>
    </row>
    <row r="8643" spans="1:2" x14ac:dyDescent="0.25">
      <c r="A8643" t="s">
        <v>9133</v>
      </c>
      <c r="B8643" s="9">
        <v>0.2</v>
      </c>
    </row>
    <row r="8644" spans="1:2" x14ac:dyDescent="0.25">
      <c r="A8644" t="s">
        <v>9133</v>
      </c>
      <c r="B8644" s="9">
        <v>0.1</v>
      </c>
    </row>
    <row r="8645" spans="1:2" x14ac:dyDescent="0.25">
      <c r="A8645" t="s">
        <v>9134</v>
      </c>
      <c r="B8645" s="9">
        <v>0.05</v>
      </c>
    </row>
    <row r="8646" spans="1:2" x14ac:dyDescent="0.25">
      <c r="A8646" t="s">
        <v>9135</v>
      </c>
      <c r="B8646" s="9">
        <v>0.1</v>
      </c>
    </row>
    <row r="8647" spans="1:2" x14ac:dyDescent="0.25">
      <c r="A8647" t="s">
        <v>9135</v>
      </c>
      <c r="B8647" s="9">
        <v>0.05</v>
      </c>
    </row>
    <row r="8648" spans="1:2" x14ac:dyDescent="0.25">
      <c r="A8648" t="s">
        <v>9136</v>
      </c>
      <c r="B8648" s="9">
        <v>0.05</v>
      </c>
    </row>
    <row r="8649" spans="1:2" x14ac:dyDescent="0.25">
      <c r="A8649" t="s">
        <v>9137</v>
      </c>
      <c r="B8649" s="9">
        <v>0.2</v>
      </c>
    </row>
    <row r="8650" spans="1:2" x14ac:dyDescent="0.25">
      <c r="A8650" t="s">
        <v>9138</v>
      </c>
      <c r="B8650" s="9">
        <v>0</v>
      </c>
    </row>
    <row r="8651" spans="1:2" x14ac:dyDescent="0.25">
      <c r="A8651" t="s">
        <v>9137</v>
      </c>
      <c r="B8651" s="9">
        <v>0.1</v>
      </c>
    </row>
    <row r="8652" spans="1:2" x14ac:dyDescent="0.25">
      <c r="A8652" t="s">
        <v>9139</v>
      </c>
      <c r="B8652" s="9">
        <v>0.2</v>
      </c>
    </row>
    <row r="8653" spans="1:2" x14ac:dyDescent="0.25">
      <c r="A8653" t="s">
        <v>9140</v>
      </c>
      <c r="B8653" s="9">
        <v>0.2</v>
      </c>
    </row>
    <row r="8654" spans="1:2" x14ac:dyDescent="0.25">
      <c r="A8654" t="s">
        <v>9141</v>
      </c>
      <c r="B8654" s="9">
        <v>0</v>
      </c>
    </row>
    <row r="8655" spans="1:2" x14ac:dyDescent="0.25">
      <c r="A8655" t="s">
        <v>9142</v>
      </c>
      <c r="B8655" s="9">
        <v>0.05</v>
      </c>
    </row>
    <row r="8656" spans="1:2" x14ac:dyDescent="0.25">
      <c r="A8656" t="s">
        <v>9143</v>
      </c>
      <c r="B8656" s="9">
        <v>0.2</v>
      </c>
    </row>
    <row r="8657" spans="1:2" x14ac:dyDescent="0.25">
      <c r="A8657" t="s">
        <v>9143</v>
      </c>
      <c r="B8657" s="9">
        <v>0.1</v>
      </c>
    </row>
    <row r="8658" spans="1:2" x14ac:dyDescent="0.25">
      <c r="A8658" t="s">
        <v>9144</v>
      </c>
      <c r="B8658" s="9">
        <v>0</v>
      </c>
    </row>
    <row r="8659" spans="1:2" x14ac:dyDescent="0.25">
      <c r="A8659" t="s">
        <v>9145</v>
      </c>
      <c r="B8659" s="9">
        <v>0</v>
      </c>
    </row>
    <row r="8660" spans="1:2" x14ac:dyDescent="0.25">
      <c r="A8660" t="s">
        <v>9146</v>
      </c>
      <c r="B8660" s="9">
        <v>0</v>
      </c>
    </row>
    <row r="8661" spans="1:2" x14ac:dyDescent="0.25">
      <c r="A8661" t="s">
        <v>9147</v>
      </c>
      <c r="B8661" s="9">
        <v>0.05</v>
      </c>
    </row>
    <row r="8662" spans="1:2" x14ac:dyDescent="0.25">
      <c r="A8662" t="s">
        <v>9148</v>
      </c>
      <c r="B8662" s="9">
        <v>0</v>
      </c>
    </row>
    <row r="8663" spans="1:2" x14ac:dyDescent="0.25">
      <c r="A8663" t="s">
        <v>9149</v>
      </c>
      <c r="B8663" s="9">
        <v>0</v>
      </c>
    </row>
    <row r="8664" spans="1:2" x14ac:dyDescent="0.25">
      <c r="A8664" t="s">
        <v>9150</v>
      </c>
      <c r="B8664" s="9">
        <v>0</v>
      </c>
    </row>
    <row r="8665" spans="1:2" x14ac:dyDescent="0.25">
      <c r="A8665" t="s">
        <v>9151</v>
      </c>
      <c r="B8665" s="9">
        <v>0</v>
      </c>
    </row>
    <row r="8666" spans="1:2" x14ac:dyDescent="0.25">
      <c r="A8666" t="s">
        <v>9152</v>
      </c>
      <c r="B8666" s="9">
        <v>0</v>
      </c>
    </row>
    <row r="8667" spans="1:2" x14ac:dyDescent="0.25">
      <c r="A8667" t="s">
        <v>9153</v>
      </c>
      <c r="B8667" s="9">
        <v>0</v>
      </c>
    </row>
    <row r="8668" spans="1:2" x14ac:dyDescent="0.25">
      <c r="A8668" t="s">
        <v>9154</v>
      </c>
      <c r="B8668" s="9">
        <v>0</v>
      </c>
    </row>
    <row r="8669" spans="1:2" x14ac:dyDescent="0.25">
      <c r="A8669" t="s">
        <v>9155</v>
      </c>
      <c r="B8669" s="9">
        <v>0</v>
      </c>
    </row>
    <row r="8670" spans="1:2" x14ac:dyDescent="0.25">
      <c r="A8670" t="s">
        <v>9156</v>
      </c>
      <c r="B8670" s="9">
        <v>0</v>
      </c>
    </row>
    <row r="8671" spans="1:2" x14ac:dyDescent="0.25">
      <c r="A8671" t="s">
        <v>9157</v>
      </c>
      <c r="B8671" s="9">
        <v>0.12</v>
      </c>
    </row>
    <row r="8672" spans="1:2" x14ac:dyDescent="0.25">
      <c r="A8672" t="s">
        <v>9158</v>
      </c>
      <c r="B8672" s="9">
        <v>0.05</v>
      </c>
    </row>
    <row r="8673" spans="1:2" x14ac:dyDescent="0.25">
      <c r="A8673" t="s">
        <v>9159</v>
      </c>
      <c r="B8673" s="9">
        <v>0.05</v>
      </c>
    </row>
    <row r="8674" spans="1:2" x14ac:dyDescent="0.25">
      <c r="A8674" t="s">
        <v>9160</v>
      </c>
      <c r="B8674" s="9">
        <v>0.03</v>
      </c>
    </row>
    <row r="8675" spans="1:2" x14ac:dyDescent="0.25">
      <c r="A8675" t="s">
        <v>9161</v>
      </c>
      <c r="B8675" s="9">
        <v>0</v>
      </c>
    </row>
    <row r="8676" spans="1:2" x14ac:dyDescent="0.25">
      <c r="A8676" t="s">
        <v>9162</v>
      </c>
      <c r="B8676" s="9">
        <v>0</v>
      </c>
    </row>
    <row r="8677" spans="1:2" x14ac:dyDescent="0.25">
      <c r="A8677" t="s">
        <v>9163</v>
      </c>
      <c r="B8677" s="9">
        <v>0</v>
      </c>
    </row>
    <row r="8678" spans="1:2" x14ac:dyDescent="0.25">
      <c r="A8678" t="s">
        <v>9164</v>
      </c>
      <c r="B8678" s="9">
        <v>0</v>
      </c>
    </row>
    <row r="8679" spans="1:2" x14ac:dyDescent="0.25">
      <c r="A8679" t="s">
        <v>9165</v>
      </c>
      <c r="B8679" s="9">
        <v>0</v>
      </c>
    </row>
    <row r="8680" spans="1:2" x14ac:dyDescent="0.25">
      <c r="A8680" t="s">
        <v>9166</v>
      </c>
      <c r="B8680" s="9">
        <v>0</v>
      </c>
    </row>
    <row r="8681" spans="1:2" x14ac:dyDescent="0.25">
      <c r="A8681" t="s">
        <v>9167</v>
      </c>
      <c r="B8681" s="9">
        <v>0</v>
      </c>
    </row>
    <row r="8682" spans="1:2" x14ac:dyDescent="0.25">
      <c r="A8682" t="s">
        <v>9168</v>
      </c>
      <c r="B8682" s="9">
        <v>0</v>
      </c>
    </row>
    <row r="8683" spans="1:2" x14ac:dyDescent="0.25">
      <c r="A8683" t="s">
        <v>9169</v>
      </c>
      <c r="B8683" s="9">
        <v>0</v>
      </c>
    </row>
    <row r="8684" spans="1:2" x14ac:dyDescent="0.25">
      <c r="A8684" t="s">
        <v>9170</v>
      </c>
      <c r="B8684" s="9">
        <v>0</v>
      </c>
    </row>
    <row r="8685" spans="1:2" x14ac:dyDescent="0.25">
      <c r="A8685" t="s">
        <v>9171</v>
      </c>
      <c r="B8685" s="9">
        <v>0</v>
      </c>
    </row>
    <row r="8686" spans="1:2" x14ac:dyDescent="0.25">
      <c r="A8686" t="s">
        <v>9172</v>
      </c>
      <c r="B8686" s="9">
        <v>0.05</v>
      </c>
    </row>
    <row r="8687" spans="1:2" x14ac:dyDescent="0.25">
      <c r="A8687" t="s">
        <v>9173</v>
      </c>
      <c r="B8687" s="9">
        <v>0.05</v>
      </c>
    </row>
    <row r="8688" spans="1:2" x14ac:dyDescent="0.25">
      <c r="A8688" t="s">
        <v>9174</v>
      </c>
      <c r="B8688" s="9">
        <v>0.03</v>
      </c>
    </row>
    <row r="8689" spans="1:2" x14ac:dyDescent="0.25">
      <c r="A8689" t="s">
        <v>9175</v>
      </c>
      <c r="B8689" s="9">
        <v>0.05</v>
      </c>
    </row>
    <row r="8690" spans="1:2" x14ac:dyDescent="0.25">
      <c r="A8690" t="s">
        <v>9176</v>
      </c>
      <c r="B8690" s="9">
        <v>0.05</v>
      </c>
    </row>
    <row r="8691" spans="1:2" x14ac:dyDescent="0.25">
      <c r="A8691" t="s">
        <v>9177</v>
      </c>
      <c r="B8691" s="9">
        <v>0.05</v>
      </c>
    </row>
    <row r="8692" spans="1:2" x14ac:dyDescent="0.25">
      <c r="A8692" t="s">
        <v>9178</v>
      </c>
      <c r="B8692" s="9">
        <v>0.05</v>
      </c>
    </row>
    <row r="8693" spans="1:2" x14ac:dyDescent="0.25">
      <c r="A8693" t="s">
        <v>9179</v>
      </c>
      <c r="B8693" s="9">
        <v>0.05</v>
      </c>
    </row>
    <row r="8694" spans="1:2" x14ac:dyDescent="0.25">
      <c r="A8694" t="s">
        <v>9180</v>
      </c>
      <c r="B8694" s="9">
        <v>0.05</v>
      </c>
    </row>
    <row r="8695" spans="1:2" x14ac:dyDescent="0.25">
      <c r="A8695" t="s">
        <v>9181</v>
      </c>
      <c r="B8695" s="9">
        <v>0.05</v>
      </c>
    </row>
    <row r="8696" spans="1:2" x14ac:dyDescent="0.25">
      <c r="A8696" t="s">
        <v>9182</v>
      </c>
      <c r="B8696" s="9">
        <v>0</v>
      </c>
    </row>
    <row r="8697" spans="1:2" x14ac:dyDescent="0.25">
      <c r="A8697" t="s">
        <v>9183</v>
      </c>
      <c r="B8697" s="9">
        <v>0</v>
      </c>
    </row>
    <row r="8698" spans="1:2" x14ac:dyDescent="0.25">
      <c r="A8698" t="s">
        <v>9184</v>
      </c>
      <c r="B8698" s="9">
        <v>0</v>
      </c>
    </row>
    <row r="8699" spans="1:2" x14ac:dyDescent="0.25">
      <c r="A8699" t="s">
        <v>9185</v>
      </c>
      <c r="B8699" s="9">
        <v>0</v>
      </c>
    </row>
    <row r="8700" spans="1:2" x14ac:dyDescent="0.25">
      <c r="A8700" t="s">
        <v>9186</v>
      </c>
      <c r="B8700" s="9">
        <v>0</v>
      </c>
    </row>
    <row r="8701" spans="1:2" x14ac:dyDescent="0.25">
      <c r="A8701" t="s">
        <v>9187</v>
      </c>
      <c r="B8701" s="9">
        <v>0</v>
      </c>
    </row>
    <row r="8702" spans="1:2" x14ac:dyDescent="0.25">
      <c r="A8702" t="s">
        <v>9188</v>
      </c>
      <c r="B8702" s="9">
        <v>0</v>
      </c>
    </row>
    <row r="8703" spans="1:2" x14ac:dyDescent="0.25">
      <c r="A8703" t="s">
        <v>9189</v>
      </c>
      <c r="B8703" s="9">
        <v>0</v>
      </c>
    </row>
    <row r="8704" spans="1:2" x14ac:dyDescent="0.25">
      <c r="A8704" t="s">
        <v>9190</v>
      </c>
      <c r="B8704" s="9">
        <v>0</v>
      </c>
    </row>
    <row r="8705" spans="1:2" x14ac:dyDescent="0.25">
      <c r="A8705" t="s">
        <v>9191</v>
      </c>
      <c r="B8705" s="9">
        <v>0</v>
      </c>
    </row>
    <row r="8706" spans="1:2" x14ac:dyDescent="0.25">
      <c r="A8706" t="s">
        <v>9192</v>
      </c>
      <c r="B8706" s="9">
        <v>0</v>
      </c>
    </row>
    <row r="8707" spans="1:2" x14ac:dyDescent="0.25">
      <c r="A8707" t="s">
        <v>9193</v>
      </c>
      <c r="B8707" s="9">
        <v>0.05</v>
      </c>
    </row>
    <row r="8708" spans="1:2" x14ac:dyDescent="0.25">
      <c r="A8708" t="s">
        <v>9194</v>
      </c>
      <c r="B8708" s="9">
        <v>0</v>
      </c>
    </row>
    <row r="8709" spans="1:2" x14ac:dyDescent="0.25">
      <c r="A8709" t="s">
        <v>9195</v>
      </c>
      <c r="B8709" s="9">
        <v>0</v>
      </c>
    </row>
    <row r="8710" spans="1:2" x14ac:dyDescent="0.25">
      <c r="A8710" t="s">
        <v>9196</v>
      </c>
      <c r="B8710" s="9">
        <v>0</v>
      </c>
    </row>
    <row r="8711" spans="1:2" x14ac:dyDescent="0.25">
      <c r="A8711" t="s">
        <v>9197</v>
      </c>
      <c r="B8711" s="9">
        <v>0</v>
      </c>
    </row>
    <row r="8712" spans="1:2" x14ac:dyDescent="0.25">
      <c r="A8712" t="s">
        <v>9198</v>
      </c>
      <c r="B8712" s="9">
        <v>0</v>
      </c>
    </row>
    <row r="8713" spans="1:2" x14ac:dyDescent="0.25">
      <c r="A8713" t="s">
        <v>9199</v>
      </c>
      <c r="B8713" s="9">
        <v>0</v>
      </c>
    </row>
    <row r="8714" spans="1:2" x14ac:dyDescent="0.25">
      <c r="A8714" t="s">
        <v>9200</v>
      </c>
      <c r="B8714" s="9">
        <v>0</v>
      </c>
    </row>
    <row r="8715" spans="1:2" x14ac:dyDescent="0.25">
      <c r="A8715" t="s">
        <v>9201</v>
      </c>
      <c r="B8715" s="9">
        <v>0</v>
      </c>
    </row>
    <row r="8716" spans="1:2" x14ac:dyDescent="0.25">
      <c r="A8716" t="s">
        <v>9202</v>
      </c>
      <c r="B8716" s="9">
        <v>0</v>
      </c>
    </row>
    <row r="8717" spans="1:2" x14ac:dyDescent="0.25">
      <c r="A8717" t="s">
        <v>9203</v>
      </c>
      <c r="B8717" s="9">
        <v>0.05</v>
      </c>
    </row>
    <row r="8718" spans="1:2" x14ac:dyDescent="0.25">
      <c r="A8718" t="s">
        <v>9204</v>
      </c>
      <c r="B8718" s="9">
        <v>0</v>
      </c>
    </row>
    <row r="8719" spans="1:2" x14ac:dyDescent="0.25">
      <c r="A8719" t="s">
        <v>9205</v>
      </c>
      <c r="B8719" s="9">
        <v>0</v>
      </c>
    </row>
    <row r="8720" spans="1:2" x14ac:dyDescent="0.25">
      <c r="A8720" t="s">
        <v>9206</v>
      </c>
      <c r="B8720" s="9">
        <v>0</v>
      </c>
    </row>
    <row r="8721" spans="1:2" x14ac:dyDescent="0.25">
      <c r="A8721" t="s">
        <v>9207</v>
      </c>
      <c r="B8721" s="9">
        <v>0</v>
      </c>
    </row>
    <row r="8722" spans="1:2" x14ac:dyDescent="0.25">
      <c r="A8722" t="s">
        <v>9208</v>
      </c>
      <c r="B8722" s="9">
        <v>0</v>
      </c>
    </row>
    <row r="8723" spans="1:2" x14ac:dyDescent="0.25">
      <c r="A8723" t="s">
        <v>9209</v>
      </c>
      <c r="B8723" s="9">
        <v>0</v>
      </c>
    </row>
    <row r="8724" spans="1:2" x14ac:dyDescent="0.25">
      <c r="A8724" t="s">
        <v>9210</v>
      </c>
      <c r="B8724" s="9">
        <v>0</v>
      </c>
    </row>
    <row r="8725" spans="1:2" x14ac:dyDescent="0.25">
      <c r="A8725" t="s">
        <v>9211</v>
      </c>
      <c r="B8725" s="9">
        <v>0</v>
      </c>
    </row>
    <row r="8726" spans="1:2" x14ac:dyDescent="0.25">
      <c r="A8726" t="s">
        <v>9212</v>
      </c>
      <c r="B8726" s="9">
        <v>0</v>
      </c>
    </row>
    <row r="8727" spans="1:2" x14ac:dyDescent="0.25">
      <c r="A8727" t="s">
        <v>9213</v>
      </c>
      <c r="B8727" s="9">
        <v>0</v>
      </c>
    </row>
    <row r="8728" spans="1:2" x14ac:dyDescent="0.25">
      <c r="A8728" t="s">
        <v>9214</v>
      </c>
      <c r="B8728" s="9">
        <v>0</v>
      </c>
    </row>
    <row r="8729" spans="1:2" x14ac:dyDescent="0.25">
      <c r="A8729" t="s">
        <v>9215</v>
      </c>
      <c r="B8729" s="9">
        <v>0</v>
      </c>
    </row>
    <row r="8730" spans="1:2" x14ac:dyDescent="0.25">
      <c r="A8730" t="s">
        <v>9216</v>
      </c>
      <c r="B8730" s="9">
        <v>0</v>
      </c>
    </row>
    <row r="8731" spans="1:2" x14ac:dyDescent="0.25">
      <c r="A8731" t="s">
        <v>9217</v>
      </c>
      <c r="B8731" s="9">
        <v>0</v>
      </c>
    </row>
    <row r="8732" spans="1:2" x14ac:dyDescent="0.25">
      <c r="A8732" t="s">
        <v>9218</v>
      </c>
      <c r="B8732" s="9">
        <v>0</v>
      </c>
    </row>
    <row r="8733" spans="1:2" x14ac:dyDescent="0.25">
      <c r="A8733" t="s">
        <v>9219</v>
      </c>
      <c r="B8733" s="9">
        <v>0</v>
      </c>
    </row>
    <row r="8734" spans="1:2" x14ac:dyDescent="0.25">
      <c r="A8734" t="s">
        <v>9220</v>
      </c>
      <c r="B8734" s="9">
        <v>0</v>
      </c>
    </row>
    <row r="8735" spans="1:2" x14ac:dyDescent="0.25">
      <c r="A8735" t="s">
        <v>9221</v>
      </c>
      <c r="B8735" s="9">
        <v>0</v>
      </c>
    </row>
    <row r="8736" spans="1:2" x14ac:dyDescent="0.25">
      <c r="A8736" t="s">
        <v>9222</v>
      </c>
      <c r="B8736" s="9">
        <v>0</v>
      </c>
    </row>
    <row r="8737" spans="1:2" x14ac:dyDescent="0.25">
      <c r="A8737" t="s">
        <v>9223</v>
      </c>
      <c r="B8737" s="9">
        <v>0</v>
      </c>
    </row>
    <row r="8738" spans="1:2" x14ac:dyDescent="0.25">
      <c r="A8738" t="s">
        <v>9224</v>
      </c>
      <c r="B8738" s="9">
        <v>0</v>
      </c>
    </row>
    <row r="8739" spans="1:2" x14ac:dyDescent="0.25">
      <c r="A8739" t="s">
        <v>9225</v>
      </c>
      <c r="B8739" s="9">
        <v>0</v>
      </c>
    </row>
    <row r="8740" spans="1:2" x14ac:dyDescent="0.25">
      <c r="A8740" t="s">
        <v>9226</v>
      </c>
      <c r="B8740" s="9">
        <v>0</v>
      </c>
    </row>
    <row r="8741" spans="1:2" x14ac:dyDescent="0.25">
      <c r="A8741" t="s">
        <v>9227</v>
      </c>
      <c r="B8741" s="9">
        <v>0</v>
      </c>
    </row>
    <row r="8742" spans="1:2" x14ac:dyDescent="0.25">
      <c r="A8742" t="s">
        <v>9228</v>
      </c>
      <c r="B8742" s="9">
        <v>0</v>
      </c>
    </row>
    <row r="8743" spans="1:2" x14ac:dyDescent="0.25">
      <c r="A8743" t="s">
        <v>9229</v>
      </c>
      <c r="B8743" s="9">
        <v>0</v>
      </c>
    </row>
    <row r="8744" spans="1:2" x14ac:dyDescent="0.25">
      <c r="A8744" t="s">
        <v>9230</v>
      </c>
      <c r="B8744" s="9">
        <v>0</v>
      </c>
    </row>
    <row r="8745" spans="1:2" x14ac:dyDescent="0.25">
      <c r="A8745" t="s">
        <v>9231</v>
      </c>
      <c r="B8745" s="9">
        <v>0</v>
      </c>
    </row>
    <row r="8746" spans="1:2" x14ac:dyDescent="0.25">
      <c r="A8746" t="s">
        <v>9232</v>
      </c>
      <c r="B8746" s="9">
        <v>0</v>
      </c>
    </row>
    <row r="8747" spans="1:2" x14ac:dyDescent="0.25">
      <c r="A8747" t="s">
        <v>9233</v>
      </c>
      <c r="B8747" s="9">
        <v>0</v>
      </c>
    </row>
    <row r="8748" spans="1:2" x14ac:dyDescent="0.25">
      <c r="A8748" t="s">
        <v>9234</v>
      </c>
      <c r="B8748" s="9">
        <v>0</v>
      </c>
    </row>
    <row r="8749" spans="1:2" x14ac:dyDescent="0.25">
      <c r="A8749" t="s">
        <v>9235</v>
      </c>
      <c r="B8749" s="9">
        <v>0</v>
      </c>
    </row>
    <row r="8750" spans="1:2" x14ac:dyDescent="0.25">
      <c r="A8750" t="s">
        <v>9236</v>
      </c>
      <c r="B8750" s="9">
        <v>0</v>
      </c>
    </row>
    <row r="8751" spans="1:2" x14ac:dyDescent="0.25">
      <c r="A8751" t="s">
        <v>9237</v>
      </c>
      <c r="B8751" s="9">
        <v>0</v>
      </c>
    </row>
    <row r="8752" spans="1:2" x14ac:dyDescent="0.25">
      <c r="A8752" t="s">
        <v>9238</v>
      </c>
      <c r="B8752" s="9">
        <v>0</v>
      </c>
    </row>
    <row r="8753" spans="1:2" x14ac:dyDescent="0.25">
      <c r="A8753" t="s">
        <v>9239</v>
      </c>
      <c r="B8753" s="9">
        <v>0</v>
      </c>
    </row>
    <row r="8754" spans="1:2" x14ac:dyDescent="0.25">
      <c r="A8754" t="s">
        <v>9240</v>
      </c>
      <c r="B8754" s="9">
        <v>0</v>
      </c>
    </row>
    <row r="8755" spans="1:2" x14ac:dyDescent="0.25">
      <c r="A8755" t="s">
        <v>9241</v>
      </c>
      <c r="B8755" s="9">
        <v>0</v>
      </c>
    </row>
    <row r="8756" spans="1:2" x14ac:dyDescent="0.25">
      <c r="A8756" t="s">
        <v>9242</v>
      </c>
      <c r="B8756" s="9">
        <v>0</v>
      </c>
    </row>
    <row r="8757" spans="1:2" x14ac:dyDescent="0.25">
      <c r="A8757" t="s">
        <v>9243</v>
      </c>
      <c r="B8757" s="9">
        <v>0</v>
      </c>
    </row>
    <row r="8758" spans="1:2" x14ac:dyDescent="0.25">
      <c r="A8758" t="s">
        <v>9244</v>
      </c>
      <c r="B8758" s="9">
        <v>0</v>
      </c>
    </row>
    <row r="8759" spans="1:2" x14ac:dyDescent="0.25">
      <c r="A8759" t="s">
        <v>9245</v>
      </c>
      <c r="B8759" s="9">
        <v>0</v>
      </c>
    </row>
    <row r="8760" spans="1:2" x14ac:dyDescent="0.25">
      <c r="A8760" t="s">
        <v>9246</v>
      </c>
      <c r="B8760" s="9">
        <v>0</v>
      </c>
    </row>
    <row r="8761" spans="1:2" x14ac:dyDescent="0.25">
      <c r="A8761" t="s">
        <v>9247</v>
      </c>
      <c r="B8761" s="9">
        <v>0</v>
      </c>
    </row>
    <row r="8762" spans="1:2" x14ac:dyDescent="0.25">
      <c r="A8762" t="s">
        <v>9248</v>
      </c>
      <c r="B8762" s="9">
        <v>0</v>
      </c>
    </row>
    <row r="8763" spans="1:2" x14ac:dyDescent="0.25">
      <c r="A8763" t="s">
        <v>9249</v>
      </c>
      <c r="B8763" s="9">
        <v>0</v>
      </c>
    </row>
    <row r="8764" spans="1:2" x14ac:dyDescent="0.25">
      <c r="A8764" t="s">
        <v>9250</v>
      </c>
      <c r="B8764" s="9">
        <v>0</v>
      </c>
    </row>
    <row r="8765" spans="1:2" x14ac:dyDescent="0.25">
      <c r="A8765" t="s">
        <v>9251</v>
      </c>
      <c r="B8765" s="9">
        <v>0</v>
      </c>
    </row>
    <row r="8766" spans="1:2" x14ac:dyDescent="0.25">
      <c r="A8766" t="s">
        <v>9252</v>
      </c>
      <c r="B8766" s="9">
        <v>0</v>
      </c>
    </row>
    <row r="8767" spans="1:2" x14ac:dyDescent="0.25">
      <c r="A8767" t="s">
        <v>9253</v>
      </c>
      <c r="B8767" s="9">
        <v>0</v>
      </c>
    </row>
    <row r="8768" spans="1:2" x14ac:dyDescent="0.25">
      <c r="A8768" t="s">
        <v>9254</v>
      </c>
      <c r="B8768" s="9">
        <v>0</v>
      </c>
    </row>
    <row r="8769" spans="1:2" x14ac:dyDescent="0.25">
      <c r="A8769" t="s">
        <v>9255</v>
      </c>
      <c r="B8769" s="9">
        <v>0</v>
      </c>
    </row>
    <row r="8770" spans="1:2" x14ac:dyDescent="0.25">
      <c r="A8770" t="s">
        <v>9256</v>
      </c>
      <c r="B8770" s="9">
        <v>0</v>
      </c>
    </row>
    <row r="8771" spans="1:2" x14ac:dyDescent="0.25">
      <c r="A8771" t="s">
        <v>9257</v>
      </c>
      <c r="B8771" s="9">
        <v>0</v>
      </c>
    </row>
    <row r="8772" spans="1:2" x14ac:dyDescent="0.25">
      <c r="A8772" t="s">
        <v>9258</v>
      </c>
      <c r="B8772" s="9">
        <v>0</v>
      </c>
    </row>
    <row r="8773" spans="1:2" x14ac:dyDescent="0.25">
      <c r="A8773" t="s">
        <v>9259</v>
      </c>
      <c r="B8773" s="9">
        <v>0</v>
      </c>
    </row>
    <row r="8774" spans="1:2" x14ac:dyDescent="0.25">
      <c r="A8774" t="s">
        <v>9260</v>
      </c>
      <c r="B8774" s="9">
        <v>0</v>
      </c>
    </row>
    <row r="8775" spans="1:2" x14ac:dyDescent="0.25">
      <c r="A8775" t="s">
        <v>9261</v>
      </c>
      <c r="B8775" s="9">
        <v>0</v>
      </c>
    </row>
    <row r="8776" spans="1:2" x14ac:dyDescent="0.25">
      <c r="A8776" t="s">
        <v>9262</v>
      </c>
      <c r="B8776" s="9">
        <v>0</v>
      </c>
    </row>
    <row r="8777" spans="1:2" x14ac:dyDescent="0.25">
      <c r="A8777" t="s">
        <v>9263</v>
      </c>
      <c r="B8777" s="9">
        <v>0</v>
      </c>
    </row>
    <row r="8778" spans="1:2" x14ac:dyDescent="0.25">
      <c r="A8778" t="s">
        <v>9264</v>
      </c>
      <c r="B8778" s="9">
        <v>0</v>
      </c>
    </row>
    <row r="8779" spans="1:2" x14ac:dyDescent="0.25">
      <c r="A8779" t="s">
        <v>9265</v>
      </c>
      <c r="B8779" s="9">
        <v>0</v>
      </c>
    </row>
    <row r="8780" spans="1:2" x14ac:dyDescent="0.25">
      <c r="A8780" t="s">
        <v>9266</v>
      </c>
      <c r="B8780" s="9">
        <v>0</v>
      </c>
    </row>
    <row r="8781" spans="1:2" x14ac:dyDescent="0.25">
      <c r="A8781" t="s">
        <v>9267</v>
      </c>
      <c r="B8781" s="9">
        <v>0</v>
      </c>
    </row>
    <row r="8782" spans="1:2" x14ac:dyDescent="0.25">
      <c r="A8782" t="s">
        <v>9268</v>
      </c>
      <c r="B8782" s="9">
        <v>0</v>
      </c>
    </row>
    <row r="8783" spans="1:2" x14ac:dyDescent="0.25">
      <c r="A8783" t="s">
        <v>9269</v>
      </c>
      <c r="B8783" s="9">
        <v>0</v>
      </c>
    </row>
    <row r="8784" spans="1:2" x14ac:dyDescent="0.25">
      <c r="A8784" t="s">
        <v>9270</v>
      </c>
      <c r="B8784" s="9">
        <v>0</v>
      </c>
    </row>
    <row r="8785" spans="1:2" x14ac:dyDescent="0.25">
      <c r="A8785" t="s">
        <v>9271</v>
      </c>
      <c r="B8785" s="9">
        <v>0</v>
      </c>
    </row>
    <row r="8786" spans="1:2" x14ac:dyDescent="0.25">
      <c r="A8786" t="s">
        <v>9272</v>
      </c>
      <c r="B8786" s="9">
        <v>0</v>
      </c>
    </row>
    <row r="8787" spans="1:2" x14ac:dyDescent="0.25">
      <c r="A8787" t="s">
        <v>9273</v>
      </c>
      <c r="B8787" s="9">
        <v>0</v>
      </c>
    </row>
    <row r="8788" spans="1:2" x14ac:dyDescent="0.25">
      <c r="A8788" t="s">
        <v>9274</v>
      </c>
      <c r="B8788" s="9">
        <v>0</v>
      </c>
    </row>
    <row r="8789" spans="1:2" x14ac:dyDescent="0.25">
      <c r="A8789" t="s">
        <v>9275</v>
      </c>
      <c r="B8789" s="9">
        <v>0</v>
      </c>
    </row>
    <row r="8790" spans="1:2" x14ac:dyDescent="0.25">
      <c r="A8790" t="s">
        <v>9276</v>
      </c>
      <c r="B8790" s="9">
        <v>0</v>
      </c>
    </row>
    <row r="8791" spans="1:2" x14ac:dyDescent="0.25">
      <c r="A8791" t="s">
        <v>9277</v>
      </c>
      <c r="B8791" s="9">
        <v>0</v>
      </c>
    </row>
    <row r="8792" spans="1:2" x14ac:dyDescent="0.25">
      <c r="A8792" t="s">
        <v>9278</v>
      </c>
      <c r="B8792" s="9">
        <v>0</v>
      </c>
    </row>
    <row r="8793" spans="1:2" x14ac:dyDescent="0.25">
      <c r="A8793" t="s">
        <v>9279</v>
      </c>
      <c r="B8793" s="9">
        <v>0</v>
      </c>
    </row>
    <row r="8794" spans="1:2" x14ac:dyDescent="0.25">
      <c r="A8794" t="s">
        <v>9280</v>
      </c>
      <c r="B8794" s="9">
        <v>0</v>
      </c>
    </row>
    <row r="8795" spans="1:2" x14ac:dyDescent="0.25">
      <c r="A8795" t="s">
        <v>9281</v>
      </c>
      <c r="B8795" s="9">
        <v>0</v>
      </c>
    </row>
    <row r="8796" spans="1:2" x14ac:dyDescent="0.25">
      <c r="A8796" t="s">
        <v>9282</v>
      </c>
      <c r="B8796" s="9">
        <v>0</v>
      </c>
    </row>
    <row r="8797" spans="1:2" x14ac:dyDescent="0.25">
      <c r="A8797" t="s">
        <v>9283</v>
      </c>
      <c r="B8797" s="9">
        <v>0</v>
      </c>
    </row>
    <row r="8798" spans="1:2" x14ac:dyDescent="0.25">
      <c r="A8798" t="s">
        <v>9284</v>
      </c>
      <c r="B8798" s="9">
        <v>0</v>
      </c>
    </row>
    <row r="8799" spans="1:2" x14ac:dyDescent="0.25">
      <c r="A8799" t="s">
        <v>9285</v>
      </c>
      <c r="B8799" s="9">
        <v>0</v>
      </c>
    </row>
    <row r="8800" spans="1:2" x14ac:dyDescent="0.25">
      <c r="A8800" t="s">
        <v>9286</v>
      </c>
      <c r="B8800" s="9">
        <v>0</v>
      </c>
    </row>
    <row r="8801" spans="1:2" x14ac:dyDescent="0.25">
      <c r="A8801" t="s">
        <v>9287</v>
      </c>
      <c r="B8801" s="9">
        <v>0</v>
      </c>
    </row>
    <row r="8802" spans="1:2" x14ac:dyDescent="0.25">
      <c r="A8802" t="s">
        <v>9288</v>
      </c>
      <c r="B8802" s="9">
        <v>0</v>
      </c>
    </row>
    <row r="8803" spans="1:2" x14ac:dyDescent="0.25">
      <c r="A8803" t="s">
        <v>9289</v>
      </c>
      <c r="B8803" s="9">
        <v>0</v>
      </c>
    </row>
    <row r="8804" spans="1:2" x14ac:dyDescent="0.25">
      <c r="A8804" t="s">
        <v>9290</v>
      </c>
      <c r="B8804" s="9">
        <v>0</v>
      </c>
    </row>
    <row r="8805" spans="1:2" x14ac:dyDescent="0.25">
      <c r="A8805" t="s">
        <v>9291</v>
      </c>
      <c r="B8805" s="9">
        <v>0</v>
      </c>
    </row>
    <row r="8806" spans="1:2" x14ac:dyDescent="0.25">
      <c r="A8806" t="s">
        <v>9292</v>
      </c>
      <c r="B8806" s="9">
        <v>0</v>
      </c>
    </row>
    <row r="8807" spans="1:2" x14ac:dyDescent="0.25">
      <c r="A8807" t="s">
        <v>9293</v>
      </c>
      <c r="B8807" s="9">
        <v>0</v>
      </c>
    </row>
    <row r="8808" spans="1:2" x14ac:dyDescent="0.25">
      <c r="A8808" t="s">
        <v>9294</v>
      </c>
      <c r="B8808" s="9">
        <v>0</v>
      </c>
    </row>
    <row r="8809" spans="1:2" x14ac:dyDescent="0.25">
      <c r="A8809" t="s">
        <v>9295</v>
      </c>
      <c r="B8809" s="9">
        <v>0</v>
      </c>
    </row>
    <row r="8810" spans="1:2" x14ac:dyDescent="0.25">
      <c r="A8810" t="s">
        <v>9296</v>
      </c>
      <c r="B8810" s="9">
        <v>0</v>
      </c>
    </row>
    <row r="8811" spans="1:2" x14ac:dyDescent="0.25">
      <c r="A8811" t="s">
        <v>9297</v>
      </c>
      <c r="B8811" s="9">
        <v>0</v>
      </c>
    </row>
    <row r="8812" spans="1:2" x14ac:dyDescent="0.25">
      <c r="A8812" t="s">
        <v>9298</v>
      </c>
      <c r="B8812" s="9">
        <v>0</v>
      </c>
    </row>
    <row r="8813" spans="1:2" x14ac:dyDescent="0.25">
      <c r="A8813" t="s">
        <v>9299</v>
      </c>
      <c r="B8813" s="9">
        <v>0</v>
      </c>
    </row>
    <row r="8814" spans="1:2" x14ac:dyDescent="0.25">
      <c r="A8814" t="s">
        <v>9300</v>
      </c>
      <c r="B8814" s="9">
        <v>0</v>
      </c>
    </row>
    <row r="8815" spans="1:2" x14ac:dyDescent="0.25">
      <c r="A8815" t="s">
        <v>9301</v>
      </c>
      <c r="B8815" s="9">
        <v>0</v>
      </c>
    </row>
    <row r="8816" spans="1:2" x14ac:dyDescent="0.25">
      <c r="A8816" t="s">
        <v>9302</v>
      </c>
      <c r="B8816" s="9">
        <v>0</v>
      </c>
    </row>
    <row r="8817" spans="1:2" x14ac:dyDescent="0.25">
      <c r="A8817" t="s">
        <v>9303</v>
      </c>
      <c r="B8817" s="9">
        <v>0</v>
      </c>
    </row>
    <row r="8818" spans="1:2" x14ac:dyDescent="0.25">
      <c r="A8818" t="s">
        <v>9304</v>
      </c>
      <c r="B8818" s="9">
        <v>0</v>
      </c>
    </row>
    <row r="8819" spans="1:2" x14ac:dyDescent="0.25">
      <c r="A8819" t="s">
        <v>9305</v>
      </c>
      <c r="B8819" s="9">
        <v>0</v>
      </c>
    </row>
    <row r="8820" spans="1:2" x14ac:dyDescent="0.25">
      <c r="A8820" t="s">
        <v>9306</v>
      </c>
      <c r="B8820" s="9">
        <v>0</v>
      </c>
    </row>
    <row r="8821" spans="1:2" x14ac:dyDescent="0.25">
      <c r="A8821" t="s">
        <v>9307</v>
      </c>
      <c r="B8821" s="9">
        <v>0</v>
      </c>
    </row>
    <row r="8822" spans="1:2" x14ac:dyDescent="0.25">
      <c r="A8822" t="s">
        <v>9308</v>
      </c>
      <c r="B8822" s="9">
        <v>0</v>
      </c>
    </row>
    <row r="8823" spans="1:2" x14ac:dyDescent="0.25">
      <c r="A8823" t="s">
        <v>9309</v>
      </c>
      <c r="B8823" s="9">
        <v>0</v>
      </c>
    </row>
    <row r="8824" spans="1:2" x14ac:dyDescent="0.25">
      <c r="A8824" t="s">
        <v>9310</v>
      </c>
      <c r="B8824" s="9">
        <v>0</v>
      </c>
    </row>
    <row r="8825" spans="1:2" x14ac:dyDescent="0.25">
      <c r="A8825" t="s">
        <v>9311</v>
      </c>
      <c r="B8825" s="9">
        <v>0</v>
      </c>
    </row>
    <row r="8826" spans="1:2" x14ac:dyDescent="0.25">
      <c r="A8826" t="s">
        <v>9312</v>
      </c>
      <c r="B8826" s="9">
        <v>0</v>
      </c>
    </row>
    <row r="8827" spans="1:2" x14ac:dyDescent="0.25">
      <c r="A8827" t="s">
        <v>9313</v>
      </c>
      <c r="B8827" s="9">
        <v>0</v>
      </c>
    </row>
    <row r="8828" spans="1:2" x14ac:dyDescent="0.25">
      <c r="A8828" t="s">
        <v>9314</v>
      </c>
      <c r="B8828" s="9">
        <v>0</v>
      </c>
    </row>
    <row r="8829" spans="1:2" x14ac:dyDescent="0.25">
      <c r="A8829" t="s">
        <v>9315</v>
      </c>
      <c r="B8829" s="9">
        <v>0</v>
      </c>
    </row>
    <row r="8830" spans="1:2" x14ac:dyDescent="0.25">
      <c r="A8830" t="s">
        <v>9316</v>
      </c>
      <c r="B8830" s="9">
        <v>0</v>
      </c>
    </row>
    <row r="8831" spans="1:2" x14ac:dyDescent="0.25">
      <c r="A8831" t="s">
        <v>9317</v>
      </c>
      <c r="B8831" s="9">
        <v>0</v>
      </c>
    </row>
    <row r="8832" spans="1:2" x14ac:dyDescent="0.25">
      <c r="A8832" t="s">
        <v>9318</v>
      </c>
      <c r="B8832" s="9">
        <v>0</v>
      </c>
    </row>
    <row r="8833" spans="1:3" x14ac:dyDescent="0.25">
      <c r="A8833" t="s">
        <v>9319</v>
      </c>
      <c r="B8833" s="9">
        <v>0</v>
      </c>
    </row>
    <row r="8834" spans="1:3" x14ac:dyDescent="0.25">
      <c r="A8834" t="s">
        <v>9320</v>
      </c>
      <c r="B8834" s="9">
        <v>0</v>
      </c>
    </row>
    <row r="8835" spans="1:3" x14ac:dyDescent="0.25">
      <c r="A8835" t="s">
        <v>9321</v>
      </c>
      <c r="B8835" s="9">
        <v>0</v>
      </c>
    </row>
    <row r="8836" spans="1:3" x14ac:dyDescent="0.25">
      <c r="A8836" t="s">
        <v>9322</v>
      </c>
      <c r="B8836" s="9">
        <v>0</v>
      </c>
    </row>
    <row r="8837" spans="1:3" x14ac:dyDescent="0.25">
      <c r="A8837" t="s">
        <v>9323</v>
      </c>
      <c r="B8837" s="9">
        <v>0</v>
      </c>
    </row>
    <row r="8838" spans="1:3" x14ac:dyDescent="0.25">
      <c r="A8838" t="s">
        <v>9324</v>
      </c>
      <c r="B8838" s="9">
        <v>0</v>
      </c>
    </row>
    <row r="8839" spans="1:3" x14ac:dyDescent="0.25">
      <c r="A8839" t="s">
        <v>125</v>
      </c>
      <c r="B8839" s="9">
        <v>0</v>
      </c>
      <c r="C8839" t="s">
        <v>125</v>
      </c>
    </row>
    <row r="8840" spans="1:3" x14ac:dyDescent="0.25">
      <c r="A8840" t="s">
        <v>9325</v>
      </c>
      <c r="B8840" s="9">
        <v>0</v>
      </c>
    </row>
    <row r="8841" spans="1:3" x14ac:dyDescent="0.25">
      <c r="A8841" t="s">
        <v>9326</v>
      </c>
      <c r="B8841" s="9">
        <v>0</v>
      </c>
    </row>
    <row r="8842" spans="1:3" x14ac:dyDescent="0.25">
      <c r="A8842" t="s">
        <v>9327</v>
      </c>
      <c r="B8842" s="9">
        <v>0.05</v>
      </c>
    </row>
    <row r="8843" spans="1:3" x14ac:dyDescent="0.25">
      <c r="A8843" t="s">
        <v>9328</v>
      </c>
      <c r="B8843" s="9">
        <v>0</v>
      </c>
    </row>
    <row r="8844" spans="1:3" x14ac:dyDescent="0.25">
      <c r="A8844" t="s">
        <v>9329</v>
      </c>
      <c r="B8844" s="9">
        <v>0</v>
      </c>
    </row>
    <row r="8845" spans="1:3" x14ac:dyDescent="0.25">
      <c r="A8845" t="s">
        <v>9330</v>
      </c>
      <c r="B8845" s="9">
        <v>0</v>
      </c>
    </row>
    <row r="8846" spans="1:3" x14ac:dyDescent="0.25">
      <c r="A8846" t="s">
        <v>9331</v>
      </c>
      <c r="B8846" s="9">
        <v>0</v>
      </c>
    </row>
    <row r="8847" spans="1:3" x14ac:dyDescent="0.25">
      <c r="A8847" t="s">
        <v>9332</v>
      </c>
      <c r="B8847" s="9">
        <v>0</v>
      </c>
    </row>
    <row r="8848" spans="1:3" x14ac:dyDescent="0.25">
      <c r="A8848" t="s">
        <v>9333</v>
      </c>
      <c r="B8848" s="9">
        <v>0</v>
      </c>
    </row>
    <row r="8849" spans="1:2" x14ac:dyDescent="0.25">
      <c r="A8849" t="s">
        <v>9334</v>
      </c>
      <c r="B8849" s="9">
        <v>0</v>
      </c>
    </row>
    <row r="8850" spans="1:2" x14ac:dyDescent="0.25">
      <c r="A8850" t="s">
        <v>9335</v>
      </c>
      <c r="B8850" s="9">
        <v>0</v>
      </c>
    </row>
    <row r="8851" spans="1:2" x14ac:dyDescent="0.25">
      <c r="A8851" t="s">
        <v>9336</v>
      </c>
      <c r="B8851" s="9">
        <v>0</v>
      </c>
    </row>
    <row r="8852" spans="1:2" x14ac:dyDescent="0.25">
      <c r="A8852" t="s">
        <v>9337</v>
      </c>
      <c r="B8852" s="9">
        <v>0</v>
      </c>
    </row>
    <row r="8853" spans="1:2" x14ac:dyDescent="0.25">
      <c r="A8853" t="s">
        <v>9338</v>
      </c>
      <c r="B8853" s="9">
        <v>0.05</v>
      </c>
    </row>
    <row r="8854" spans="1:2" x14ac:dyDescent="0.25">
      <c r="A8854" t="s">
        <v>9339</v>
      </c>
      <c r="B8854" s="9">
        <v>0.05</v>
      </c>
    </row>
    <row r="8855" spans="1:2" x14ac:dyDescent="0.25">
      <c r="A8855" t="s">
        <v>9340</v>
      </c>
      <c r="B8855" s="9">
        <v>0.05</v>
      </c>
    </row>
    <row r="8856" spans="1:2" x14ac:dyDescent="0.25">
      <c r="A8856" t="s">
        <v>9341</v>
      </c>
      <c r="B8856" s="9">
        <v>0.08</v>
      </c>
    </row>
    <row r="8857" spans="1:2" x14ac:dyDescent="0.25">
      <c r="A8857" t="s">
        <v>9342</v>
      </c>
      <c r="B8857" s="9">
        <v>0.08</v>
      </c>
    </row>
    <row r="8858" spans="1:2" x14ac:dyDescent="0.25">
      <c r="A8858" t="s">
        <v>9343</v>
      </c>
      <c r="B8858" s="9">
        <v>0.08</v>
      </c>
    </row>
    <row r="8859" spans="1:2" x14ac:dyDescent="0.25">
      <c r="A8859" t="s">
        <v>9344</v>
      </c>
      <c r="B8859" s="9">
        <v>0.08</v>
      </c>
    </row>
    <row r="8860" spans="1:2" x14ac:dyDescent="0.25">
      <c r="A8860" t="s">
        <v>9345</v>
      </c>
      <c r="B8860" s="9">
        <v>0.08</v>
      </c>
    </row>
    <row r="8861" spans="1:2" x14ac:dyDescent="0.25">
      <c r="A8861" t="s">
        <v>9346</v>
      </c>
      <c r="B8861" s="9">
        <v>0.08</v>
      </c>
    </row>
    <row r="8862" spans="1:2" x14ac:dyDescent="0.25">
      <c r="A8862" t="s">
        <v>9347</v>
      </c>
      <c r="B8862" s="9">
        <v>0.08</v>
      </c>
    </row>
    <row r="8863" spans="1:2" x14ac:dyDescent="0.25">
      <c r="A8863" t="s">
        <v>9348</v>
      </c>
      <c r="B8863" s="9">
        <v>0.08</v>
      </c>
    </row>
    <row r="8864" spans="1:2" x14ac:dyDescent="0.25">
      <c r="A8864" t="s">
        <v>9349</v>
      </c>
      <c r="B8864" s="9">
        <v>0.08</v>
      </c>
    </row>
    <row r="8865" spans="1:2" x14ac:dyDescent="0.25">
      <c r="A8865" t="s">
        <v>9350</v>
      </c>
      <c r="B8865" s="9">
        <v>0.08</v>
      </c>
    </row>
    <row r="8866" spans="1:2" x14ac:dyDescent="0.25">
      <c r="A8866" t="s">
        <v>9351</v>
      </c>
      <c r="B8866" s="9">
        <v>0.08</v>
      </c>
    </row>
    <row r="8867" spans="1:2" x14ac:dyDescent="0.25">
      <c r="A8867" t="s">
        <v>9352</v>
      </c>
      <c r="B8867" s="9">
        <v>0.08</v>
      </c>
    </row>
    <row r="8868" spans="1:2" x14ac:dyDescent="0.25">
      <c r="A8868" t="s">
        <v>9353</v>
      </c>
      <c r="B8868" s="9">
        <v>0.05</v>
      </c>
    </row>
    <row r="8869" spans="1:2" x14ac:dyDescent="0.25">
      <c r="A8869" t="s">
        <v>9354</v>
      </c>
      <c r="B8869" s="9">
        <v>0</v>
      </c>
    </row>
    <row r="8870" spans="1:2" x14ac:dyDescent="0.25">
      <c r="A8870" t="s">
        <v>9355</v>
      </c>
      <c r="B8870" s="9">
        <v>0</v>
      </c>
    </row>
    <row r="8871" spans="1:2" x14ac:dyDescent="0.25">
      <c r="A8871" t="s">
        <v>9356</v>
      </c>
      <c r="B8871" s="9">
        <v>0</v>
      </c>
    </row>
    <row r="8872" spans="1:2" x14ac:dyDescent="0.25">
      <c r="A8872" t="s">
        <v>9357</v>
      </c>
      <c r="B8872" s="9">
        <v>0.05</v>
      </c>
    </row>
    <row r="8873" spans="1:2" x14ac:dyDescent="0.25">
      <c r="A8873" t="s">
        <v>9358</v>
      </c>
      <c r="B8873" s="9">
        <v>0.05</v>
      </c>
    </row>
    <row r="8874" spans="1:2" x14ac:dyDescent="0.25">
      <c r="A8874" t="s">
        <v>9359</v>
      </c>
      <c r="B8874" s="9">
        <v>0.05</v>
      </c>
    </row>
    <row r="8875" spans="1:2" x14ac:dyDescent="0.25">
      <c r="A8875" t="s">
        <v>9360</v>
      </c>
      <c r="B8875" s="9">
        <v>0.15</v>
      </c>
    </row>
    <row r="8876" spans="1:2" x14ac:dyDescent="0.25">
      <c r="A8876" t="s">
        <v>9361</v>
      </c>
      <c r="B8876" s="9">
        <v>0</v>
      </c>
    </row>
    <row r="8877" spans="1:2" x14ac:dyDescent="0.25">
      <c r="A8877" t="s">
        <v>9362</v>
      </c>
      <c r="B8877" s="9">
        <v>0.15</v>
      </c>
    </row>
    <row r="8878" spans="1:2" x14ac:dyDescent="0.25">
      <c r="A8878" t="s">
        <v>9363</v>
      </c>
      <c r="B8878" s="9">
        <v>0.15</v>
      </c>
    </row>
    <row r="8879" spans="1:2" x14ac:dyDescent="0.25">
      <c r="A8879" t="s">
        <v>9364</v>
      </c>
      <c r="B8879" s="9">
        <v>0.15</v>
      </c>
    </row>
    <row r="8880" spans="1:2" x14ac:dyDescent="0.25">
      <c r="A8880" t="s">
        <v>9365</v>
      </c>
      <c r="B8880" s="9">
        <v>0.15</v>
      </c>
    </row>
    <row r="8881" spans="1:2" x14ac:dyDescent="0.25">
      <c r="A8881" t="s">
        <v>9366</v>
      </c>
      <c r="B8881" s="9">
        <v>0.15</v>
      </c>
    </row>
    <row r="8882" spans="1:2" x14ac:dyDescent="0.25">
      <c r="A8882" t="s">
        <v>9367</v>
      </c>
      <c r="B8882" s="9">
        <v>0.15</v>
      </c>
    </row>
    <row r="8883" spans="1:2" x14ac:dyDescent="0.25">
      <c r="A8883" t="s">
        <v>9368</v>
      </c>
      <c r="B8883" s="9">
        <v>0.15</v>
      </c>
    </row>
    <row r="8884" spans="1:2" x14ac:dyDescent="0.25">
      <c r="A8884" t="s">
        <v>9369</v>
      </c>
      <c r="B8884" s="9">
        <v>0.15</v>
      </c>
    </row>
    <row r="8885" spans="1:2" x14ac:dyDescent="0.25">
      <c r="A8885" t="s">
        <v>9370</v>
      </c>
      <c r="B8885" s="9">
        <v>0.15</v>
      </c>
    </row>
    <row r="8886" spans="1:2" x14ac:dyDescent="0.25">
      <c r="A8886" t="s">
        <v>9371</v>
      </c>
      <c r="B8886" s="9">
        <v>0.15</v>
      </c>
    </row>
    <row r="8887" spans="1:2" x14ac:dyDescent="0.25">
      <c r="A8887" t="s">
        <v>9372</v>
      </c>
      <c r="B8887" s="9">
        <v>0.15</v>
      </c>
    </row>
    <row r="8888" spans="1:2" x14ac:dyDescent="0.25">
      <c r="A8888" t="s">
        <v>9373</v>
      </c>
      <c r="B8888" s="9">
        <v>0.15</v>
      </c>
    </row>
    <row r="8889" spans="1:2" x14ac:dyDescent="0.25">
      <c r="A8889" t="s">
        <v>9374</v>
      </c>
      <c r="B8889" s="9">
        <v>0.15</v>
      </c>
    </row>
    <row r="8890" spans="1:2" x14ac:dyDescent="0.25">
      <c r="A8890" t="s">
        <v>9375</v>
      </c>
      <c r="B8890" s="9">
        <v>0.15</v>
      </c>
    </row>
    <row r="8891" spans="1:2" x14ac:dyDescent="0.25">
      <c r="A8891" t="s">
        <v>9376</v>
      </c>
      <c r="B8891" s="9">
        <v>0.15</v>
      </c>
    </row>
    <row r="8892" spans="1:2" x14ac:dyDescent="0.25">
      <c r="A8892" t="s">
        <v>9377</v>
      </c>
      <c r="B8892" s="9">
        <v>0.15</v>
      </c>
    </row>
    <row r="8893" spans="1:2" x14ac:dyDescent="0.25">
      <c r="A8893" t="s">
        <v>9378</v>
      </c>
      <c r="B8893" s="9">
        <v>0.15</v>
      </c>
    </row>
    <row r="8894" spans="1:2" x14ac:dyDescent="0.25">
      <c r="A8894" t="s">
        <v>9379</v>
      </c>
      <c r="B8894" s="9">
        <v>0.15</v>
      </c>
    </row>
    <row r="8895" spans="1:2" x14ac:dyDescent="0.25">
      <c r="A8895" t="s">
        <v>9380</v>
      </c>
      <c r="B8895" s="9">
        <v>0.15</v>
      </c>
    </row>
    <row r="8896" spans="1:2" x14ac:dyDescent="0.25">
      <c r="A8896" t="s">
        <v>9381</v>
      </c>
      <c r="B8896" s="9">
        <v>0.15</v>
      </c>
    </row>
    <row r="8897" spans="1:2" x14ac:dyDescent="0.25">
      <c r="A8897" t="s">
        <v>9382</v>
      </c>
      <c r="B8897" s="9">
        <v>0.15</v>
      </c>
    </row>
    <row r="8898" spans="1:2" x14ac:dyDescent="0.25">
      <c r="A8898" t="s">
        <v>9383</v>
      </c>
      <c r="B8898" s="9">
        <v>0</v>
      </c>
    </row>
    <row r="8899" spans="1:2" x14ac:dyDescent="0.25">
      <c r="A8899" t="s">
        <v>9384</v>
      </c>
      <c r="B8899" s="9">
        <v>0.15</v>
      </c>
    </row>
    <row r="8900" spans="1:2" x14ac:dyDescent="0.25">
      <c r="A8900" t="s">
        <v>9385</v>
      </c>
      <c r="B8900" s="9">
        <v>0</v>
      </c>
    </row>
    <row r="8901" spans="1:2" x14ac:dyDescent="0.25">
      <c r="A8901" t="s">
        <v>9386</v>
      </c>
      <c r="B8901" s="9">
        <v>0</v>
      </c>
    </row>
    <row r="8902" spans="1:2" x14ac:dyDescent="0.25">
      <c r="A8902" t="s">
        <v>9387</v>
      </c>
      <c r="B8902" s="9">
        <v>0.15</v>
      </c>
    </row>
    <row r="8903" spans="1:2" x14ac:dyDescent="0.25">
      <c r="A8903" t="s">
        <v>9388</v>
      </c>
      <c r="B8903" s="9">
        <v>0.15</v>
      </c>
    </row>
    <row r="8904" spans="1:2" x14ac:dyDescent="0.25">
      <c r="A8904" t="s">
        <v>9389</v>
      </c>
      <c r="B8904" s="9">
        <v>0.15</v>
      </c>
    </row>
    <row r="8905" spans="1:2" x14ac:dyDescent="0.25">
      <c r="A8905" t="s">
        <v>9390</v>
      </c>
      <c r="B8905" s="9">
        <v>0.15</v>
      </c>
    </row>
    <row r="8906" spans="1:2" x14ac:dyDescent="0.25">
      <c r="A8906" t="s">
        <v>9391</v>
      </c>
      <c r="B8906" s="9">
        <v>0.15</v>
      </c>
    </row>
    <row r="8907" spans="1:2" x14ac:dyDescent="0.25">
      <c r="A8907" t="s">
        <v>9392</v>
      </c>
      <c r="B8907" s="9">
        <v>0.15</v>
      </c>
    </row>
    <row r="8908" spans="1:2" x14ac:dyDescent="0.25">
      <c r="A8908" t="s">
        <v>9393</v>
      </c>
      <c r="B8908" s="9">
        <v>0</v>
      </c>
    </row>
    <row r="8909" spans="1:2" x14ac:dyDescent="0.25">
      <c r="A8909" t="s">
        <v>9394</v>
      </c>
      <c r="B8909" s="9">
        <v>0.1</v>
      </c>
    </row>
    <row r="8910" spans="1:2" x14ac:dyDescent="0.25">
      <c r="A8910" t="s">
        <v>9395</v>
      </c>
      <c r="B8910" s="9">
        <v>0.1</v>
      </c>
    </row>
    <row r="8911" spans="1:2" x14ac:dyDescent="0.25">
      <c r="A8911" t="s">
        <v>9396</v>
      </c>
      <c r="B8911" s="9">
        <v>0.15</v>
      </c>
    </row>
    <row r="8912" spans="1:2" x14ac:dyDescent="0.25">
      <c r="A8912" t="s">
        <v>9397</v>
      </c>
      <c r="B8912" s="9">
        <v>0.1</v>
      </c>
    </row>
    <row r="8913" spans="1:2" x14ac:dyDescent="0.25">
      <c r="A8913" t="s">
        <v>9398</v>
      </c>
      <c r="B8913" s="9">
        <v>0.1</v>
      </c>
    </row>
    <row r="8914" spans="1:2" x14ac:dyDescent="0.25">
      <c r="A8914" t="s">
        <v>9399</v>
      </c>
      <c r="B8914" s="9">
        <v>0.15</v>
      </c>
    </row>
    <row r="8915" spans="1:2" x14ac:dyDescent="0.25">
      <c r="A8915" t="s">
        <v>9400</v>
      </c>
      <c r="B8915" s="9">
        <v>0.15</v>
      </c>
    </row>
    <row r="8916" spans="1:2" x14ac:dyDescent="0.25">
      <c r="A8916" t="s">
        <v>9401</v>
      </c>
      <c r="B8916" s="9">
        <v>0.15</v>
      </c>
    </row>
    <row r="8917" spans="1:2" x14ac:dyDescent="0.25">
      <c r="A8917" t="s">
        <v>9402</v>
      </c>
      <c r="B8917" s="9">
        <v>0.15</v>
      </c>
    </row>
    <row r="8918" spans="1:2" x14ac:dyDescent="0.25">
      <c r="A8918" t="s">
        <v>9403</v>
      </c>
      <c r="B8918" s="9">
        <v>0.15</v>
      </c>
    </row>
    <row r="8919" spans="1:2" x14ac:dyDescent="0.25">
      <c r="A8919" t="s">
        <v>9404</v>
      </c>
      <c r="B8919" s="9">
        <v>0.15</v>
      </c>
    </row>
    <row r="8920" spans="1:2" x14ac:dyDescent="0.25">
      <c r="A8920" t="s">
        <v>9405</v>
      </c>
      <c r="B8920" s="9">
        <v>0.15</v>
      </c>
    </row>
    <row r="8921" spans="1:2" x14ac:dyDescent="0.25">
      <c r="A8921" t="s">
        <v>9406</v>
      </c>
      <c r="B8921" s="9">
        <v>0.15</v>
      </c>
    </row>
    <row r="8922" spans="1:2" x14ac:dyDescent="0.25">
      <c r="A8922" t="s">
        <v>9407</v>
      </c>
      <c r="B8922" s="9">
        <v>0.15</v>
      </c>
    </row>
    <row r="8923" spans="1:2" x14ac:dyDescent="0.25">
      <c r="A8923" t="s">
        <v>9408</v>
      </c>
      <c r="B8923" s="9">
        <v>0</v>
      </c>
    </row>
    <row r="8924" spans="1:2" x14ac:dyDescent="0.25">
      <c r="A8924" t="s">
        <v>9409</v>
      </c>
      <c r="B8924" s="9">
        <v>0.15</v>
      </c>
    </row>
    <row r="8925" spans="1:2" x14ac:dyDescent="0.25">
      <c r="A8925" t="s">
        <v>9410</v>
      </c>
      <c r="B8925" s="9">
        <v>0.15</v>
      </c>
    </row>
    <row r="8926" spans="1:2" x14ac:dyDescent="0.25">
      <c r="A8926" t="s">
        <v>9411</v>
      </c>
      <c r="B8926" s="9">
        <v>0.2</v>
      </c>
    </row>
    <row r="8927" spans="1:2" x14ac:dyDescent="0.25">
      <c r="A8927" t="s">
        <v>9412</v>
      </c>
      <c r="B8927" s="9">
        <v>0</v>
      </c>
    </row>
    <row r="8928" spans="1:2" x14ac:dyDescent="0.25">
      <c r="A8928" t="s">
        <v>9413</v>
      </c>
      <c r="B8928" s="9">
        <v>0.2</v>
      </c>
    </row>
    <row r="8929" spans="1:2" x14ac:dyDescent="0.25">
      <c r="A8929" t="s">
        <v>9414</v>
      </c>
      <c r="B8929" s="9">
        <v>0.2</v>
      </c>
    </row>
    <row r="8930" spans="1:2" x14ac:dyDescent="0.25">
      <c r="A8930" t="s">
        <v>9415</v>
      </c>
      <c r="B8930" s="9">
        <v>0.2</v>
      </c>
    </row>
    <row r="8931" spans="1:2" x14ac:dyDescent="0.25">
      <c r="A8931" t="s">
        <v>9416</v>
      </c>
      <c r="B8931" s="9">
        <v>0.2</v>
      </c>
    </row>
    <row r="8932" spans="1:2" x14ac:dyDescent="0.25">
      <c r="A8932" t="s">
        <v>9417</v>
      </c>
      <c r="B8932" s="9">
        <v>0.15</v>
      </c>
    </row>
    <row r="8933" spans="1:2" x14ac:dyDescent="0.25">
      <c r="A8933" t="s">
        <v>9418</v>
      </c>
      <c r="B8933" s="9">
        <v>0.15</v>
      </c>
    </row>
    <row r="8934" spans="1:2" x14ac:dyDescent="0.25">
      <c r="A8934" t="s">
        <v>9419</v>
      </c>
      <c r="B8934" s="9">
        <v>0.15</v>
      </c>
    </row>
    <row r="8935" spans="1:2" x14ac:dyDescent="0.25">
      <c r="A8935" t="s">
        <v>9420</v>
      </c>
      <c r="B8935" s="9">
        <v>0.2</v>
      </c>
    </row>
    <row r="8936" spans="1:2" x14ac:dyDescent="0.25">
      <c r="A8936" t="s">
        <v>9421</v>
      </c>
      <c r="B8936" s="9">
        <v>0.2</v>
      </c>
    </row>
    <row r="8937" spans="1:2" x14ac:dyDescent="0.25">
      <c r="A8937" t="s">
        <v>9422</v>
      </c>
      <c r="B8937" s="9">
        <v>0.15</v>
      </c>
    </row>
    <row r="8938" spans="1:2" x14ac:dyDescent="0.25">
      <c r="A8938" t="s">
        <v>9423</v>
      </c>
      <c r="B8938" s="9">
        <v>0.15</v>
      </c>
    </row>
    <row r="8939" spans="1:2" x14ac:dyDescent="0.25">
      <c r="A8939" t="s">
        <v>9424</v>
      </c>
      <c r="B8939" s="9">
        <v>0.2</v>
      </c>
    </row>
    <row r="8940" spans="1:2" x14ac:dyDescent="0.25">
      <c r="A8940" t="s">
        <v>9425</v>
      </c>
      <c r="B8940" s="9">
        <v>0.2</v>
      </c>
    </row>
    <row r="8941" spans="1:2" x14ac:dyDescent="0.25">
      <c r="A8941" t="s">
        <v>9426</v>
      </c>
      <c r="B8941" s="9">
        <v>0</v>
      </c>
    </row>
    <row r="8942" spans="1:2" x14ac:dyDescent="0.25">
      <c r="A8942" t="s">
        <v>9427</v>
      </c>
      <c r="B8942" s="9">
        <v>0.02</v>
      </c>
    </row>
    <row r="8943" spans="1:2" x14ac:dyDescent="0.25">
      <c r="A8943" t="s">
        <v>9428</v>
      </c>
      <c r="B8943" s="9">
        <v>0.15</v>
      </c>
    </row>
    <row r="8944" spans="1:2" x14ac:dyDescent="0.25">
      <c r="A8944" t="s">
        <v>9429</v>
      </c>
      <c r="B8944" s="9">
        <v>0.2</v>
      </c>
    </row>
    <row r="8945" spans="1:2" x14ac:dyDescent="0.25">
      <c r="A8945" t="s">
        <v>9430</v>
      </c>
      <c r="B8945" s="9">
        <v>0.15</v>
      </c>
    </row>
    <row r="8946" spans="1:2" x14ac:dyDescent="0.25">
      <c r="A8946" t="s">
        <v>9431</v>
      </c>
      <c r="B8946" s="9">
        <v>0.1</v>
      </c>
    </row>
    <row r="8947" spans="1:2" x14ac:dyDescent="0.25">
      <c r="A8947" t="s">
        <v>9432</v>
      </c>
      <c r="B8947" s="9">
        <v>0.1</v>
      </c>
    </row>
    <row r="8948" spans="1:2" x14ac:dyDescent="0.25">
      <c r="A8948" t="s">
        <v>9433</v>
      </c>
      <c r="B8948" s="9">
        <v>0.1</v>
      </c>
    </row>
    <row r="8949" spans="1:2" x14ac:dyDescent="0.25">
      <c r="A8949" t="s">
        <v>9434</v>
      </c>
      <c r="B8949" s="9">
        <v>0.02</v>
      </c>
    </row>
    <row r="8950" spans="1:2" x14ac:dyDescent="0.25">
      <c r="A8950" t="s">
        <v>9435</v>
      </c>
      <c r="B8950" s="9">
        <v>0.02</v>
      </c>
    </row>
    <row r="8951" spans="1:2" x14ac:dyDescent="0.25">
      <c r="A8951" t="s">
        <v>9436</v>
      </c>
      <c r="B8951" s="9">
        <v>0.1</v>
      </c>
    </row>
    <row r="8952" spans="1:2" x14ac:dyDescent="0.25">
      <c r="A8952" t="s">
        <v>9437</v>
      </c>
      <c r="B8952" s="9">
        <v>0.1</v>
      </c>
    </row>
    <row r="8953" spans="1:2" x14ac:dyDescent="0.25">
      <c r="A8953" t="s">
        <v>9438</v>
      </c>
      <c r="B8953" s="9">
        <v>0.15</v>
      </c>
    </row>
    <row r="8954" spans="1:2" x14ac:dyDescent="0.25">
      <c r="A8954" t="s">
        <v>9439</v>
      </c>
      <c r="B8954" s="9">
        <v>0.15</v>
      </c>
    </row>
    <row r="8955" spans="1:2" x14ac:dyDescent="0.25">
      <c r="A8955" t="s">
        <v>9440</v>
      </c>
      <c r="B8955" s="9">
        <v>0.02</v>
      </c>
    </row>
    <row r="8956" spans="1:2" x14ac:dyDescent="0.25">
      <c r="A8956" t="s">
        <v>9441</v>
      </c>
      <c r="B8956" s="9">
        <v>0.15</v>
      </c>
    </row>
    <row r="8957" spans="1:2" x14ac:dyDescent="0.25">
      <c r="A8957" t="s">
        <v>9442</v>
      </c>
      <c r="B8957" s="9">
        <v>0.02</v>
      </c>
    </row>
    <row r="8958" spans="1:2" x14ac:dyDescent="0.25">
      <c r="A8958" t="s">
        <v>9443</v>
      </c>
      <c r="B8958" s="9">
        <v>0.1</v>
      </c>
    </row>
    <row r="8959" spans="1:2" x14ac:dyDescent="0.25">
      <c r="A8959" t="s">
        <v>9444</v>
      </c>
      <c r="B8959" s="9">
        <v>0.15</v>
      </c>
    </row>
    <row r="8960" spans="1:2" x14ac:dyDescent="0.25">
      <c r="A8960" t="s">
        <v>9445</v>
      </c>
      <c r="B8960" s="9">
        <v>0.1</v>
      </c>
    </row>
    <row r="8961" spans="1:2" x14ac:dyDescent="0.25">
      <c r="A8961" t="s">
        <v>9446</v>
      </c>
      <c r="B8961" s="9">
        <v>0.1</v>
      </c>
    </row>
    <row r="8962" spans="1:2" x14ac:dyDescent="0.25">
      <c r="A8962" t="s">
        <v>9447</v>
      </c>
      <c r="B8962" s="9">
        <v>0.2</v>
      </c>
    </row>
    <row r="8963" spans="1:2" x14ac:dyDescent="0.25">
      <c r="A8963" t="s">
        <v>9448</v>
      </c>
      <c r="B8963" s="9">
        <v>0.15</v>
      </c>
    </row>
    <row r="8964" spans="1:2" x14ac:dyDescent="0.25">
      <c r="A8964" t="s">
        <v>9449</v>
      </c>
      <c r="B8964" s="9">
        <v>0.05</v>
      </c>
    </row>
    <row r="8965" spans="1:2" x14ac:dyDescent="0.25">
      <c r="A8965" t="s">
        <v>9450</v>
      </c>
      <c r="B8965" s="9">
        <v>0.15</v>
      </c>
    </row>
    <row r="8966" spans="1:2" x14ac:dyDescent="0.25">
      <c r="A8966" t="s">
        <v>9451</v>
      </c>
      <c r="B8966" s="9">
        <v>0.1</v>
      </c>
    </row>
    <row r="8967" spans="1:2" x14ac:dyDescent="0.25">
      <c r="A8967" t="s">
        <v>9452</v>
      </c>
      <c r="B8967" s="9">
        <v>0</v>
      </c>
    </row>
    <row r="8968" spans="1:2" x14ac:dyDescent="0.25">
      <c r="A8968" t="s">
        <v>9453</v>
      </c>
      <c r="B8968" s="9">
        <v>0</v>
      </c>
    </row>
    <row r="8969" spans="1:2" x14ac:dyDescent="0.25">
      <c r="A8969" t="s">
        <v>9454</v>
      </c>
      <c r="B8969" s="9">
        <v>0</v>
      </c>
    </row>
    <row r="8970" spans="1:2" x14ac:dyDescent="0.25">
      <c r="A8970" t="s">
        <v>9455</v>
      </c>
      <c r="B8970" s="9">
        <v>0</v>
      </c>
    </row>
    <row r="8971" spans="1:2" x14ac:dyDescent="0.25">
      <c r="A8971" t="s">
        <v>9456</v>
      </c>
      <c r="B8971" s="9">
        <v>0</v>
      </c>
    </row>
    <row r="8972" spans="1:2" x14ac:dyDescent="0.25">
      <c r="A8972" t="s">
        <v>9457</v>
      </c>
      <c r="B8972" s="9">
        <v>0</v>
      </c>
    </row>
    <row r="8973" spans="1:2" x14ac:dyDescent="0.25">
      <c r="A8973" t="s">
        <v>9458</v>
      </c>
      <c r="B8973" s="9">
        <v>0</v>
      </c>
    </row>
    <row r="8974" spans="1:2" x14ac:dyDescent="0.25">
      <c r="A8974" t="s">
        <v>9459</v>
      </c>
      <c r="B8974" s="9">
        <v>0</v>
      </c>
    </row>
    <row r="8975" spans="1:2" x14ac:dyDescent="0.25">
      <c r="A8975" t="s">
        <v>9460</v>
      </c>
      <c r="B8975" s="9">
        <v>0</v>
      </c>
    </row>
    <row r="8976" spans="1:2" x14ac:dyDescent="0.25">
      <c r="A8976" t="s">
        <v>9461</v>
      </c>
      <c r="B8976" s="9">
        <v>0</v>
      </c>
    </row>
    <row r="8977" spans="1:2" x14ac:dyDescent="0.25">
      <c r="A8977" t="s">
        <v>9462</v>
      </c>
      <c r="B8977" s="9">
        <v>0</v>
      </c>
    </row>
    <row r="8978" spans="1:2" x14ac:dyDescent="0.25">
      <c r="A8978" t="s">
        <v>9463</v>
      </c>
      <c r="B8978" s="9">
        <v>0</v>
      </c>
    </row>
    <row r="8979" spans="1:2" x14ac:dyDescent="0.25">
      <c r="A8979" t="s">
        <v>9464</v>
      </c>
      <c r="B8979" s="9">
        <v>0</v>
      </c>
    </row>
    <row r="8980" spans="1:2" x14ac:dyDescent="0.25">
      <c r="A8980" t="s">
        <v>9465</v>
      </c>
      <c r="B8980" s="9">
        <v>0.05</v>
      </c>
    </row>
    <row r="8981" spans="1:2" x14ac:dyDescent="0.25">
      <c r="A8981" t="s">
        <v>9466</v>
      </c>
      <c r="B8981" s="9">
        <v>0.18</v>
      </c>
    </row>
    <row r="8982" spans="1:2" x14ac:dyDescent="0.25">
      <c r="A8982" t="s">
        <v>9467</v>
      </c>
      <c r="B8982" s="9">
        <v>0.18</v>
      </c>
    </row>
    <row r="8983" spans="1:2" x14ac:dyDescent="0.25">
      <c r="A8983" t="s">
        <v>9468</v>
      </c>
      <c r="B8983" s="9">
        <v>0.18</v>
      </c>
    </row>
    <row r="8984" spans="1:2" x14ac:dyDescent="0.25">
      <c r="A8984" t="s">
        <v>9469</v>
      </c>
      <c r="B8984" s="9">
        <v>0.18</v>
      </c>
    </row>
    <row r="8985" spans="1:2" x14ac:dyDescent="0.25">
      <c r="A8985" t="s">
        <v>9470</v>
      </c>
      <c r="B8985" s="9">
        <v>0.18</v>
      </c>
    </row>
    <row r="8986" spans="1:2" x14ac:dyDescent="0.25">
      <c r="A8986" t="s">
        <v>9471</v>
      </c>
      <c r="B8986" s="9">
        <v>0.18</v>
      </c>
    </row>
    <row r="8987" spans="1:2" x14ac:dyDescent="0.25">
      <c r="A8987" t="s">
        <v>9472</v>
      </c>
      <c r="B8987" s="9">
        <v>0</v>
      </c>
    </row>
    <row r="8988" spans="1:2" x14ac:dyDescent="0.25">
      <c r="A8988" t="s">
        <v>9473</v>
      </c>
      <c r="B8988" s="9">
        <v>0</v>
      </c>
    </row>
    <row r="8989" spans="1:2" x14ac:dyDescent="0.25">
      <c r="A8989" t="s">
        <v>9474</v>
      </c>
      <c r="B8989" s="9">
        <v>0</v>
      </c>
    </row>
    <row r="8990" spans="1:2" x14ac:dyDescent="0.25">
      <c r="A8990" t="s">
        <v>9475</v>
      </c>
      <c r="B8990" s="9">
        <v>0</v>
      </c>
    </row>
    <row r="8991" spans="1:2" x14ac:dyDescent="0.25">
      <c r="A8991" t="s">
        <v>9476</v>
      </c>
      <c r="B8991" s="9">
        <v>0</v>
      </c>
    </row>
    <row r="8992" spans="1:2" x14ac:dyDescent="0.25">
      <c r="A8992" t="s">
        <v>9477</v>
      </c>
      <c r="B8992" s="9">
        <v>0</v>
      </c>
    </row>
    <row r="8993" spans="1:2" x14ac:dyDescent="0.25">
      <c r="A8993" t="s">
        <v>9478</v>
      </c>
      <c r="B8993" s="9">
        <v>0</v>
      </c>
    </row>
    <row r="8994" spans="1:2" x14ac:dyDescent="0.25">
      <c r="A8994" t="s">
        <v>9479</v>
      </c>
      <c r="B8994" s="9">
        <v>0</v>
      </c>
    </row>
    <row r="8995" spans="1:2" x14ac:dyDescent="0.25">
      <c r="A8995" t="s">
        <v>9480</v>
      </c>
      <c r="B8995" s="9">
        <v>0</v>
      </c>
    </row>
    <row r="8996" spans="1:2" x14ac:dyDescent="0.25">
      <c r="A8996" t="s">
        <v>9481</v>
      </c>
      <c r="B8996" s="9">
        <v>0</v>
      </c>
    </row>
    <row r="8997" spans="1:2" x14ac:dyDescent="0.25">
      <c r="A8997" t="s">
        <v>9482</v>
      </c>
      <c r="B8997" s="9">
        <v>0</v>
      </c>
    </row>
    <row r="8998" spans="1:2" x14ac:dyDescent="0.25">
      <c r="A8998" t="s">
        <v>9483</v>
      </c>
      <c r="B8998" s="9">
        <v>0</v>
      </c>
    </row>
    <row r="8999" spans="1:2" x14ac:dyDescent="0.25">
      <c r="A8999" t="s">
        <v>9484</v>
      </c>
      <c r="B8999" s="9">
        <v>0</v>
      </c>
    </row>
    <row r="9000" spans="1:2" x14ac:dyDescent="0.25">
      <c r="A9000" t="s">
        <v>9485</v>
      </c>
      <c r="B9000" s="9">
        <v>0</v>
      </c>
    </row>
    <row r="9001" spans="1:2" x14ac:dyDescent="0.25">
      <c r="A9001" t="s">
        <v>9486</v>
      </c>
      <c r="B9001" s="9">
        <v>0</v>
      </c>
    </row>
    <row r="9002" spans="1:2" x14ac:dyDescent="0.25">
      <c r="A9002" t="s">
        <v>9487</v>
      </c>
      <c r="B9002" s="9">
        <v>0</v>
      </c>
    </row>
    <row r="9003" spans="1:2" x14ac:dyDescent="0.25">
      <c r="A9003" t="s">
        <v>9488</v>
      </c>
      <c r="B9003" s="9">
        <v>0</v>
      </c>
    </row>
    <row r="9004" spans="1:2" x14ac:dyDescent="0.25">
      <c r="A9004" t="s">
        <v>9489</v>
      </c>
      <c r="B9004" s="9">
        <v>0</v>
      </c>
    </row>
    <row r="9005" spans="1:2" x14ac:dyDescent="0.25">
      <c r="A9005" t="s">
        <v>9490</v>
      </c>
      <c r="B9005" s="9">
        <v>0.05</v>
      </c>
    </row>
    <row r="9006" spans="1:2" x14ac:dyDescent="0.25">
      <c r="A9006" t="s">
        <v>9491</v>
      </c>
      <c r="B9006" s="9">
        <v>0.1</v>
      </c>
    </row>
    <row r="9007" spans="1:2" x14ac:dyDescent="0.25">
      <c r="A9007" t="s">
        <v>9492</v>
      </c>
      <c r="B9007" s="9">
        <v>0.1</v>
      </c>
    </row>
    <row r="9008" spans="1:2" x14ac:dyDescent="0.25">
      <c r="A9008" t="s">
        <v>9493</v>
      </c>
      <c r="B9008" s="9">
        <v>0.1</v>
      </c>
    </row>
    <row r="9009" spans="1:2" x14ac:dyDescent="0.25">
      <c r="A9009" t="s">
        <v>9494</v>
      </c>
      <c r="B9009" s="9">
        <v>0</v>
      </c>
    </row>
    <row r="9010" spans="1:2" x14ac:dyDescent="0.25">
      <c r="A9010" t="s">
        <v>9495</v>
      </c>
      <c r="B9010" s="9">
        <v>0</v>
      </c>
    </row>
    <row r="9011" spans="1:2" x14ac:dyDescent="0.25">
      <c r="A9011" t="s">
        <v>9496</v>
      </c>
      <c r="B9011" s="9">
        <v>0</v>
      </c>
    </row>
    <row r="9012" spans="1:2" x14ac:dyDescent="0.25">
      <c r="A9012" t="s">
        <v>9497</v>
      </c>
      <c r="B9012" s="9">
        <v>0</v>
      </c>
    </row>
    <row r="9013" spans="1:2" x14ac:dyDescent="0.25">
      <c r="A9013" t="s">
        <v>9498</v>
      </c>
      <c r="B9013" s="9">
        <v>0</v>
      </c>
    </row>
    <row r="9014" spans="1:2" x14ac:dyDescent="0.25">
      <c r="A9014" t="s">
        <v>9499</v>
      </c>
      <c r="B9014" s="9">
        <v>0</v>
      </c>
    </row>
    <row r="9015" spans="1:2" x14ac:dyDescent="0.25">
      <c r="A9015" t="s">
        <v>9500</v>
      </c>
      <c r="B9015" s="9">
        <v>0</v>
      </c>
    </row>
    <row r="9016" spans="1:2" x14ac:dyDescent="0.25">
      <c r="A9016" t="s">
        <v>9501</v>
      </c>
      <c r="B9016" s="9">
        <v>0</v>
      </c>
    </row>
    <row r="9017" spans="1:2" x14ac:dyDescent="0.25">
      <c r="A9017" t="s">
        <v>9502</v>
      </c>
      <c r="B9017" s="9">
        <v>0</v>
      </c>
    </row>
    <row r="9018" spans="1:2" x14ac:dyDescent="0.25">
      <c r="A9018" t="s">
        <v>9503</v>
      </c>
      <c r="B9018" s="9">
        <v>0</v>
      </c>
    </row>
    <row r="9019" spans="1:2" x14ac:dyDescent="0.25">
      <c r="A9019" t="s">
        <v>9504</v>
      </c>
      <c r="B9019" s="9">
        <v>0</v>
      </c>
    </row>
    <row r="9020" spans="1:2" x14ac:dyDescent="0.25">
      <c r="A9020" t="s">
        <v>9505</v>
      </c>
      <c r="B9020" s="9">
        <v>0</v>
      </c>
    </row>
    <row r="9021" spans="1:2" x14ac:dyDescent="0.25">
      <c r="A9021" t="s">
        <v>9506</v>
      </c>
      <c r="B9021" s="9">
        <v>0</v>
      </c>
    </row>
    <row r="9022" spans="1:2" x14ac:dyDescent="0.25">
      <c r="A9022" t="s">
        <v>9507</v>
      </c>
      <c r="B9022" s="9">
        <v>0</v>
      </c>
    </row>
    <row r="9023" spans="1:2" x14ac:dyDescent="0.25">
      <c r="A9023" t="s">
        <v>9508</v>
      </c>
      <c r="B9023" s="9">
        <v>0</v>
      </c>
    </row>
    <row r="9024" spans="1:2" x14ac:dyDescent="0.25">
      <c r="A9024" t="s">
        <v>9509</v>
      </c>
      <c r="B9024" s="9">
        <v>0</v>
      </c>
    </row>
    <row r="9025" spans="1:2" x14ac:dyDescent="0.25">
      <c r="A9025" t="s">
        <v>9510</v>
      </c>
      <c r="B9025" s="9">
        <v>0</v>
      </c>
    </row>
    <row r="9026" spans="1:2" x14ac:dyDescent="0.25">
      <c r="A9026" t="s">
        <v>9511</v>
      </c>
      <c r="B9026" s="9">
        <v>0.05</v>
      </c>
    </row>
    <row r="9027" spans="1:2" x14ac:dyDescent="0.25">
      <c r="A9027" t="s">
        <v>9512</v>
      </c>
      <c r="B9027" s="9">
        <v>0.05</v>
      </c>
    </row>
    <row r="9028" spans="1:2" x14ac:dyDescent="0.25">
      <c r="A9028" t="s">
        <v>9513</v>
      </c>
      <c r="B9028" s="9">
        <v>0</v>
      </c>
    </row>
    <row r="9029" spans="1:2" x14ac:dyDescent="0.25">
      <c r="A9029" t="s">
        <v>9514</v>
      </c>
      <c r="B9029" s="9">
        <v>0</v>
      </c>
    </row>
    <row r="9030" spans="1:2" x14ac:dyDescent="0.25">
      <c r="A9030" t="s">
        <v>9515</v>
      </c>
      <c r="B9030" s="9">
        <v>0.05</v>
      </c>
    </row>
    <row r="9031" spans="1:2" x14ac:dyDescent="0.25">
      <c r="A9031" t="s">
        <v>9516</v>
      </c>
      <c r="B9031" s="9">
        <v>0</v>
      </c>
    </row>
    <row r="9032" spans="1:2" x14ac:dyDescent="0.25">
      <c r="A9032" t="s">
        <v>9517</v>
      </c>
      <c r="B9032" s="9">
        <v>0.05</v>
      </c>
    </row>
    <row r="9033" spans="1:2" x14ac:dyDescent="0.25">
      <c r="A9033" t="s">
        <v>9518</v>
      </c>
      <c r="B9033" s="9">
        <v>0</v>
      </c>
    </row>
    <row r="9034" spans="1:2" x14ac:dyDescent="0.25">
      <c r="A9034" t="s">
        <v>9519</v>
      </c>
      <c r="B9034" s="9">
        <v>0</v>
      </c>
    </row>
    <row r="9035" spans="1:2" x14ac:dyDescent="0.25">
      <c r="A9035" t="s">
        <v>9520</v>
      </c>
      <c r="B9035" s="9">
        <v>0</v>
      </c>
    </row>
    <row r="9036" spans="1:2" x14ac:dyDescent="0.25">
      <c r="A9036" t="s">
        <v>9521</v>
      </c>
      <c r="B9036" s="9">
        <v>0</v>
      </c>
    </row>
    <row r="9037" spans="1:2" x14ac:dyDescent="0.25">
      <c r="A9037" t="s">
        <v>9522</v>
      </c>
      <c r="B9037" s="9">
        <v>0</v>
      </c>
    </row>
    <row r="9038" spans="1:2" x14ac:dyDescent="0.25">
      <c r="A9038" t="s">
        <v>9523</v>
      </c>
      <c r="B9038" s="9">
        <v>0</v>
      </c>
    </row>
    <row r="9039" spans="1:2" x14ac:dyDescent="0.25">
      <c r="A9039" t="s">
        <v>9524</v>
      </c>
      <c r="B9039" s="9">
        <v>0</v>
      </c>
    </row>
    <row r="9040" spans="1:2" x14ac:dyDescent="0.25">
      <c r="A9040" t="s">
        <v>9525</v>
      </c>
      <c r="B9040" s="9">
        <v>0</v>
      </c>
    </row>
    <row r="9041" spans="1:3" x14ac:dyDescent="0.25">
      <c r="A9041" t="s">
        <v>9526</v>
      </c>
      <c r="B9041" s="9">
        <v>0</v>
      </c>
    </row>
    <row r="9042" spans="1:3" x14ac:dyDescent="0.25">
      <c r="A9042" t="s">
        <v>9527</v>
      </c>
      <c r="B9042" s="9">
        <v>0</v>
      </c>
    </row>
    <row r="9043" spans="1:3" x14ac:dyDescent="0.25">
      <c r="A9043" t="s">
        <v>9528</v>
      </c>
      <c r="B9043" s="9">
        <v>0</v>
      </c>
    </row>
    <row r="9044" spans="1:3" x14ac:dyDescent="0.25">
      <c r="A9044" t="s">
        <v>9529</v>
      </c>
      <c r="B9044" s="9">
        <v>0</v>
      </c>
    </row>
    <row r="9045" spans="1:3" x14ac:dyDescent="0.25">
      <c r="A9045" t="s">
        <v>126</v>
      </c>
      <c r="B9045" s="9">
        <v>0</v>
      </c>
      <c r="C9045" t="s">
        <v>126</v>
      </c>
    </row>
    <row r="9046" spans="1:3" x14ac:dyDescent="0.25">
      <c r="A9046" t="s">
        <v>9530</v>
      </c>
      <c r="B9046" s="9">
        <v>0.05</v>
      </c>
    </row>
    <row r="9047" spans="1:3" x14ac:dyDescent="0.25">
      <c r="A9047" t="s">
        <v>9531</v>
      </c>
      <c r="B9047" s="9">
        <v>0.05</v>
      </c>
    </row>
    <row r="9048" spans="1:3" x14ac:dyDescent="0.25">
      <c r="A9048" t="s">
        <v>244</v>
      </c>
      <c r="B9048" s="9">
        <v>0</v>
      </c>
      <c r="C9048" t="s">
        <v>244</v>
      </c>
    </row>
    <row r="9049" spans="1:3" x14ac:dyDescent="0.25">
      <c r="A9049" t="s">
        <v>9532</v>
      </c>
      <c r="B9049" s="9">
        <v>0</v>
      </c>
    </row>
    <row r="9050" spans="1:3" x14ac:dyDescent="0.25">
      <c r="A9050" t="s">
        <v>9533</v>
      </c>
      <c r="B9050" s="9">
        <v>0</v>
      </c>
    </row>
    <row r="9051" spans="1:3" x14ac:dyDescent="0.25">
      <c r="A9051" t="s">
        <v>9534</v>
      </c>
      <c r="B9051" s="9">
        <v>0</v>
      </c>
    </row>
    <row r="9052" spans="1:3" x14ac:dyDescent="0.25">
      <c r="A9052" t="s">
        <v>9535</v>
      </c>
      <c r="B9052" s="9">
        <v>0</v>
      </c>
    </row>
    <row r="9053" spans="1:3" x14ac:dyDescent="0.25">
      <c r="A9053" t="s">
        <v>9536</v>
      </c>
      <c r="B9053" s="9">
        <v>0</v>
      </c>
    </row>
    <row r="9054" spans="1:3" x14ac:dyDescent="0.25">
      <c r="A9054" t="s">
        <v>9537</v>
      </c>
      <c r="B9054" s="9">
        <v>0</v>
      </c>
    </row>
    <row r="9055" spans="1:3" x14ac:dyDescent="0.25">
      <c r="A9055" t="s">
        <v>9538</v>
      </c>
      <c r="B9055" s="9">
        <v>0.05</v>
      </c>
    </row>
    <row r="9056" spans="1:3" x14ac:dyDescent="0.25">
      <c r="A9056" t="s">
        <v>9539</v>
      </c>
      <c r="B9056" s="9">
        <v>0.04</v>
      </c>
    </row>
    <row r="9057" spans="1:3" x14ac:dyDescent="0.25">
      <c r="A9057" t="s">
        <v>9540</v>
      </c>
      <c r="B9057" s="9">
        <v>0.04</v>
      </c>
    </row>
    <row r="9058" spans="1:3" x14ac:dyDescent="0.25">
      <c r="A9058" t="s">
        <v>9541</v>
      </c>
      <c r="B9058" s="9">
        <v>0.12</v>
      </c>
    </row>
    <row r="9059" spans="1:3" x14ac:dyDescent="0.25">
      <c r="A9059" t="s">
        <v>127</v>
      </c>
      <c r="B9059" s="9">
        <v>0</v>
      </c>
      <c r="C9059" t="s">
        <v>127</v>
      </c>
    </row>
    <row r="9060" spans="1:3" x14ac:dyDescent="0.25">
      <c r="A9060" t="s">
        <v>9542</v>
      </c>
      <c r="B9060" s="9">
        <v>0</v>
      </c>
    </row>
    <row r="9061" spans="1:3" x14ac:dyDescent="0.25">
      <c r="A9061" t="s">
        <v>9543</v>
      </c>
      <c r="B9061" s="9">
        <v>0</v>
      </c>
    </row>
    <row r="9062" spans="1:3" x14ac:dyDescent="0.25">
      <c r="A9062" t="s">
        <v>9544</v>
      </c>
      <c r="B9062" s="9">
        <v>0</v>
      </c>
    </row>
    <row r="9063" spans="1:3" x14ac:dyDescent="0.25">
      <c r="A9063" t="s">
        <v>9545</v>
      </c>
      <c r="B9063" s="9">
        <v>0</v>
      </c>
    </row>
    <row r="9064" spans="1:3" x14ac:dyDescent="0.25">
      <c r="A9064" t="s">
        <v>9546</v>
      </c>
      <c r="B9064" s="9">
        <v>0</v>
      </c>
    </row>
    <row r="9065" spans="1:3" x14ac:dyDescent="0.25">
      <c r="A9065" t="s">
        <v>128</v>
      </c>
      <c r="B9065" s="9">
        <v>0.05</v>
      </c>
      <c r="C9065" t="s">
        <v>128</v>
      </c>
    </row>
    <row r="9066" spans="1:3" x14ac:dyDescent="0.25">
      <c r="A9066" t="s">
        <v>9547</v>
      </c>
      <c r="B9066" s="9">
        <v>0.12</v>
      </c>
    </row>
    <row r="9067" spans="1:3" x14ac:dyDescent="0.25">
      <c r="A9067" t="s">
        <v>9548</v>
      </c>
      <c r="B9067" s="9">
        <v>0</v>
      </c>
    </row>
    <row r="9068" spans="1:3" x14ac:dyDescent="0.25">
      <c r="A9068" t="s">
        <v>9549</v>
      </c>
      <c r="B9068" s="9">
        <v>0</v>
      </c>
    </row>
    <row r="9069" spans="1:3" x14ac:dyDescent="0.25">
      <c r="A9069" t="s">
        <v>9550</v>
      </c>
      <c r="B9069" s="9">
        <v>0.12</v>
      </c>
    </row>
    <row r="9070" spans="1:3" x14ac:dyDescent="0.25">
      <c r="A9070" t="s">
        <v>9551</v>
      </c>
      <c r="B9070" s="9">
        <v>0.12</v>
      </c>
    </row>
    <row r="9071" spans="1:3" x14ac:dyDescent="0.25">
      <c r="A9071" t="s">
        <v>9552</v>
      </c>
      <c r="B9071" s="9">
        <v>0.12</v>
      </c>
    </row>
    <row r="9072" spans="1:3" x14ac:dyDescent="0.25">
      <c r="A9072" t="s">
        <v>9553</v>
      </c>
      <c r="B9072" s="9">
        <v>0.12</v>
      </c>
    </row>
    <row r="9073" spans="1:3" x14ac:dyDescent="0.25">
      <c r="A9073" t="s">
        <v>9554</v>
      </c>
      <c r="B9073" s="9">
        <v>0.12</v>
      </c>
    </row>
    <row r="9074" spans="1:3" x14ac:dyDescent="0.25">
      <c r="A9074" t="s">
        <v>9555</v>
      </c>
      <c r="B9074" s="9">
        <v>0.12</v>
      </c>
    </row>
    <row r="9075" spans="1:3" x14ac:dyDescent="0.25">
      <c r="A9075" t="s">
        <v>9556</v>
      </c>
      <c r="B9075" s="9">
        <v>0.12</v>
      </c>
    </row>
    <row r="9076" spans="1:3" x14ac:dyDescent="0.25">
      <c r="A9076" t="s">
        <v>9557</v>
      </c>
      <c r="B9076" s="9">
        <v>0.12</v>
      </c>
    </row>
    <row r="9077" spans="1:3" x14ac:dyDescent="0.25">
      <c r="A9077" t="s">
        <v>9558</v>
      </c>
      <c r="B9077" s="9">
        <v>0.12</v>
      </c>
    </row>
    <row r="9078" spans="1:3" x14ac:dyDescent="0.25">
      <c r="A9078" t="s">
        <v>9559</v>
      </c>
      <c r="B9078" s="9">
        <v>0.12</v>
      </c>
    </row>
    <row r="9079" spans="1:3" x14ac:dyDescent="0.25">
      <c r="A9079" t="s">
        <v>9560</v>
      </c>
      <c r="B9079" s="9">
        <v>0.12</v>
      </c>
    </row>
    <row r="9080" spans="1:3" x14ac:dyDescent="0.25">
      <c r="A9080" t="s">
        <v>9561</v>
      </c>
      <c r="B9080" s="9">
        <v>0.12</v>
      </c>
    </row>
    <row r="9081" spans="1:3" x14ac:dyDescent="0.25">
      <c r="A9081" t="s">
        <v>9562</v>
      </c>
      <c r="B9081" s="9">
        <v>0.12</v>
      </c>
    </row>
    <row r="9082" spans="1:3" x14ac:dyDescent="0.25">
      <c r="A9082" t="s">
        <v>9563</v>
      </c>
      <c r="B9082" s="9">
        <v>0.12</v>
      </c>
    </row>
    <row r="9083" spans="1:3" x14ac:dyDescent="0.25">
      <c r="A9083" t="s">
        <v>9564</v>
      </c>
      <c r="B9083" s="9">
        <v>0.12</v>
      </c>
    </row>
    <row r="9084" spans="1:3" x14ac:dyDescent="0.25">
      <c r="A9084" t="s">
        <v>9565</v>
      </c>
      <c r="B9084" s="9">
        <v>0.12</v>
      </c>
    </row>
    <row r="9085" spans="1:3" x14ac:dyDescent="0.25">
      <c r="A9085" t="s">
        <v>129</v>
      </c>
      <c r="B9085" s="9">
        <v>0</v>
      </c>
      <c r="C9085" t="s">
        <v>129</v>
      </c>
    </row>
    <row r="9086" spans="1:3" x14ac:dyDescent="0.25">
      <c r="A9086" t="s">
        <v>130</v>
      </c>
      <c r="B9086" s="9">
        <v>0</v>
      </c>
      <c r="C9086" t="s">
        <v>130</v>
      </c>
    </row>
    <row r="9087" spans="1:3" x14ac:dyDescent="0.25">
      <c r="A9087" t="s">
        <v>9566</v>
      </c>
      <c r="B9087" s="9">
        <v>0.04</v>
      </c>
    </row>
    <row r="9088" spans="1:3" x14ac:dyDescent="0.25">
      <c r="A9088" t="s">
        <v>131</v>
      </c>
      <c r="B9088" s="9">
        <v>0</v>
      </c>
      <c r="C9088" t="s">
        <v>131</v>
      </c>
    </row>
    <row r="9089" spans="1:3" x14ac:dyDescent="0.25">
      <c r="A9089" t="s">
        <v>132</v>
      </c>
      <c r="B9089" s="9">
        <v>0</v>
      </c>
      <c r="C9089" t="s">
        <v>132</v>
      </c>
    </row>
    <row r="9090" spans="1:3" x14ac:dyDescent="0.25">
      <c r="A9090" t="s">
        <v>133</v>
      </c>
      <c r="B9090" s="9">
        <v>0</v>
      </c>
      <c r="C9090" t="s">
        <v>133</v>
      </c>
    </row>
    <row r="9091" spans="1:3" x14ac:dyDescent="0.25">
      <c r="A9091" t="s">
        <v>134</v>
      </c>
      <c r="B9091" s="9">
        <v>0.12</v>
      </c>
      <c r="C9091" t="s">
        <v>134</v>
      </c>
    </row>
    <row r="9092" spans="1:3" x14ac:dyDescent="0.25">
      <c r="A9092" t="s">
        <v>135</v>
      </c>
      <c r="B9092" s="9">
        <v>0</v>
      </c>
      <c r="C9092" t="s">
        <v>135</v>
      </c>
    </row>
    <row r="9093" spans="1:3" x14ac:dyDescent="0.25">
      <c r="A9093" t="s">
        <v>136</v>
      </c>
      <c r="B9093" s="9">
        <v>0.12</v>
      </c>
      <c r="C9093" t="s">
        <v>136</v>
      </c>
    </row>
    <row r="9094" spans="1:3" x14ac:dyDescent="0.25">
      <c r="A9094" t="s">
        <v>137</v>
      </c>
      <c r="B9094" s="9">
        <v>0.12</v>
      </c>
      <c r="C9094" t="s">
        <v>137</v>
      </c>
    </row>
    <row r="9095" spans="1:3" x14ac:dyDescent="0.25">
      <c r="A9095" t="s">
        <v>138</v>
      </c>
      <c r="B9095" s="9">
        <v>0.12</v>
      </c>
      <c r="C9095" t="s">
        <v>138</v>
      </c>
    </row>
    <row r="9096" spans="1:3" x14ac:dyDescent="0.25">
      <c r="A9096" t="s">
        <v>139</v>
      </c>
      <c r="B9096" s="9">
        <v>0.12</v>
      </c>
      <c r="C9096" t="s">
        <v>139</v>
      </c>
    </row>
    <row r="9097" spans="1:3" x14ac:dyDescent="0.25">
      <c r="A9097" t="s">
        <v>140</v>
      </c>
      <c r="B9097" s="9">
        <v>0.12</v>
      </c>
      <c r="C9097" t="s">
        <v>140</v>
      </c>
    </row>
    <row r="9098" spans="1:3" x14ac:dyDescent="0.25">
      <c r="A9098" t="s">
        <v>141</v>
      </c>
      <c r="B9098" s="9">
        <v>0</v>
      </c>
      <c r="C9098" t="s">
        <v>141</v>
      </c>
    </row>
    <row r="9099" spans="1:3" x14ac:dyDescent="0.25">
      <c r="A9099" t="s">
        <v>142</v>
      </c>
      <c r="B9099" s="9">
        <v>0</v>
      </c>
      <c r="C9099" t="s">
        <v>142</v>
      </c>
    </row>
    <row r="9100" spans="1:3" x14ac:dyDescent="0.25">
      <c r="A9100" t="s">
        <v>143</v>
      </c>
      <c r="B9100" s="9">
        <v>0.12</v>
      </c>
      <c r="C9100" t="s">
        <v>143</v>
      </c>
    </row>
    <row r="9101" spans="1:3" x14ac:dyDescent="0.25">
      <c r="A9101" t="s">
        <v>144</v>
      </c>
      <c r="B9101" s="9">
        <v>0.12</v>
      </c>
      <c r="C9101" t="s">
        <v>144</v>
      </c>
    </row>
    <row r="9102" spans="1:3" x14ac:dyDescent="0.25">
      <c r="A9102" t="s">
        <v>145</v>
      </c>
      <c r="B9102" s="9">
        <v>0</v>
      </c>
      <c r="C9102" t="s">
        <v>145</v>
      </c>
    </row>
    <row r="9103" spans="1:3" x14ac:dyDescent="0.25">
      <c r="A9103" t="s">
        <v>146</v>
      </c>
      <c r="B9103" s="9">
        <v>0</v>
      </c>
      <c r="C9103" t="s">
        <v>146</v>
      </c>
    </row>
    <row r="9104" spans="1:3" x14ac:dyDescent="0.25">
      <c r="A9104" t="s">
        <v>9567</v>
      </c>
      <c r="B9104" s="9">
        <v>0</v>
      </c>
    </row>
    <row r="9105" spans="1:3" x14ac:dyDescent="0.25">
      <c r="A9105" t="s">
        <v>9568</v>
      </c>
      <c r="B9105" s="9">
        <v>0</v>
      </c>
    </row>
    <row r="9106" spans="1:3" x14ac:dyDescent="0.25">
      <c r="A9106" t="s">
        <v>9569</v>
      </c>
      <c r="B9106" s="9">
        <v>0.12</v>
      </c>
    </row>
    <row r="9107" spans="1:3" x14ac:dyDescent="0.25">
      <c r="A9107" t="s">
        <v>9570</v>
      </c>
      <c r="B9107" s="9">
        <v>0.1</v>
      </c>
    </row>
    <row r="9108" spans="1:3" x14ac:dyDescent="0.25">
      <c r="A9108" t="s">
        <v>9571</v>
      </c>
      <c r="B9108" s="9">
        <v>0.12</v>
      </c>
    </row>
    <row r="9109" spans="1:3" x14ac:dyDescent="0.25">
      <c r="A9109" t="s">
        <v>9572</v>
      </c>
      <c r="B9109" s="9">
        <v>0</v>
      </c>
    </row>
    <row r="9110" spans="1:3" x14ac:dyDescent="0.25">
      <c r="A9110" t="s">
        <v>9573</v>
      </c>
      <c r="B9110" s="9">
        <v>0</v>
      </c>
    </row>
    <row r="9111" spans="1:3" x14ac:dyDescent="0.25">
      <c r="A9111" t="s">
        <v>9574</v>
      </c>
      <c r="B9111" s="9">
        <v>0</v>
      </c>
    </row>
    <row r="9112" spans="1:3" x14ac:dyDescent="0.25">
      <c r="A9112" t="s">
        <v>9575</v>
      </c>
      <c r="B9112" s="9">
        <v>0</v>
      </c>
    </row>
    <row r="9113" spans="1:3" x14ac:dyDescent="0.25">
      <c r="A9113" t="s">
        <v>9576</v>
      </c>
      <c r="B9113" s="9">
        <v>0</v>
      </c>
    </row>
    <row r="9114" spans="1:3" x14ac:dyDescent="0.25">
      <c r="A9114" t="s">
        <v>9577</v>
      </c>
      <c r="B9114" s="9">
        <v>0.1</v>
      </c>
    </row>
    <row r="9115" spans="1:3" x14ac:dyDescent="0.25">
      <c r="A9115" t="s">
        <v>9578</v>
      </c>
      <c r="B9115" s="9">
        <v>0.1</v>
      </c>
    </row>
    <row r="9116" spans="1:3" x14ac:dyDescent="0.25">
      <c r="A9116" t="s">
        <v>9579</v>
      </c>
      <c r="B9116" s="9">
        <v>0.05</v>
      </c>
    </row>
    <row r="9117" spans="1:3" x14ac:dyDescent="0.25">
      <c r="A9117" t="s">
        <v>9580</v>
      </c>
      <c r="B9117" s="9">
        <v>0.1</v>
      </c>
    </row>
    <row r="9118" spans="1:3" x14ac:dyDescent="0.25">
      <c r="A9118" t="s">
        <v>147</v>
      </c>
      <c r="B9118" s="9">
        <v>0.1</v>
      </c>
      <c r="C9118" t="s">
        <v>147</v>
      </c>
    </row>
    <row r="9119" spans="1:3" x14ac:dyDescent="0.25">
      <c r="A9119" t="s">
        <v>9581</v>
      </c>
      <c r="B9119" s="9">
        <v>0.1</v>
      </c>
    </row>
    <row r="9120" spans="1:3" x14ac:dyDescent="0.25">
      <c r="A9120" t="s">
        <v>9582</v>
      </c>
      <c r="B9120" s="9">
        <v>0.1</v>
      </c>
    </row>
    <row r="9121" spans="1:2" x14ac:dyDescent="0.25">
      <c r="A9121" t="s">
        <v>9583</v>
      </c>
      <c r="B9121" s="9">
        <v>0.1</v>
      </c>
    </row>
    <row r="9122" spans="1:2" x14ac:dyDescent="0.25">
      <c r="A9122" t="s">
        <v>9584</v>
      </c>
      <c r="B9122" s="9">
        <v>0.1</v>
      </c>
    </row>
    <row r="9123" spans="1:2" x14ac:dyDescent="0.25">
      <c r="A9123" t="s">
        <v>9585</v>
      </c>
      <c r="B9123" s="9">
        <v>0.1</v>
      </c>
    </row>
    <row r="9124" spans="1:2" x14ac:dyDescent="0.25">
      <c r="A9124" t="s">
        <v>9586</v>
      </c>
      <c r="B9124" s="9">
        <v>0</v>
      </c>
    </row>
    <row r="9125" spans="1:2" x14ac:dyDescent="0.25">
      <c r="A9125" t="s">
        <v>9587</v>
      </c>
      <c r="B9125" s="9">
        <v>0</v>
      </c>
    </row>
    <row r="9126" spans="1:2" x14ac:dyDescent="0.25">
      <c r="A9126" t="s">
        <v>9588</v>
      </c>
      <c r="B9126" s="9">
        <v>0</v>
      </c>
    </row>
    <row r="9127" spans="1:2" x14ac:dyDescent="0.25">
      <c r="A9127" t="s">
        <v>9589</v>
      </c>
      <c r="B9127" s="9">
        <v>0</v>
      </c>
    </row>
    <row r="9128" spans="1:2" x14ac:dyDescent="0.25">
      <c r="A9128" t="s">
        <v>9590</v>
      </c>
      <c r="B9128" s="9">
        <v>0</v>
      </c>
    </row>
    <row r="9129" spans="1:2" x14ac:dyDescent="0.25">
      <c r="A9129" t="s">
        <v>9591</v>
      </c>
      <c r="B9129" s="9">
        <v>0</v>
      </c>
    </row>
    <row r="9130" spans="1:2" x14ac:dyDescent="0.25">
      <c r="A9130" t="s">
        <v>9592</v>
      </c>
      <c r="B9130" s="9">
        <v>0</v>
      </c>
    </row>
    <row r="9131" spans="1:2" x14ac:dyDescent="0.25">
      <c r="A9131" t="s">
        <v>9593</v>
      </c>
      <c r="B9131" s="9">
        <v>0</v>
      </c>
    </row>
    <row r="9132" spans="1:2" x14ac:dyDescent="0.25">
      <c r="A9132" t="s">
        <v>9594</v>
      </c>
      <c r="B9132" s="9">
        <v>0</v>
      </c>
    </row>
    <row r="9133" spans="1:2" x14ac:dyDescent="0.25">
      <c r="A9133" t="s">
        <v>9595</v>
      </c>
      <c r="B9133" s="9">
        <v>0.1</v>
      </c>
    </row>
    <row r="9134" spans="1:2" x14ac:dyDescent="0.25">
      <c r="A9134" t="s">
        <v>9596</v>
      </c>
      <c r="B9134" s="9">
        <v>0</v>
      </c>
    </row>
    <row r="9135" spans="1:2" x14ac:dyDescent="0.25">
      <c r="A9135" t="s">
        <v>9597</v>
      </c>
      <c r="B9135" s="9">
        <v>0.1</v>
      </c>
    </row>
    <row r="9136" spans="1:2" x14ac:dyDescent="0.25">
      <c r="A9136" t="s">
        <v>9598</v>
      </c>
      <c r="B9136" s="9">
        <v>0</v>
      </c>
    </row>
    <row r="9137" spans="1:2" x14ac:dyDescent="0.25">
      <c r="A9137" t="s">
        <v>9599</v>
      </c>
      <c r="B9137" s="9">
        <v>0.05</v>
      </c>
    </row>
    <row r="9138" spans="1:2" x14ac:dyDescent="0.25">
      <c r="A9138" t="s">
        <v>9600</v>
      </c>
      <c r="B9138" s="9">
        <v>0</v>
      </c>
    </row>
    <row r="9139" spans="1:2" x14ac:dyDescent="0.25">
      <c r="A9139" t="s">
        <v>9601</v>
      </c>
      <c r="B9139" s="9">
        <v>0</v>
      </c>
    </row>
    <row r="9140" spans="1:2" x14ac:dyDescent="0.25">
      <c r="A9140" t="s">
        <v>9602</v>
      </c>
      <c r="B9140" s="9">
        <v>0</v>
      </c>
    </row>
    <row r="9141" spans="1:2" x14ac:dyDescent="0.25">
      <c r="A9141" t="s">
        <v>9603</v>
      </c>
      <c r="B9141" s="9">
        <v>0</v>
      </c>
    </row>
    <row r="9142" spans="1:2" x14ac:dyDescent="0.25">
      <c r="A9142" t="s">
        <v>9604</v>
      </c>
      <c r="B9142" s="9">
        <v>0</v>
      </c>
    </row>
    <row r="9143" spans="1:2" x14ac:dyDescent="0.25">
      <c r="A9143" t="s">
        <v>9605</v>
      </c>
      <c r="B9143" s="9">
        <v>0</v>
      </c>
    </row>
    <row r="9144" spans="1:2" x14ac:dyDescent="0.25">
      <c r="A9144" t="s">
        <v>9606</v>
      </c>
      <c r="B9144" s="9">
        <v>0</v>
      </c>
    </row>
    <row r="9145" spans="1:2" x14ac:dyDescent="0.25">
      <c r="A9145" t="s">
        <v>9607</v>
      </c>
      <c r="B9145" s="9">
        <v>0</v>
      </c>
    </row>
    <row r="9146" spans="1:2" x14ac:dyDescent="0.25">
      <c r="A9146" t="s">
        <v>9608</v>
      </c>
      <c r="B9146" s="9">
        <v>0</v>
      </c>
    </row>
    <row r="9147" spans="1:2" x14ac:dyDescent="0.25">
      <c r="A9147" t="s">
        <v>9609</v>
      </c>
      <c r="B9147" s="9">
        <v>0</v>
      </c>
    </row>
    <row r="9148" spans="1:2" x14ac:dyDescent="0.25">
      <c r="A9148" t="s">
        <v>9610</v>
      </c>
      <c r="B9148" s="9">
        <v>0</v>
      </c>
    </row>
    <row r="9149" spans="1:2" x14ac:dyDescent="0.25">
      <c r="A9149" t="s">
        <v>9611</v>
      </c>
      <c r="B9149" s="9">
        <v>0</v>
      </c>
    </row>
    <row r="9150" spans="1:2" x14ac:dyDescent="0.25">
      <c r="A9150" t="s">
        <v>9612</v>
      </c>
      <c r="B9150" s="9">
        <v>0</v>
      </c>
    </row>
    <row r="9151" spans="1:2" x14ac:dyDescent="0.25">
      <c r="A9151" t="s">
        <v>9613</v>
      </c>
      <c r="B9151" s="9">
        <v>0</v>
      </c>
    </row>
    <row r="9152" spans="1:2" x14ac:dyDescent="0.25">
      <c r="A9152" t="s">
        <v>9614</v>
      </c>
      <c r="B9152" s="9">
        <v>0</v>
      </c>
    </row>
    <row r="9153" spans="1:2" x14ac:dyDescent="0.25">
      <c r="A9153" t="s">
        <v>9615</v>
      </c>
      <c r="B9153" s="9">
        <v>0</v>
      </c>
    </row>
    <row r="9154" spans="1:2" x14ac:dyDescent="0.25">
      <c r="A9154" t="s">
        <v>9616</v>
      </c>
      <c r="B9154" s="9">
        <v>0</v>
      </c>
    </row>
    <row r="9155" spans="1:2" x14ac:dyDescent="0.25">
      <c r="A9155" t="s">
        <v>9617</v>
      </c>
      <c r="B9155" s="9">
        <v>0</v>
      </c>
    </row>
    <row r="9156" spans="1:2" x14ac:dyDescent="0.25">
      <c r="A9156" t="s">
        <v>9618</v>
      </c>
      <c r="B9156" s="9">
        <v>0</v>
      </c>
    </row>
    <row r="9157" spans="1:2" x14ac:dyDescent="0.25">
      <c r="A9157" t="s">
        <v>9619</v>
      </c>
      <c r="B9157" s="9">
        <v>0</v>
      </c>
    </row>
    <row r="9158" spans="1:2" x14ac:dyDescent="0.25">
      <c r="A9158" t="s">
        <v>9620</v>
      </c>
      <c r="B9158" s="9">
        <v>0</v>
      </c>
    </row>
    <row r="9159" spans="1:2" x14ac:dyDescent="0.25">
      <c r="A9159" t="s">
        <v>9621</v>
      </c>
      <c r="B9159" s="9">
        <v>0</v>
      </c>
    </row>
    <row r="9160" spans="1:2" x14ac:dyDescent="0.25">
      <c r="A9160" t="s">
        <v>9622</v>
      </c>
      <c r="B9160" s="9">
        <v>0</v>
      </c>
    </row>
    <row r="9161" spans="1:2" x14ac:dyDescent="0.25">
      <c r="A9161" t="s">
        <v>9623</v>
      </c>
      <c r="B9161" s="9">
        <v>0</v>
      </c>
    </row>
    <row r="9162" spans="1:2" x14ac:dyDescent="0.25">
      <c r="A9162" t="s">
        <v>9624</v>
      </c>
      <c r="B9162" s="9">
        <v>0</v>
      </c>
    </row>
    <row r="9163" spans="1:2" x14ac:dyDescent="0.25">
      <c r="A9163" t="s">
        <v>9625</v>
      </c>
      <c r="B9163" s="9">
        <v>0</v>
      </c>
    </row>
    <row r="9164" spans="1:2" x14ac:dyDescent="0.25">
      <c r="A9164" t="s">
        <v>9626</v>
      </c>
      <c r="B9164" s="9">
        <v>0</v>
      </c>
    </row>
    <row r="9165" spans="1:2" x14ac:dyDescent="0.25">
      <c r="A9165" t="s">
        <v>9627</v>
      </c>
      <c r="B9165" s="9">
        <v>0.1</v>
      </c>
    </row>
    <row r="9166" spans="1:2" x14ac:dyDescent="0.25">
      <c r="A9166" t="s">
        <v>9628</v>
      </c>
      <c r="B9166" s="9">
        <v>0.1</v>
      </c>
    </row>
    <row r="9167" spans="1:2" x14ac:dyDescent="0.25">
      <c r="A9167" t="s">
        <v>9629</v>
      </c>
      <c r="B9167" s="9">
        <v>0</v>
      </c>
    </row>
    <row r="9168" spans="1:2" x14ac:dyDescent="0.25">
      <c r="A9168" t="s">
        <v>9630</v>
      </c>
      <c r="B9168" s="9">
        <v>0.05</v>
      </c>
    </row>
    <row r="9169" spans="1:2" x14ac:dyDescent="0.25">
      <c r="A9169" t="s">
        <v>9631</v>
      </c>
      <c r="B9169" s="9">
        <v>0</v>
      </c>
    </row>
    <row r="9170" spans="1:2" x14ac:dyDescent="0.25">
      <c r="A9170" t="s">
        <v>9632</v>
      </c>
      <c r="B9170" s="9">
        <v>0</v>
      </c>
    </row>
    <row r="9171" spans="1:2" x14ac:dyDescent="0.25">
      <c r="A9171" t="s">
        <v>9633</v>
      </c>
      <c r="B9171" s="9">
        <v>0</v>
      </c>
    </row>
    <row r="9172" spans="1:2" x14ac:dyDescent="0.25">
      <c r="A9172" t="s">
        <v>9634</v>
      </c>
      <c r="B9172" s="9">
        <v>0.1</v>
      </c>
    </row>
    <row r="9173" spans="1:2" x14ac:dyDescent="0.25">
      <c r="A9173" t="s">
        <v>9635</v>
      </c>
      <c r="B9173" s="9">
        <v>0.1</v>
      </c>
    </row>
    <row r="9174" spans="1:2" x14ac:dyDescent="0.25">
      <c r="A9174" t="s">
        <v>9636</v>
      </c>
      <c r="B9174" s="9">
        <v>0.05</v>
      </c>
    </row>
    <row r="9175" spans="1:2" x14ac:dyDescent="0.25">
      <c r="A9175" t="s">
        <v>9637</v>
      </c>
      <c r="B9175" s="9">
        <v>0.2</v>
      </c>
    </row>
    <row r="9176" spans="1:2" x14ac:dyDescent="0.25">
      <c r="A9176" t="s">
        <v>9638</v>
      </c>
      <c r="B9176" s="9">
        <v>0.1</v>
      </c>
    </row>
    <row r="9177" spans="1:2" x14ac:dyDescent="0.25">
      <c r="A9177" t="s">
        <v>9639</v>
      </c>
      <c r="B9177" s="9">
        <v>0.2</v>
      </c>
    </row>
    <row r="9178" spans="1:2" x14ac:dyDescent="0.25">
      <c r="A9178" t="s">
        <v>9640</v>
      </c>
      <c r="B9178" s="9">
        <v>0</v>
      </c>
    </row>
    <row r="9179" spans="1:2" x14ac:dyDescent="0.25">
      <c r="A9179" t="s">
        <v>9641</v>
      </c>
      <c r="B9179" s="9">
        <v>0</v>
      </c>
    </row>
    <row r="9180" spans="1:2" x14ac:dyDescent="0.25">
      <c r="A9180" t="s">
        <v>9642</v>
      </c>
      <c r="B9180" s="9">
        <v>0</v>
      </c>
    </row>
    <row r="9181" spans="1:2" x14ac:dyDescent="0.25">
      <c r="A9181" t="s">
        <v>9643</v>
      </c>
      <c r="B9181" s="9">
        <v>0</v>
      </c>
    </row>
    <row r="9182" spans="1:2" x14ac:dyDescent="0.25">
      <c r="A9182" t="s">
        <v>9644</v>
      </c>
      <c r="B9182" s="9">
        <v>0</v>
      </c>
    </row>
    <row r="9183" spans="1:2" x14ac:dyDescent="0.25">
      <c r="A9183" t="s">
        <v>9645</v>
      </c>
      <c r="B9183" s="9">
        <v>0</v>
      </c>
    </row>
    <row r="9184" spans="1:2" x14ac:dyDescent="0.25">
      <c r="A9184" t="s">
        <v>9646</v>
      </c>
      <c r="B9184" s="9">
        <v>0.05</v>
      </c>
    </row>
    <row r="9185" spans="1:2" x14ac:dyDescent="0.25">
      <c r="A9185" t="s">
        <v>9647</v>
      </c>
      <c r="B9185" s="9">
        <v>0.05</v>
      </c>
    </row>
    <row r="9186" spans="1:2" x14ac:dyDescent="0.25">
      <c r="A9186" t="s">
        <v>9648</v>
      </c>
      <c r="B9186" s="9">
        <v>0.05</v>
      </c>
    </row>
    <row r="9187" spans="1:2" x14ac:dyDescent="0.25">
      <c r="A9187" t="s">
        <v>9649</v>
      </c>
      <c r="B9187" s="9">
        <v>0.05</v>
      </c>
    </row>
    <row r="9188" spans="1:2" x14ac:dyDescent="0.25">
      <c r="A9188" t="s">
        <v>9650</v>
      </c>
      <c r="B9188" s="9">
        <v>0.15</v>
      </c>
    </row>
    <row r="9189" spans="1:2" x14ac:dyDescent="0.25">
      <c r="A9189" t="s">
        <v>9651</v>
      </c>
      <c r="B9189" s="9">
        <v>0.15</v>
      </c>
    </row>
    <row r="9190" spans="1:2" x14ac:dyDescent="0.25">
      <c r="A9190" t="s">
        <v>9652</v>
      </c>
      <c r="B9190" s="9">
        <v>0.15</v>
      </c>
    </row>
    <row r="9191" spans="1:2" x14ac:dyDescent="0.25">
      <c r="A9191" t="s">
        <v>9653</v>
      </c>
      <c r="B9191" s="9">
        <v>0.15</v>
      </c>
    </row>
    <row r="9192" spans="1:2" x14ac:dyDescent="0.25">
      <c r="A9192" t="s">
        <v>9654</v>
      </c>
      <c r="B9192" s="9">
        <v>0.15</v>
      </c>
    </row>
    <row r="9193" spans="1:2" x14ac:dyDescent="0.25">
      <c r="A9193" t="s">
        <v>9655</v>
      </c>
      <c r="B9193" s="9">
        <v>0</v>
      </c>
    </row>
    <row r="9194" spans="1:2" x14ac:dyDescent="0.25">
      <c r="A9194" t="s">
        <v>9656</v>
      </c>
      <c r="B9194" s="9">
        <v>0.1</v>
      </c>
    </row>
    <row r="9195" spans="1:2" x14ac:dyDescent="0.25">
      <c r="A9195" t="s">
        <v>9657</v>
      </c>
      <c r="B9195" s="9">
        <v>0.1</v>
      </c>
    </row>
    <row r="9196" spans="1:2" x14ac:dyDescent="0.25">
      <c r="A9196" t="s">
        <v>9658</v>
      </c>
      <c r="B9196" s="9">
        <v>0.1</v>
      </c>
    </row>
    <row r="9197" spans="1:2" x14ac:dyDescent="0.25">
      <c r="A9197" t="s">
        <v>9659</v>
      </c>
      <c r="B9197" s="9">
        <v>0.1</v>
      </c>
    </row>
    <row r="9198" spans="1:2" x14ac:dyDescent="0.25">
      <c r="A9198" t="s">
        <v>9660</v>
      </c>
      <c r="B9198" s="9">
        <v>0.1</v>
      </c>
    </row>
    <row r="9199" spans="1:2" x14ac:dyDescent="0.25">
      <c r="A9199" t="s">
        <v>9661</v>
      </c>
      <c r="B9199" s="9">
        <v>0.15</v>
      </c>
    </row>
    <row r="9200" spans="1:2" x14ac:dyDescent="0.25">
      <c r="A9200" t="s">
        <v>9662</v>
      </c>
      <c r="B9200" s="9">
        <v>0.15</v>
      </c>
    </row>
    <row r="9201" spans="1:3" x14ac:dyDescent="0.25">
      <c r="A9201" t="s">
        <v>9663</v>
      </c>
      <c r="B9201" s="9">
        <v>0.15</v>
      </c>
    </row>
    <row r="9202" spans="1:3" x14ac:dyDescent="0.25">
      <c r="A9202" t="s">
        <v>148</v>
      </c>
      <c r="B9202" s="9">
        <v>0.05</v>
      </c>
      <c r="C9202" t="s">
        <v>148</v>
      </c>
    </row>
    <row r="9203" spans="1:3" x14ac:dyDescent="0.25">
      <c r="A9203" t="s">
        <v>149</v>
      </c>
      <c r="B9203" s="9">
        <v>0.05</v>
      </c>
      <c r="C9203" t="s">
        <v>149</v>
      </c>
    </row>
    <row r="9204" spans="1:3" x14ac:dyDescent="0.25">
      <c r="A9204" t="s">
        <v>9664</v>
      </c>
      <c r="B9204" s="9">
        <v>0.04</v>
      </c>
    </row>
    <row r="9205" spans="1:3" x14ac:dyDescent="0.25">
      <c r="A9205" t="s">
        <v>9665</v>
      </c>
      <c r="B9205" s="9">
        <v>0.05</v>
      </c>
    </row>
    <row r="9206" spans="1:3" x14ac:dyDescent="0.25">
      <c r="A9206" t="s">
        <v>9666</v>
      </c>
      <c r="B9206" s="9">
        <v>0.15</v>
      </c>
    </row>
    <row r="9207" spans="1:3" x14ac:dyDescent="0.25">
      <c r="A9207" t="s">
        <v>9667</v>
      </c>
      <c r="B9207" s="9">
        <v>0.15</v>
      </c>
    </row>
    <row r="9208" spans="1:3" x14ac:dyDescent="0.25">
      <c r="A9208" t="s">
        <v>9668</v>
      </c>
      <c r="B9208" s="9">
        <v>0.15</v>
      </c>
    </row>
    <row r="9209" spans="1:3" x14ac:dyDescent="0.25">
      <c r="A9209" t="s">
        <v>9669</v>
      </c>
      <c r="B9209" s="9">
        <v>0.15</v>
      </c>
    </row>
    <row r="9210" spans="1:3" x14ac:dyDescent="0.25">
      <c r="A9210" t="s">
        <v>9670</v>
      </c>
      <c r="B9210" s="9">
        <v>0.15</v>
      </c>
    </row>
    <row r="9211" spans="1:3" x14ac:dyDescent="0.25">
      <c r="A9211" t="s">
        <v>9671</v>
      </c>
      <c r="B9211" s="9">
        <v>0.15</v>
      </c>
    </row>
    <row r="9212" spans="1:3" x14ac:dyDescent="0.25">
      <c r="A9212" t="s">
        <v>9672</v>
      </c>
      <c r="B9212" s="9">
        <v>0.15</v>
      </c>
    </row>
    <row r="9213" spans="1:3" x14ac:dyDescent="0.25">
      <c r="A9213" t="s">
        <v>9673</v>
      </c>
      <c r="B9213" s="9">
        <v>0.15</v>
      </c>
    </row>
    <row r="9214" spans="1:3" x14ac:dyDescent="0.25">
      <c r="A9214" t="s">
        <v>9674</v>
      </c>
      <c r="B9214" s="9">
        <v>0.15</v>
      </c>
    </row>
    <row r="9215" spans="1:3" x14ac:dyDescent="0.25">
      <c r="A9215" t="s">
        <v>9675</v>
      </c>
      <c r="B9215" s="9">
        <v>0.15</v>
      </c>
    </row>
    <row r="9216" spans="1:3" x14ac:dyDescent="0.25">
      <c r="A9216" t="s">
        <v>9676</v>
      </c>
      <c r="B9216" s="9">
        <v>0.15</v>
      </c>
    </row>
    <row r="9217" spans="1:2" x14ac:dyDescent="0.25">
      <c r="A9217" t="s">
        <v>9677</v>
      </c>
      <c r="B9217" s="9">
        <v>0.15</v>
      </c>
    </row>
    <row r="9218" spans="1:2" x14ac:dyDescent="0.25">
      <c r="A9218" t="s">
        <v>9678</v>
      </c>
      <c r="B9218" s="9">
        <v>0.15</v>
      </c>
    </row>
    <row r="9219" spans="1:2" x14ac:dyDescent="0.25">
      <c r="A9219" t="s">
        <v>9679</v>
      </c>
      <c r="B9219" s="9">
        <v>0.15</v>
      </c>
    </row>
    <row r="9220" spans="1:2" x14ac:dyDescent="0.25">
      <c r="A9220" t="s">
        <v>9680</v>
      </c>
      <c r="B9220" s="9">
        <v>0.15</v>
      </c>
    </row>
    <row r="9221" spans="1:2" x14ac:dyDescent="0.25">
      <c r="A9221" t="s">
        <v>9681</v>
      </c>
      <c r="B9221" s="9">
        <v>0.15</v>
      </c>
    </row>
    <row r="9222" spans="1:2" x14ac:dyDescent="0.25">
      <c r="A9222" t="s">
        <v>9682</v>
      </c>
      <c r="B9222" s="9">
        <v>0.15</v>
      </c>
    </row>
    <row r="9223" spans="1:2" x14ac:dyDescent="0.25">
      <c r="A9223" t="s">
        <v>9683</v>
      </c>
      <c r="B9223" s="9">
        <v>0.15</v>
      </c>
    </row>
    <row r="9224" spans="1:2" x14ac:dyDescent="0.25">
      <c r="A9224" t="s">
        <v>9684</v>
      </c>
      <c r="B9224" s="9">
        <v>0.15</v>
      </c>
    </row>
    <row r="9225" spans="1:2" x14ac:dyDescent="0.25">
      <c r="A9225" t="s">
        <v>9685</v>
      </c>
      <c r="B9225" s="9">
        <v>0.15</v>
      </c>
    </row>
    <row r="9226" spans="1:2" x14ac:dyDescent="0.25">
      <c r="A9226" t="s">
        <v>9686</v>
      </c>
      <c r="B9226" s="9">
        <v>0.15</v>
      </c>
    </row>
    <row r="9227" spans="1:2" x14ac:dyDescent="0.25">
      <c r="A9227" t="s">
        <v>9687</v>
      </c>
      <c r="B9227" s="9">
        <v>0.15</v>
      </c>
    </row>
    <row r="9228" spans="1:2" x14ac:dyDescent="0.25">
      <c r="A9228" t="s">
        <v>9688</v>
      </c>
      <c r="B9228" s="9">
        <v>0.04</v>
      </c>
    </row>
    <row r="9229" spans="1:2" x14ac:dyDescent="0.25">
      <c r="A9229" t="s">
        <v>9689</v>
      </c>
      <c r="B9229" s="9">
        <v>0.15</v>
      </c>
    </row>
    <row r="9230" spans="1:2" x14ac:dyDescent="0.25">
      <c r="A9230" t="s">
        <v>9690</v>
      </c>
      <c r="B9230" s="9">
        <v>0.15</v>
      </c>
    </row>
    <row r="9231" spans="1:2" x14ac:dyDescent="0.25">
      <c r="A9231" t="s">
        <v>9691</v>
      </c>
      <c r="B9231" s="9">
        <v>0.15</v>
      </c>
    </row>
    <row r="9232" spans="1:2" x14ac:dyDescent="0.25">
      <c r="A9232" t="s">
        <v>9692</v>
      </c>
      <c r="B9232" s="9">
        <v>0.15</v>
      </c>
    </row>
    <row r="9233" spans="1:2" x14ac:dyDescent="0.25">
      <c r="A9233" t="s">
        <v>9693</v>
      </c>
      <c r="B9233" s="9">
        <v>0.15</v>
      </c>
    </row>
    <row r="9234" spans="1:2" x14ac:dyDescent="0.25">
      <c r="A9234" t="s">
        <v>9694</v>
      </c>
      <c r="B9234" s="9">
        <v>0.15</v>
      </c>
    </row>
    <row r="9235" spans="1:2" x14ac:dyDescent="0.25">
      <c r="A9235" t="s">
        <v>9695</v>
      </c>
      <c r="B9235" s="9">
        <v>0.15</v>
      </c>
    </row>
    <row r="9236" spans="1:2" x14ac:dyDescent="0.25">
      <c r="A9236" t="s">
        <v>9696</v>
      </c>
      <c r="B9236" s="9">
        <v>0.15</v>
      </c>
    </row>
    <row r="9237" spans="1:2" x14ac:dyDescent="0.25">
      <c r="A9237" t="s">
        <v>9697</v>
      </c>
      <c r="B9237" s="9">
        <v>0.15</v>
      </c>
    </row>
    <row r="9238" spans="1:2" x14ac:dyDescent="0.25">
      <c r="A9238" t="s">
        <v>9698</v>
      </c>
      <c r="B9238" s="9">
        <v>0.15</v>
      </c>
    </row>
    <row r="9239" spans="1:2" x14ac:dyDescent="0.25">
      <c r="A9239" t="s">
        <v>9699</v>
      </c>
      <c r="B9239" s="9">
        <v>0.15</v>
      </c>
    </row>
    <row r="9240" spans="1:2" x14ac:dyDescent="0.25">
      <c r="A9240" t="s">
        <v>9700</v>
      </c>
      <c r="B9240" s="9">
        <v>0.15</v>
      </c>
    </row>
    <row r="9241" spans="1:2" x14ac:dyDescent="0.25">
      <c r="A9241" t="s">
        <v>9701</v>
      </c>
      <c r="B9241" s="9">
        <v>0.15</v>
      </c>
    </row>
    <row r="9242" spans="1:2" x14ac:dyDescent="0.25">
      <c r="A9242" t="s">
        <v>9702</v>
      </c>
      <c r="B9242" s="9">
        <v>0.15</v>
      </c>
    </row>
    <row r="9243" spans="1:2" x14ac:dyDescent="0.25">
      <c r="A9243" t="s">
        <v>9703</v>
      </c>
      <c r="B9243" s="9">
        <v>0.1</v>
      </c>
    </row>
    <row r="9244" spans="1:2" x14ac:dyDescent="0.25">
      <c r="A9244" t="s">
        <v>9704</v>
      </c>
      <c r="B9244" s="9">
        <v>0.1</v>
      </c>
    </row>
    <row r="9245" spans="1:2" x14ac:dyDescent="0.25">
      <c r="A9245" t="s">
        <v>9705</v>
      </c>
      <c r="B9245" s="9">
        <v>0.1</v>
      </c>
    </row>
    <row r="9246" spans="1:2" x14ac:dyDescent="0.25">
      <c r="A9246" t="s">
        <v>9706</v>
      </c>
      <c r="B9246" s="9">
        <v>0.1</v>
      </c>
    </row>
    <row r="9247" spans="1:2" x14ac:dyDescent="0.25">
      <c r="A9247" t="s">
        <v>9707</v>
      </c>
      <c r="B9247" s="9">
        <v>0.1</v>
      </c>
    </row>
    <row r="9248" spans="1:2" x14ac:dyDescent="0.25">
      <c r="A9248" t="s">
        <v>9708</v>
      </c>
      <c r="B9248" s="9">
        <v>0.1</v>
      </c>
    </row>
    <row r="9249" spans="1:3" x14ac:dyDescent="0.25">
      <c r="A9249" t="s">
        <v>9709</v>
      </c>
      <c r="B9249" s="9">
        <v>0.1</v>
      </c>
    </row>
    <row r="9250" spans="1:3" x14ac:dyDescent="0.25">
      <c r="A9250" t="s">
        <v>9710</v>
      </c>
      <c r="B9250" s="9">
        <v>0.1</v>
      </c>
    </row>
    <row r="9251" spans="1:3" x14ac:dyDescent="0.25">
      <c r="A9251" t="s">
        <v>9711</v>
      </c>
      <c r="B9251" s="9">
        <v>0.1</v>
      </c>
    </row>
    <row r="9252" spans="1:3" x14ac:dyDescent="0.25">
      <c r="A9252" t="s">
        <v>9712</v>
      </c>
      <c r="B9252" s="9">
        <v>0.1</v>
      </c>
    </row>
    <row r="9253" spans="1:3" x14ac:dyDescent="0.25">
      <c r="A9253" t="s">
        <v>9713</v>
      </c>
      <c r="B9253" s="9">
        <v>0.1</v>
      </c>
    </row>
    <row r="9254" spans="1:3" x14ac:dyDescent="0.25">
      <c r="A9254" t="s">
        <v>9714</v>
      </c>
      <c r="B9254" s="9">
        <v>0.1</v>
      </c>
    </row>
    <row r="9255" spans="1:3" x14ac:dyDescent="0.25">
      <c r="A9255" t="s">
        <v>9715</v>
      </c>
      <c r="B9255" s="9">
        <v>0.1</v>
      </c>
    </row>
    <row r="9256" spans="1:3" x14ac:dyDescent="0.25">
      <c r="A9256" t="s">
        <v>9716</v>
      </c>
      <c r="B9256" s="9">
        <v>0.2</v>
      </c>
    </row>
    <row r="9257" spans="1:3" x14ac:dyDescent="0.25">
      <c r="A9257" t="s">
        <v>9717</v>
      </c>
      <c r="B9257" s="9">
        <v>0.2</v>
      </c>
    </row>
    <row r="9258" spans="1:3" x14ac:dyDescent="0.25">
      <c r="A9258" t="s">
        <v>9718</v>
      </c>
      <c r="B9258" s="9">
        <v>0.1</v>
      </c>
    </row>
    <row r="9259" spans="1:3" x14ac:dyDescent="0.25">
      <c r="A9259" t="s">
        <v>9719</v>
      </c>
      <c r="B9259" s="9">
        <v>0.2</v>
      </c>
    </row>
    <row r="9260" spans="1:3" x14ac:dyDescent="0.25">
      <c r="A9260" t="s">
        <v>9720</v>
      </c>
      <c r="B9260" s="9">
        <v>0.2</v>
      </c>
    </row>
    <row r="9261" spans="1:3" x14ac:dyDescent="0.25">
      <c r="A9261" t="s">
        <v>9721</v>
      </c>
      <c r="B9261" s="9">
        <v>0.2</v>
      </c>
    </row>
    <row r="9262" spans="1:3" x14ac:dyDescent="0.25">
      <c r="A9262" t="s">
        <v>9722</v>
      </c>
      <c r="B9262" s="9">
        <v>0.2</v>
      </c>
    </row>
    <row r="9263" spans="1:3" x14ac:dyDescent="0.25">
      <c r="A9263" t="s">
        <v>150</v>
      </c>
      <c r="B9263" s="9">
        <v>0.15</v>
      </c>
      <c r="C9263" t="s">
        <v>150</v>
      </c>
    </row>
    <row r="9264" spans="1:3" x14ac:dyDescent="0.25">
      <c r="A9264" t="s">
        <v>151</v>
      </c>
      <c r="B9264" s="9">
        <v>0.15</v>
      </c>
      <c r="C9264" t="s">
        <v>151</v>
      </c>
    </row>
    <row r="9265" spans="1:3" x14ac:dyDescent="0.25">
      <c r="A9265" t="s">
        <v>152</v>
      </c>
      <c r="B9265" s="9">
        <v>0.15</v>
      </c>
      <c r="C9265" t="s">
        <v>152</v>
      </c>
    </row>
    <row r="9266" spans="1:3" x14ac:dyDescent="0.25">
      <c r="A9266" t="s">
        <v>153</v>
      </c>
      <c r="B9266" s="9">
        <v>0.15</v>
      </c>
      <c r="C9266" t="s">
        <v>153</v>
      </c>
    </row>
    <row r="9267" spans="1:3" x14ac:dyDescent="0.25">
      <c r="A9267" t="s">
        <v>154</v>
      </c>
      <c r="B9267" s="9">
        <v>0.15</v>
      </c>
      <c r="C9267" t="s">
        <v>154</v>
      </c>
    </row>
    <row r="9268" spans="1:3" x14ac:dyDescent="0.25">
      <c r="A9268" t="s">
        <v>155</v>
      </c>
      <c r="B9268" s="9">
        <v>0.15</v>
      </c>
      <c r="C9268" t="s">
        <v>155</v>
      </c>
    </row>
    <row r="9269" spans="1:3" x14ac:dyDescent="0.25">
      <c r="A9269" t="s">
        <v>156</v>
      </c>
      <c r="B9269" s="9">
        <v>0.04</v>
      </c>
      <c r="C9269" t="s">
        <v>156</v>
      </c>
    </row>
    <row r="9270" spans="1:3" x14ac:dyDescent="0.25">
      <c r="A9270" t="s">
        <v>157</v>
      </c>
      <c r="B9270" s="9">
        <v>0.15</v>
      </c>
      <c r="C9270" t="s">
        <v>157</v>
      </c>
    </row>
    <row r="9271" spans="1:3" x14ac:dyDescent="0.25">
      <c r="A9271" t="s">
        <v>9723</v>
      </c>
      <c r="B9271" s="9">
        <v>0.04</v>
      </c>
    </row>
    <row r="9272" spans="1:3" x14ac:dyDescent="0.25">
      <c r="A9272" t="s">
        <v>158</v>
      </c>
      <c r="B9272" s="9">
        <v>0.15</v>
      </c>
      <c r="C9272" t="s">
        <v>158</v>
      </c>
    </row>
    <row r="9273" spans="1:3" x14ac:dyDescent="0.25">
      <c r="A9273" t="s">
        <v>159</v>
      </c>
      <c r="B9273" s="9">
        <v>0.15</v>
      </c>
      <c r="C9273" t="s">
        <v>159</v>
      </c>
    </row>
    <row r="9274" spans="1:3" x14ac:dyDescent="0.25">
      <c r="A9274" t="s">
        <v>160</v>
      </c>
      <c r="B9274" s="9">
        <v>0.15</v>
      </c>
      <c r="C9274" t="s">
        <v>160</v>
      </c>
    </row>
    <row r="9275" spans="1:3" x14ac:dyDescent="0.25">
      <c r="A9275" t="s">
        <v>161</v>
      </c>
      <c r="B9275" s="9">
        <v>0.15</v>
      </c>
      <c r="C9275" t="s">
        <v>161</v>
      </c>
    </row>
    <row r="9276" spans="1:3" x14ac:dyDescent="0.25">
      <c r="A9276" t="s">
        <v>162</v>
      </c>
      <c r="B9276" s="9">
        <v>0.15</v>
      </c>
      <c r="C9276" t="s">
        <v>162</v>
      </c>
    </row>
    <row r="9277" spans="1:3" x14ac:dyDescent="0.25">
      <c r="A9277" t="s">
        <v>163</v>
      </c>
      <c r="B9277" s="9">
        <v>0.15</v>
      </c>
      <c r="C9277" t="s">
        <v>163</v>
      </c>
    </row>
    <row r="9278" spans="1:3" x14ac:dyDescent="0.25">
      <c r="A9278" t="s">
        <v>9724</v>
      </c>
      <c r="B9278" s="9">
        <v>0.15</v>
      </c>
    </row>
    <row r="9279" spans="1:3" x14ac:dyDescent="0.25">
      <c r="A9279" t="s">
        <v>164</v>
      </c>
      <c r="B9279" s="9">
        <v>0.15</v>
      </c>
      <c r="C9279" t="s">
        <v>164</v>
      </c>
    </row>
    <row r="9280" spans="1:3" x14ac:dyDescent="0.25">
      <c r="A9280" t="s">
        <v>9725</v>
      </c>
      <c r="B9280" s="9">
        <v>0.04</v>
      </c>
    </row>
    <row r="9281" spans="1:3" x14ac:dyDescent="0.25">
      <c r="A9281" t="s">
        <v>165</v>
      </c>
      <c r="B9281" s="9">
        <v>0.15</v>
      </c>
      <c r="C9281" t="s">
        <v>165</v>
      </c>
    </row>
    <row r="9282" spans="1:3" x14ac:dyDescent="0.25">
      <c r="A9282" t="s">
        <v>166</v>
      </c>
      <c r="B9282" s="9">
        <v>0.15</v>
      </c>
      <c r="C9282" t="s">
        <v>166</v>
      </c>
    </row>
    <row r="9283" spans="1:3" x14ac:dyDescent="0.25">
      <c r="A9283" t="s">
        <v>9726</v>
      </c>
      <c r="B9283" s="9">
        <v>0.04</v>
      </c>
    </row>
    <row r="9284" spans="1:3" x14ac:dyDescent="0.25">
      <c r="A9284" t="s">
        <v>9727</v>
      </c>
      <c r="B9284" s="9">
        <v>0.15</v>
      </c>
    </row>
    <row r="9285" spans="1:3" x14ac:dyDescent="0.25">
      <c r="A9285" t="s">
        <v>168</v>
      </c>
      <c r="B9285" s="9">
        <v>0.15</v>
      </c>
      <c r="C9285" t="s">
        <v>168</v>
      </c>
    </row>
    <row r="9286" spans="1:3" x14ac:dyDescent="0.25">
      <c r="A9286" t="s">
        <v>169</v>
      </c>
      <c r="B9286" s="9">
        <v>0.15</v>
      </c>
      <c r="C9286" t="s">
        <v>169</v>
      </c>
    </row>
    <row r="9287" spans="1:3" x14ac:dyDescent="0.25">
      <c r="A9287" t="s">
        <v>170</v>
      </c>
      <c r="B9287" s="9">
        <v>0.15</v>
      </c>
      <c r="C9287" t="s">
        <v>170</v>
      </c>
    </row>
    <row r="9288" spans="1:3" x14ac:dyDescent="0.25">
      <c r="A9288" t="s">
        <v>171</v>
      </c>
      <c r="B9288" s="9">
        <v>0.15</v>
      </c>
      <c r="C9288" t="s">
        <v>171</v>
      </c>
    </row>
    <row r="9289" spans="1:3" x14ac:dyDescent="0.25">
      <c r="A9289" t="s">
        <v>172</v>
      </c>
      <c r="B9289" s="9">
        <v>0.15</v>
      </c>
      <c r="C9289" t="s">
        <v>172</v>
      </c>
    </row>
    <row r="9290" spans="1:3" x14ac:dyDescent="0.25">
      <c r="A9290" t="s">
        <v>173</v>
      </c>
      <c r="B9290" s="9">
        <v>0.15</v>
      </c>
      <c r="C9290" t="s">
        <v>173</v>
      </c>
    </row>
    <row r="9291" spans="1:3" x14ac:dyDescent="0.25">
      <c r="A9291" t="s">
        <v>9728</v>
      </c>
      <c r="B9291" s="9">
        <v>0.15</v>
      </c>
    </row>
    <row r="9292" spans="1:3" x14ac:dyDescent="0.25">
      <c r="A9292" t="s">
        <v>9729</v>
      </c>
      <c r="B9292" s="9">
        <v>0.15</v>
      </c>
    </row>
    <row r="9293" spans="1:3" x14ac:dyDescent="0.25">
      <c r="A9293" t="s">
        <v>9730</v>
      </c>
      <c r="B9293" s="9">
        <v>0.15</v>
      </c>
    </row>
    <row r="9294" spans="1:3" x14ac:dyDescent="0.25">
      <c r="A9294" t="s">
        <v>9731</v>
      </c>
      <c r="B9294" s="9">
        <v>0</v>
      </c>
    </row>
    <row r="9295" spans="1:3" x14ac:dyDescent="0.25">
      <c r="A9295" t="s">
        <v>9732</v>
      </c>
      <c r="B9295" s="9">
        <v>0.05</v>
      </c>
    </row>
    <row r="9296" spans="1:3" x14ac:dyDescent="0.25">
      <c r="A9296" t="s">
        <v>9733</v>
      </c>
      <c r="B9296" s="9">
        <v>0</v>
      </c>
    </row>
    <row r="9297" spans="1:2" x14ac:dyDescent="0.25">
      <c r="A9297" t="s">
        <v>9734</v>
      </c>
      <c r="B9297" s="9">
        <v>0.05</v>
      </c>
    </row>
    <row r="9298" spans="1:2" x14ac:dyDescent="0.25">
      <c r="A9298" t="s">
        <v>9735</v>
      </c>
      <c r="B9298" s="9">
        <v>0.05</v>
      </c>
    </row>
    <row r="9299" spans="1:2" x14ac:dyDescent="0.25">
      <c r="A9299" t="s">
        <v>9736</v>
      </c>
      <c r="B9299" s="9">
        <v>0</v>
      </c>
    </row>
    <row r="9300" spans="1:2" x14ac:dyDescent="0.25">
      <c r="A9300" t="s">
        <v>9737</v>
      </c>
      <c r="B9300" s="9">
        <v>0</v>
      </c>
    </row>
    <row r="9301" spans="1:2" x14ac:dyDescent="0.25">
      <c r="A9301" t="s">
        <v>9738</v>
      </c>
      <c r="B9301" s="9">
        <v>0.05</v>
      </c>
    </row>
    <row r="9302" spans="1:2" x14ac:dyDescent="0.25">
      <c r="A9302" t="s">
        <v>9739</v>
      </c>
      <c r="B9302" s="9">
        <v>0</v>
      </c>
    </row>
    <row r="9303" spans="1:2" x14ac:dyDescent="0.25">
      <c r="A9303" t="s">
        <v>9740</v>
      </c>
      <c r="B9303" s="9">
        <v>0.05</v>
      </c>
    </row>
    <row r="9304" spans="1:2" x14ac:dyDescent="0.25">
      <c r="A9304" t="s">
        <v>9741</v>
      </c>
      <c r="B9304" s="9">
        <v>0</v>
      </c>
    </row>
    <row r="9305" spans="1:2" x14ac:dyDescent="0.25">
      <c r="A9305" t="s">
        <v>9742</v>
      </c>
      <c r="B9305" s="9">
        <v>0</v>
      </c>
    </row>
    <row r="9306" spans="1:2" x14ac:dyDescent="0.25">
      <c r="A9306" t="s">
        <v>9743</v>
      </c>
      <c r="B9306" s="9">
        <v>0.05</v>
      </c>
    </row>
    <row r="9307" spans="1:2" x14ac:dyDescent="0.25">
      <c r="A9307" t="s">
        <v>9744</v>
      </c>
      <c r="B9307" s="9">
        <v>0.05</v>
      </c>
    </row>
    <row r="9308" spans="1:2" x14ac:dyDescent="0.25">
      <c r="A9308" t="s">
        <v>9745</v>
      </c>
      <c r="B9308" s="9">
        <v>0</v>
      </c>
    </row>
    <row r="9309" spans="1:2" x14ac:dyDescent="0.25">
      <c r="A9309" t="s">
        <v>9746</v>
      </c>
      <c r="B9309" s="9">
        <v>0</v>
      </c>
    </row>
    <row r="9310" spans="1:2" x14ac:dyDescent="0.25">
      <c r="A9310" t="s">
        <v>9747</v>
      </c>
      <c r="B9310" s="9">
        <v>0</v>
      </c>
    </row>
    <row r="9311" spans="1:2" x14ac:dyDescent="0.25">
      <c r="A9311" t="s">
        <v>9748</v>
      </c>
      <c r="B9311" s="9">
        <v>0</v>
      </c>
    </row>
    <row r="9312" spans="1:2" x14ac:dyDescent="0.25">
      <c r="A9312" t="s">
        <v>9749</v>
      </c>
      <c r="B9312" s="9">
        <v>0</v>
      </c>
    </row>
    <row r="9313" spans="1:2" x14ac:dyDescent="0.25">
      <c r="A9313" t="s">
        <v>9750</v>
      </c>
      <c r="B9313" s="9">
        <v>0</v>
      </c>
    </row>
    <row r="9314" spans="1:2" x14ac:dyDescent="0.25">
      <c r="A9314" t="s">
        <v>9751</v>
      </c>
      <c r="B9314" s="9">
        <v>0</v>
      </c>
    </row>
    <row r="9315" spans="1:2" x14ac:dyDescent="0.25">
      <c r="A9315" t="s">
        <v>9752</v>
      </c>
      <c r="B9315" s="9">
        <v>0</v>
      </c>
    </row>
    <row r="9316" spans="1:2" x14ac:dyDescent="0.25">
      <c r="A9316" t="s">
        <v>9753</v>
      </c>
      <c r="B9316" s="9">
        <v>0</v>
      </c>
    </row>
    <row r="9317" spans="1:2" x14ac:dyDescent="0.25">
      <c r="A9317" t="s">
        <v>9754</v>
      </c>
      <c r="B9317" s="9">
        <v>0.2</v>
      </c>
    </row>
    <row r="9318" spans="1:2" x14ac:dyDescent="0.25">
      <c r="A9318" t="s">
        <v>9755</v>
      </c>
      <c r="B9318" s="9">
        <v>0</v>
      </c>
    </row>
    <row r="9319" spans="1:2" x14ac:dyDescent="0.25">
      <c r="A9319" t="s">
        <v>9756</v>
      </c>
      <c r="B9319" s="9">
        <v>0.2</v>
      </c>
    </row>
    <row r="9320" spans="1:2" x14ac:dyDescent="0.25">
      <c r="A9320" t="s">
        <v>9757</v>
      </c>
      <c r="B9320" s="9">
        <v>0.2</v>
      </c>
    </row>
    <row r="9321" spans="1:2" x14ac:dyDescent="0.25">
      <c r="A9321" t="s">
        <v>9758</v>
      </c>
      <c r="B9321" s="9">
        <v>0.2</v>
      </c>
    </row>
    <row r="9322" spans="1:2" x14ac:dyDescent="0.25">
      <c r="A9322" t="s">
        <v>9759</v>
      </c>
      <c r="B9322" s="9">
        <v>0.2</v>
      </c>
    </row>
    <row r="9323" spans="1:2" x14ac:dyDescent="0.25">
      <c r="A9323" t="s">
        <v>9760</v>
      </c>
      <c r="B9323" s="9">
        <v>0.2</v>
      </c>
    </row>
    <row r="9324" spans="1:2" x14ac:dyDescent="0.25">
      <c r="A9324" t="s">
        <v>9761</v>
      </c>
      <c r="B9324" s="9">
        <v>0.1</v>
      </c>
    </row>
    <row r="9325" spans="1:2" x14ac:dyDescent="0.25">
      <c r="A9325" t="s">
        <v>9762</v>
      </c>
      <c r="B9325" s="9">
        <v>0.35</v>
      </c>
    </row>
    <row r="9326" spans="1:2" x14ac:dyDescent="0.25">
      <c r="A9326" t="s">
        <v>9763</v>
      </c>
      <c r="B9326" s="9">
        <v>0.12</v>
      </c>
    </row>
    <row r="9327" spans="1:2" x14ac:dyDescent="0.25">
      <c r="A9327" t="s">
        <v>9764</v>
      </c>
      <c r="B9327" s="9">
        <v>0.05</v>
      </c>
    </row>
    <row r="9328" spans="1:2" x14ac:dyDescent="0.25">
      <c r="A9328" t="s">
        <v>9765</v>
      </c>
      <c r="B9328" s="9">
        <v>0.12</v>
      </c>
    </row>
    <row r="9329" spans="1:2" x14ac:dyDescent="0.25">
      <c r="A9329" t="s">
        <v>9766</v>
      </c>
      <c r="B9329" s="9">
        <v>0.12</v>
      </c>
    </row>
    <row r="9330" spans="1:2" x14ac:dyDescent="0.25">
      <c r="A9330" t="s">
        <v>9767</v>
      </c>
      <c r="B9330" s="9">
        <v>0.12</v>
      </c>
    </row>
    <row r="9331" spans="1:2" x14ac:dyDescent="0.25">
      <c r="A9331" t="s">
        <v>9768</v>
      </c>
      <c r="B9331" s="9">
        <v>0.12</v>
      </c>
    </row>
    <row r="9332" spans="1:2" x14ac:dyDescent="0.25">
      <c r="A9332" t="s">
        <v>9769</v>
      </c>
      <c r="B9332" s="9">
        <v>0.15</v>
      </c>
    </row>
    <row r="9333" spans="1:2" x14ac:dyDescent="0.25">
      <c r="A9333" t="s">
        <v>9770</v>
      </c>
      <c r="B9333" s="9">
        <v>0.1</v>
      </c>
    </row>
    <row r="9334" spans="1:2" x14ac:dyDescent="0.25">
      <c r="A9334" t="s">
        <v>9771</v>
      </c>
      <c r="B9334" s="9">
        <v>0.1</v>
      </c>
    </row>
    <row r="9335" spans="1:2" x14ac:dyDescent="0.25">
      <c r="A9335" t="s">
        <v>9772</v>
      </c>
      <c r="B9335" s="9">
        <v>0.1</v>
      </c>
    </row>
    <row r="9336" spans="1:2" x14ac:dyDescent="0.25">
      <c r="A9336" t="s">
        <v>9773</v>
      </c>
      <c r="B9336" s="9">
        <v>0.05</v>
      </c>
    </row>
    <row r="9337" spans="1:2" x14ac:dyDescent="0.25">
      <c r="A9337" t="s">
        <v>9774</v>
      </c>
      <c r="B9337" s="9">
        <v>0.1</v>
      </c>
    </row>
    <row r="9338" spans="1:2" x14ac:dyDescent="0.25">
      <c r="A9338" t="s">
        <v>9775</v>
      </c>
      <c r="B9338" s="9">
        <v>0.15</v>
      </c>
    </row>
    <row r="9339" spans="1:2" x14ac:dyDescent="0.25">
      <c r="A9339" t="s">
        <v>9776</v>
      </c>
      <c r="B9339" s="9">
        <v>0.15</v>
      </c>
    </row>
    <row r="9340" spans="1:2" x14ac:dyDescent="0.25">
      <c r="A9340" t="s">
        <v>9777</v>
      </c>
      <c r="B9340" s="9">
        <v>0.15</v>
      </c>
    </row>
    <row r="9341" spans="1:2" x14ac:dyDescent="0.25">
      <c r="A9341" t="s">
        <v>9778</v>
      </c>
      <c r="B9341" s="9">
        <v>0.15</v>
      </c>
    </row>
    <row r="9342" spans="1:2" x14ac:dyDescent="0.25">
      <c r="A9342" t="s">
        <v>9779</v>
      </c>
      <c r="B9342" s="9">
        <v>0.15</v>
      </c>
    </row>
    <row r="9343" spans="1:2" x14ac:dyDescent="0.25">
      <c r="A9343" t="s">
        <v>9780</v>
      </c>
      <c r="B9343" s="9">
        <v>0.15</v>
      </c>
    </row>
    <row r="9344" spans="1:2" x14ac:dyDescent="0.25">
      <c r="A9344" t="s">
        <v>9781</v>
      </c>
      <c r="B9344" s="9">
        <v>0.15</v>
      </c>
    </row>
    <row r="9345" spans="1:2" x14ac:dyDescent="0.25">
      <c r="A9345" t="s">
        <v>9782</v>
      </c>
      <c r="B9345" s="9">
        <v>0.15</v>
      </c>
    </row>
    <row r="9346" spans="1:2" x14ac:dyDescent="0.25">
      <c r="A9346" t="s">
        <v>9783</v>
      </c>
      <c r="B9346" s="9">
        <v>0.15</v>
      </c>
    </row>
    <row r="9347" spans="1:2" x14ac:dyDescent="0.25">
      <c r="A9347" t="s">
        <v>9784</v>
      </c>
      <c r="B9347" s="9">
        <v>0.15</v>
      </c>
    </row>
    <row r="9348" spans="1:2" x14ac:dyDescent="0.25">
      <c r="A9348" t="s">
        <v>9785</v>
      </c>
      <c r="B9348" s="9">
        <v>0.15</v>
      </c>
    </row>
    <row r="9349" spans="1:2" x14ac:dyDescent="0.25">
      <c r="A9349" t="s">
        <v>9786</v>
      </c>
      <c r="B9349" s="9">
        <v>0.15</v>
      </c>
    </row>
    <row r="9350" spans="1:2" x14ac:dyDescent="0.25">
      <c r="A9350" t="s">
        <v>9787</v>
      </c>
      <c r="B9350" s="9">
        <v>0.15</v>
      </c>
    </row>
    <row r="9351" spans="1:2" x14ac:dyDescent="0.25">
      <c r="A9351" t="s">
        <v>9788</v>
      </c>
      <c r="B9351" s="9">
        <v>0.15</v>
      </c>
    </row>
    <row r="9352" spans="1:2" x14ac:dyDescent="0.25">
      <c r="A9352" t="s">
        <v>9789</v>
      </c>
      <c r="B9352" s="9">
        <v>0.15</v>
      </c>
    </row>
    <row r="9353" spans="1:2" x14ac:dyDescent="0.25">
      <c r="A9353" t="s">
        <v>9790</v>
      </c>
      <c r="B9353" s="9">
        <v>0.1</v>
      </c>
    </row>
    <row r="9354" spans="1:2" x14ac:dyDescent="0.25">
      <c r="A9354" t="s">
        <v>9791</v>
      </c>
      <c r="B9354" s="9">
        <v>0.15</v>
      </c>
    </row>
    <row r="9355" spans="1:2" x14ac:dyDescent="0.25">
      <c r="A9355" t="s">
        <v>9792</v>
      </c>
      <c r="B9355" s="9">
        <v>0.1</v>
      </c>
    </row>
    <row r="9356" spans="1:2" x14ac:dyDescent="0.25">
      <c r="A9356" t="s">
        <v>9793</v>
      </c>
      <c r="B9356" s="9">
        <v>0.1</v>
      </c>
    </row>
    <row r="9357" spans="1:2" x14ac:dyDescent="0.25">
      <c r="A9357" t="s">
        <v>9794</v>
      </c>
      <c r="B9357" s="9">
        <v>0.15</v>
      </c>
    </row>
    <row r="9358" spans="1:2" x14ac:dyDescent="0.25">
      <c r="A9358" t="s">
        <v>9795</v>
      </c>
      <c r="B9358" s="9">
        <v>0.15</v>
      </c>
    </row>
    <row r="9359" spans="1:2" x14ac:dyDescent="0.25">
      <c r="A9359" t="s">
        <v>9796</v>
      </c>
      <c r="B9359" s="9">
        <v>0.15</v>
      </c>
    </row>
    <row r="9360" spans="1:2" x14ac:dyDescent="0.25">
      <c r="A9360" t="s">
        <v>9797</v>
      </c>
      <c r="B9360" s="9">
        <v>0.15</v>
      </c>
    </row>
    <row r="9361" spans="1:2" x14ac:dyDescent="0.25">
      <c r="A9361" t="s">
        <v>9798</v>
      </c>
      <c r="B9361" s="9">
        <v>0.15</v>
      </c>
    </row>
    <row r="9362" spans="1:2" x14ac:dyDescent="0.25">
      <c r="A9362" t="s">
        <v>9799</v>
      </c>
      <c r="B9362" s="9">
        <v>0.15</v>
      </c>
    </row>
    <row r="9363" spans="1:2" x14ac:dyDescent="0.25">
      <c r="A9363" t="s">
        <v>9800</v>
      </c>
      <c r="B9363" s="9">
        <v>0.15</v>
      </c>
    </row>
    <row r="9364" spans="1:2" x14ac:dyDescent="0.25">
      <c r="A9364" t="s">
        <v>9801</v>
      </c>
      <c r="B9364" s="9">
        <v>0.15</v>
      </c>
    </row>
    <row r="9365" spans="1:2" x14ac:dyDescent="0.25">
      <c r="A9365" t="s">
        <v>9802</v>
      </c>
      <c r="B9365" s="9">
        <v>0.15</v>
      </c>
    </row>
    <row r="9366" spans="1:2" x14ac:dyDescent="0.25">
      <c r="A9366" t="s">
        <v>9803</v>
      </c>
      <c r="B9366" s="9">
        <v>0.15</v>
      </c>
    </row>
    <row r="9367" spans="1:2" x14ac:dyDescent="0.25">
      <c r="A9367" t="s">
        <v>9804</v>
      </c>
      <c r="B9367" s="9">
        <v>0.15</v>
      </c>
    </row>
    <row r="9368" spans="1:2" x14ac:dyDescent="0.25">
      <c r="A9368" t="s">
        <v>9805</v>
      </c>
      <c r="B9368" s="9">
        <v>0.15</v>
      </c>
    </row>
    <row r="9369" spans="1:2" x14ac:dyDescent="0.25">
      <c r="A9369" t="s">
        <v>9806</v>
      </c>
      <c r="B9369" s="9">
        <v>0.15</v>
      </c>
    </row>
    <row r="9370" spans="1:2" x14ac:dyDescent="0.25">
      <c r="A9370" t="s">
        <v>9807</v>
      </c>
      <c r="B9370" s="9">
        <v>0.15</v>
      </c>
    </row>
    <row r="9371" spans="1:2" x14ac:dyDescent="0.25">
      <c r="A9371" t="s">
        <v>9808</v>
      </c>
      <c r="B9371" s="9">
        <v>0</v>
      </c>
    </row>
    <row r="9372" spans="1:2" x14ac:dyDescent="0.25">
      <c r="A9372" t="s">
        <v>9809</v>
      </c>
      <c r="B9372" s="9">
        <v>0</v>
      </c>
    </row>
    <row r="9373" spans="1:2" x14ac:dyDescent="0.25">
      <c r="A9373" t="s">
        <v>9810</v>
      </c>
      <c r="B9373" s="9">
        <v>0.15</v>
      </c>
    </row>
    <row r="9374" spans="1:2" x14ac:dyDescent="0.25">
      <c r="A9374" t="s">
        <v>9811</v>
      </c>
      <c r="B9374" s="9">
        <v>0.15</v>
      </c>
    </row>
    <row r="9375" spans="1:2" x14ac:dyDescent="0.25">
      <c r="A9375" t="s">
        <v>9812</v>
      </c>
      <c r="B9375" s="9">
        <v>0.15</v>
      </c>
    </row>
    <row r="9376" spans="1:2" x14ac:dyDescent="0.25">
      <c r="A9376" t="s">
        <v>9813</v>
      </c>
      <c r="B9376" s="9">
        <v>0.15</v>
      </c>
    </row>
    <row r="9377" spans="1:2" x14ac:dyDescent="0.25">
      <c r="A9377" t="s">
        <v>9814</v>
      </c>
      <c r="B9377" s="9">
        <v>0.15</v>
      </c>
    </row>
    <row r="9378" spans="1:2" x14ac:dyDescent="0.25">
      <c r="A9378" t="s">
        <v>9815</v>
      </c>
      <c r="B9378" s="9">
        <v>0.15</v>
      </c>
    </row>
    <row r="9379" spans="1:2" x14ac:dyDescent="0.25">
      <c r="A9379" t="s">
        <v>9816</v>
      </c>
      <c r="B9379" s="9">
        <v>0.15</v>
      </c>
    </row>
    <row r="9380" spans="1:2" x14ac:dyDescent="0.25">
      <c r="A9380" t="s">
        <v>9817</v>
      </c>
      <c r="B9380" s="9">
        <v>0.15</v>
      </c>
    </row>
    <row r="9381" spans="1:2" x14ac:dyDescent="0.25">
      <c r="A9381" t="s">
        <v>9818</v>
      </c>
      <c r="B9381" s="9">
        <v>0.15</v>
      </c>
    </row>
    <row r="9382" spans="1:2" x14ac:dyDescent="0.25">
      <c r="A9382" t="s">
        <v>9819</v>
      </c>
      <c r="B9382" s="9">
        <v>0.15</v>
      </c>
    </row>
    <row r="9383" spans="1:2" x14ac:dyDescent="0.25">
      <c r="A9383" t="s">
        <v>9820</v>
      </c>
      <c r="B9383" s="9">
        <v>0.15</v>
      </c>
    </row>
    <row r="9384" spans="1:2" x14ac:dyDescent="0.25">
      <c r="A9384" t="s">
        <v>9821</v>
      </c>
      <c r="B9384" s="9">
        <v>0.15</v>
      </c>
    </row>
    <row r="9385" spans="1:2" x14ac:dyDescent="0.25">
      <c r="A9385" t="s">
        <v>9822</v>
      </c>
      <c r="B9385" s="9">
        <v>0.15</v>
      </c>
    </row>
    <row r="9386" spans="1:2" x14ac:dyDescent="0.25">
      <c r="A9386" t="s">
        <v>9823</v>
      </c>
      <c r="B9386" s="9">
        <v>0.15</v>
      </c>
    </row>
    <row r="9387" spans="1:2" x14ac:dyDescent="0.25">
      <c r="A9387" t="s">
        <v>9824</v>
      </c>
      <c r="B9387" s="9">
        <v>0.15</v>
      </c>
    </row>
    <row r="9388" spans="1:2" x14ac:dyDescent="0.25">
      <c r="A9388" t="s">
        <v>9825</v>
      </c>
      <c r="B9388" s="9">
        <v>0.15</v>
      </c>
    </row>
    <row r="9389" spans="1:2" x14ac:dyDescent="0.25">
      <c r="A9389" t="s">
        <v>9826</v>
      </c>
      <c r="B9389" s="9">
        <v>0.15</v>
      </c>
    </row>
    <row r="9390" spans="1:2" x14ac:dyDescent="0.25">
      <c r="A9390" t="s">
        <v>9827</v>
      </c>
      <c r="B9390" s="9">
        <v>0.15</v>
      </c>
    </row>
    <row r="9391" spans="1:2" x14ac:dyDescent="0.25">
      <c r="A9391" t="s">
        <v>9828</v>
      </c>
      <c r="B9391" s="9">
        <v>0.15</v>
      </c>
    </row>
    <row r="9392" spans="1:2" x14ac:dyDescent="0.25">
      <c r="A9392" t="s">
        <v>9829</v>
      </c>
      <c r="B9392" s="9">
        <v>0.15</v>
      </c>
    </row>
    <row r="9393" spans="1:2" x14ac:dyDescent="0.25">
      <c r="A9393" t="s">
        <v>9830</v>
      </c>
      <c r="B9393" s="9">
        <v>0.15</v>
      </c>
    </row>
    <row r="9394" spans="1:2" x14ac:dyDescent="0.25">
      <c r="A9394" t="s">
        <v>9831</v>
      </c>
      <c r="B9394" s="9">
        <v>0.15</v>
      </c>
    </row>
    <row r="9395" spans="1:2" x14ac:dyDescent="0.25">
      <c r="A9395" t="s">
        <v>9832</v>
      </c>
      <c r="B9395" s="9">
        <v>0.15</v>
      </c>
    </row>
    <row r="9396" spans="1:2" x14ac:dyDescent="0.25">
      <c r="A9396" t="s">
        <v>9833</v>
      </c>
      <c r="B9396" s="9">
        <v>0.15</v>
      </c>
    </row>
    <row r="9397" spans="1:2" x14ac:dyDescent="0.25">
      <c r="A9397" t="s">
        <v>9834</v>
      </c>
      <c r="B9397" s="9">
        <v>0.15</v>
      </c>
    </row>
    <row r="9398" spans="1:2" x14ac:dyDescent="0.25">
      <c r="A9398" t="s">
        <v>9835</v>
      </c>
      <c r="B9398" s="9">
        <v>0.15</v>
      </c>
    </row>
    <row r="9399" spans="1:2" x14ac:dyDescent="0.25">
      <c r="A9399" t="s">
        <v>9836</v>
      </c>
      <c r="B9399" s="9">
        <v>0.15</v>
      </c>
    </row>
    <row r="9400" spans="1:2" x14ac:dyDescent="0.25">
      <c r="A9400" t="s">
        <v>9837</v>
      </c>
      <c r="B9400" s="9">
        <v>0.15</v>
      </c>
    </row>
    <row r="9401" spans="1:2" x14ac:dyDescent="0.25">
      <c r="A9401" t="s">
        <v>9838</v>
      </c>
      <c r="B9401" s="9">
        <v>0.15</v>
      </c>
    </row>
    <row r="9402" spans="1:2" x14ac:dyDescent="0.25">
      <c r="A9402" t="s">
        <v>9839</v>
      </c>
      <c r="B9402" s="9">
        <v>0.15</v>
      </c>
    </row>
    <row r="9403" spans="1:2" x14ac:dyDescent="0.25">
      <c r="A9403" t="s">
        <v>9840</v>
      </c>
      <c r="B9403" s="9">
        <v>0.15</v>
      </c>
    </row>
    <row r="9404" spans="1:2" x14ac:dyDescent="0.25">
      <c r="A9404" t="s">
        <v>9841</v>
      </c>
      <c r="B9404" s="9">
        <v>0.15</v>
      </c>
    </row>
    <row r="9405" spans="1:2" x14ac:dyDescent="0.25">
      <c r="A9405" t="s">
        <v>9842</v>
      </c>
      <c r="B9405" s="9">
        <v>0.15</v>
      </c>
    </row>
    <row r="9406" spans="1:2" x14ac:dyDescent="0.25">
      <c r="A9406" t="s">
        <v>9843</v>
      </c>
      <c r="B9406" s="9">
        <v>0.15</v>
      </c>
    </row>
    <row r="9407" spans="1:2" x14ac:dyDescent="0.25">
      <c r="A9407" t="s">
        <v>9844</v>
      </c>
      <c r="B9407" s="9">
        <v>0.15</v>
      </c>
    </row>
    <row r="9408" spans="1:2" x14ac:dyDescent="0.25">
      <c r="A9408" t="s">
        <v>9845</v>
      </c>
      <c r="B9408" s="9">
        <v>0.2</v>
      </c>
    </row>
    <row r="9409" spans="1:2" x14ac:dyDescent="0.25">
      <c r="A9409" t="s">
        <v>9846</v>
      </c>
      <c r="B9409" s="9">
        <v>0.15</v>
      </c>
    </row>
    <row r="9410" spans="1:2" x14ac:dyDescent="0.25">
      <c r="A9410" t="s">
        <v>9847</v>
      </c>
      <c r="B9410" s="9">
        <v>0.15</v>
      </c>
    </row>
    <row r="9411" spans="1:2" x14ac:dyDescent="0.25">
      <c r="A9411" t="s">
        <v>9848</v>
      </c>
      <c r="B9411" s="9">
        <v>0.05</v>
      </c>
    </row>
    <row r="9412" spans="1:2" x14ac:dyDescent="0.25">
      <c r="A9412" t="s">
        <v>9849</v>
      </c>
      <c r="B9412" s="9">
        <v>0.1</v>
      </c>
    </row>
    <row r="9413" spans="1:2" x14ac:dyDescent="0.25">
      <c r="A9413" t="s">
        <v>9850</v>
      </c>
      <c r="B9413" s="9">
        <v>0.1</v>
      </c>
    </row>
    <row r="9414" spans="1:2" x14ac:dyDescent="0.25">
      <c r="A9414" t="s">
        <v>9851</v>
      </c>
      <c r="B9414" s="9">
        <v>0.1</v>
      </c>
    </row>
    <row r="9415" spans="1:2" x14ac:dyDescent="0.25">
      <c r="A9415" t="s">
        <v>9852</v>
      </c>
      <c r="B9415" s="9">
        <v>0.1</v>
      </c>
    </row>
    <row r="9416" spans="1:2" x14ac:dyDescent="0.25">
      <c r="A9416" t="s">
        <v>9853</v>
      </c>
      <c r="B9416" s="9">
        <v>0.05</v>
      </c>
    </row>
    <row r="9417" spans="1:2" x14ac:dyDescent="0.25">
      <c r="A9417" t="s">
        <v>9854</v>
      </c>
      <c r="B9417" s="9">
        <v>0.15</v>
      </c>
    </row>
    <row r="9418" spans="1:2" x14ac:dyDescent="0.25">
      <c r="A9418" t="s">
        <v>9855</v>
      </c>
      <c r="B9418" s="9">
        <v>0.15</v>
      </c>
    </row>
    <row r="9419" spans="1:2" x14ac:dyDescent="0.25">
      <c r="A9419" t="s">
        <v>9856</v>
      </c>
      <c r="B9419" s="9">
        <v>0.15</v>
      </c>
    </row>
    <row r="9420" spans="1:2" x14ac:dyDescent="0.25">
      <c r="A9420" t="s">
        <v>9857</v>
      </c>
      <c r="B9420" s="9">
        <v>0.05</v>
      </c>
    </row>
    <row r="9421" spans="1:2" x14ac:dyDescent="0.25">
      <c r="A9421" t="s">
        <v>9858</v>
      </c>
      <c r="B9421" s="9">
        <v>0.15</v>
      </c>
    </row>
    <row r="9422" spans="1:2" x14ac:dyDescent="0.25">
      <c r="A9422" t="s">
        <v>9859</v>
      </c>
      <c r="B9422" s="9">
        <v>0.15</v>
      </c>
    </row>
    <row r="9423" spans="1:2" x14ac:dyDescent="0.25">
      <c r="A9423" t="s">
        <v>9860</v>
      </c>
      <c r="B9423" s="9">
        <v>0.15</v>
      </c>
    </row>
    <row r="9424" spans="1:2" x14ac:dyDescent="0.25">
      <c r="A9424" t="s">
        <v>9861</v>
      </c>
      <c r="B9424" s="9">
        <v>0.15</v>
      </c>
    </row>
    <row r="9425" spans="1:2" x14ac:dyDescent="0.25">
      <c r="A9425" t="s">
        <v>9862</v>
      </c>
      <c r="B9425" s="9">
        <v>0.15</v>
      </c>
    </row>
    <row r="9426" spans="1:2" x14ac:dyDescent="0.25">
      <c r="A9426" t="s">
        <v>9863</v>
      </c>
      <c r="B9426" s="9">
        <v>0.15</v>
      </c>
    </row>
    <row r="9427" spans="1:2" x14ac:dyDescent="0.25">
      <c r="A9427" t="s">
        <v>9864</v>
      </c>
      <c r="B9427" s="9">
        <v>0.25</v>
      </c>
    </row>
    <row r="9428" spans="1:2" x14ac:dyDescent="0.25">
      <c r="A9428" t="s">
        <v>9865</v>
      </c>
      <c r="B9428" s="9">
        <v>0.3</v>
      </c>
    </row>
    <row r="9429" spans="1:2" x14ac:dyDescent="0.25">
      <c r="A9429" t="s">
        <v>9866</v>
      </c>
      <c r="B9429" s="9">
        <v>0.25</v>
      </c>
    </row>
    <row r="9430" spans="1:2" x14ac:dyDescent="0.25">
      <c r="A9430" t="s">
        <v>9867</v>
      </c>
      <c r="B9430" s="9">
        <v>0.3</v>
      </c>
    </row>
    <row r="9431" spans="1:2" x14ac:dyDescent="0.25">
      <c r="A9431" t="s">
        <v>9868</v>
      </c>
      <c r="B9431" s="9">
        <v>0.25</v>
      </c>
    </row>
    <row r="9432" spans="1:2" x14ac:dyDescent="0.25">
      <c r="A9432" t="s">
        <v>9869</v>
      </c>
      <c r="B9432" s="9">
        <v>0.25</v>
      </c>
    </row>
    <row r="9433" spans="1:2" x14ac:dyDescent="0.25">
      <c r="A9433" t="s">
        <v>9870</v>
      </c>
      <c r="B9433" s="9">
        <v>0</v>
      </c>
    </row>
    <row r="9434" spans="1:2" x14ac:dyDescent="0.25">
      <c r="A9434" t="s">
        <v>9871</v>
      </c>
      <c r="B9434" s="9">
        <v>0.3</v>
      </c>
    </row>
    <row r="9435" spans="1:2" x14ac:dyDescent="0.25">
      <c r="A9435" t="s">
        <v>9872</v>
      </c>
      <c r="B9435" s="9">
        <v>0.3</v>
      </c>
    </row>
    <row r="9436" spans="1:2" x14ac:dyDescent="0.25">
      <c r="A9436" t="s">
        <v>9873</v>
      </c>
      <c r="B9436" s="9">
        <v>0.25</v>
      </c>
    </row>
    <row r="9437" spans="1:2" x14ac:dyDescent="0.25">
      <c r="A9437" t="s">
        <v>9874</v>
      </c>
      <c r="B9437" s="9">
        <v>0.18</v>
      </c>
    </row>
    <row r="9438" spans="1:2" x14ac:dyDescent="0.25">
      <c r="A9438" t="s">
        <v>9875</v>
      </c>
      <c r="B9438" s="9">
        <v>0.25</v>
      </c>
    </row>
    <row r="9439" spans="1:2" x14ac:dyDescent="0.25">
      <c r="A9439" t="s">
        <v>9876</v>
      </c>
      <c r="B9439" s="9">
        <v>0.25</v>
      </c>
    </row>
    <row r="9440" spans="1:2" x14ac:dyDescent="0.25">
      <c r="A9440" t="s">
        <v>9877</v>
      </c>
      <c r="B9440" s="9">
        <v>0.25</v>
      </c>
    </row>
    <row r="9441" spans="1:2" x14ac:dyDescent="0.25">
      <c r="A9441" t="s">
        <v>9878</v>
      </c>
      <c r="B9441" s="9">
        <v>0.25</v>
      </c>
    </row>
    <row r="9442" spans="1:2" x14ac:dyDescent="0.25">
      <c r="A9442" t="s">
        <v>9879</v>
      </c>
      <c r="B9442" s="9">
        <v>0.05</v>
      </c>
    </row>
    <row r="9443" spans="1:2" x14ac:dyDescent="0.25">
      <c r="A9443" t="s">
        <v>9880</v>
      </c>
      <c r="B9443" s="9">
        <v>0.15</v>
      </c>
    </row>
    <row r="9444" spans="1:2" x14ac:dyDescent="0.25">
      <c r="A9444" t="s">
        <v>9881</v>
      </c>
      <c r="B9444" s="9">
        <v>0</v>
      </c>
    </row>
    <row r="9445" spans="1:2" x14ac:dyDescent="0.25">
      <c r="A9445" t="s">
        <v>9882</v>
      </c>
      <c r="B9445" s="9">
        <v>0.25</v>
      </c>
    </row>
    <row r="9446" spans="1:2" x14ac:dyDescent="0.25">
      <c r="A9446" t="s">
        <v>9883</v>
      </c>
      <c r="B9446" s="9">
        <v>0.25</v>
      </c>
    </row>
    <row r="9447" spans="1:2" x14ac:dyDescent="0.25">
      <c r="A9447" t="s">
        <v>9884</v>
      </c>
      <c r="B9447" s="9">
        <v>0.25</v>
      </c>
    </row>
    <row r="9448" spans="1:2" x14ac:dyDescent="0.25">
      <c r="A9448" t="s">
        <v>9885</v>
      </c>
      <c r="B9448" s="9">
        <v>0.25</v>
      </c>
    </row>
    <row r="9449" spans="1:2" x14ac:dyDescent="0.25">
      <c r="A9449" t="s">
        <v>9886</v>
      </c>
      <c r="B9449" s="9">
        <v>0.25</v>
      </c>
    </row>
    <row r="9450" spans="1:2" x14ac:dyDescent="0.25">
      <c r="A9450" t="s">
        <v>9887</v>
      </c>
      <c r="B9450" s="9">
        <v>0.25</v>
      </c>
    </row>
    <row r="9451" spans="1:2" x14ac:dyDescent="0.25">
      <c r="A9451" t="s">
        <v>9888</v>
      </c>
      <c r="B9451" s="9">
        <v>0.25</v>
      </c>
    </row>
    <row r="9452" spans="1:2" x14ac:dyDescent="0.25">
      <c r="A9452" t="s">
        <v>9889</v>
      </c>
      <c r="B9452" s="9">
        <v>0.25</v>
      </c>
    </row>
    <row r="9453" spans="1:2" x14ac:dyDescent="0.25">
      <c r="A9453" t="s">
        <v>9890</v>
      </c>
      <c r="B9453" s="9">
        <v>0.15</v>
      </c>
    </row>
    <row r="9454" spans="1:2" x14ac:dyDescent="0.25">
      <c r="A9454" t="s">
        <v>9891</v>
      </c>
      <c r="B9454" s="9">
        <v>0.15</v>
      </c>
    </row>
    <row r="9455" spans="1:2" x14ac:dyDescent="0.25">
      <c r="A9455" t="s">
        <v>9892</v>
      </c>
      <c r="B9455" s="9">
        <v>0.05</v>
      </c>
    </row>
    <row r="9456" spans="1:2" x14ac:dyDescent="0.25">
      <c r="A9456" t="s">
        <v>9893</v>
      </c>
      <c r="B9456" s="9">
        <v>0.15</v>
      </c>
    </row>
    <row r="9457" spans="1:2" x14ac:dyDescent="0.25">
      <c r="A9457" t="s">
        <v>9894</v>
      </c>
      <c r="B9457" s="9">
        <v>0.25</v>
      </c>
    </row>
    <row r="9458" spans="1:2" x14ac:dyDescent="0.25">
      <c r="A9458" t="s">
        <v>9895</v>
      </c>
      <c r="B9458" s="9">
        <v>0.25</v>
      </c>
    </row>
    <row r="9459" spans="1:2" x14ac:dyDescent="0.25">
      <c r="A9459" t="s">
        <v>9896</v>
      </c>
      <c r="B9459" s="9">
        <v>0.25</v>
      </c>
    </row>
    <row r="9460" spans="1:2" x14ac:dyDescent="0.25">
      <c r="A9460" t="s">
        <v>9897</v>
      </c>
      <c r="B9460" s="9">
        <v>0.25</v>
      </c>
    </row>
    <row r="9461" spans="1:2" x14ac:dyDescent="0.25">
      <c r="A9461" t="s">
        <v>9898</v>
      </c>
      <c r="B9461" s="9">
        <v>0.25</v>
      </c>
    </row>
    <row r="9462" spans="1:2" x14ac:dyDescent="0.25">
      <c r="A9462" t="s">
        <v>9899</v>
      </c>
      <c r="B9462" s="9">
        <v>0.15</v>
      </c>
    </row>
    <row r="9463" spans="1:2" x14ac:dyDescent="0.25">
      <c r="A9463" t="s">
        <v>9900</v>
      </c>
      <c r="B9463" s="9">
        <v>0.15</v>
      </c>
    </row>
    <row r="9464" spans="1:2" x14ac:dyDescent="0.25">
      <c r="A9464" t="s">
        <v>9901</v>
      </c>
      <c r="B9464" s="9">
        <v>0</v>
      </c>
    </row>
    <row r="9465" spans="1:2" x14ac:dyDescent="0.25">
      <c r="A9465" t="s">
        <v>9902</v>
      </c>
      <c r="B9465" s="9">
        <v>0.05</v>
      </c>
    </row>
    <row r="9466" spans="1:2" x14ac:dyDescent="0.25">
      <c r="A9466" t="s">
        <v>9903</v>
      </c>
      <c r="B9466" s="9">
        <v>0.15</v>
      </c>
    </row>
    <row r="9467" spans="1:2" x14ac:dyDescent="0.25">
      <c r="A9467" t="s">
        <v>9904</v>
      </c>
      <c r="B9467" s="9">
        <v>0</v>
      </c>
    </row>
    <row r="9468" spans="1:2" x14ac:dyDescent="0.25">
      <c r="A9468" t="s">
        <v>9905</v>
      </c>
      <c r="B9468" s="9">
        <v>0.05</v>
      </c>
    </row>
    <row r="9469" spans="1:2" x14ac:dyDescent="0.25">
      <c r="A9469" t="s">
        <v>9906</v>
      </c>
      <c r="B9469" s="9">
        <v>0.15</v>
      </c>
    </row>
    <row r="9470" spans="1:2" x14ac:dyDescent="0.25">
      <c r="A9470" t="s">
        <v>9907</v>
      </c>
      <c r="B9470" s="9">
        <v>0</v>
      </c>
    </row>
    <row r="9471" spans="1:2" x14ac:dyDescent="0.25">
      <c r="A9471" t="s">
        <v>9908</v>
      </c>
      <c r="B9471" s="9">
        <v>0</v>
      </c>
    </row>
    <row r="9472" spans="1:2" x14ac:dyDescent="0.25">
      <c r="A9472" t="s">
        <v>9909</v>
      </c>
      <c r="B9472" s="9">
        <v>0.05</v>
      </c>
    </row>
    <row r="9473" spans="1:2" x14ac:dyDescent="0.25">
      <c r="A9473" t="s">
        <v>9910</v>
      </c>
      <c r="B9473" s="9">
        <v>0.15</v>
      </c>
    </row>
    <row r="9474" spans="1:2" x14ac:dyDescent="0.25">
      <c r="A9474" t="s">
        <v>9911</v>
      </c>
      <c r="B9474" s="9">
        <v>0.15</v>
      </c>
    </row>
    <row r="9475" spans="1:2" x14ac:dyDescent="0.25">
      <c r="A9475" t="s">
        <v>9912</v>
      </c>
      <c r="B9475" s="9">
        <v>0.15</v>
      </c>
    </row>
    <row r="9476" spans="1:2" x14ac:dyDescent="0.25">
      <c r="A9476" t="s">
        <v>9913</v>
      </c>
      <c r="B9476" s="9">
        <v>0.15</v>
      </c>
    </row>
    <row r="9477" spans="1:2" x14ac:dyDescent="0.25">
      <c r="A9477" t="s">
        <v>9914</v>
      </c>
      <c r="B9477" s="9">
        <v>0.15</v>
      </c>
    </row>
    <row r="9478" spans="1:2" x14ac:dyDescent="0.25">
      <c r="A9478" t="s">
        <v>9915</v>
      </c>
      <c r="B9478" s="9">
        <v>0.15</v>
      </c>
    </row>
    <row r="9479" spans="1:2" x14ac:dyDescent="0.25">
      <c r="A9479" t="s">
        <v>9916</v>
      </c>
      <c r="B9479" s="9">
        <v>0.15</v>
      </c>
    </row>
    <row r="9480" spans="1:2" x14ac:dyDescent="0.25">
      <c r="A9480" t="s">
        <v>9917</v>
      </c>
      <c r="B9480" s="9">
        <v>0.1</v>
      </c>
    </row>
    <row r="9481" spans="1:2" x14ac:dyDescent="0.25">
      <c r="A9481" t="s">
        <v>9918</v>
      </c>
      <c r="B9481" s="9">
        <v>0.02</v>
      </c>
    </row>
    <row r="9482" spans="1:2" x14ac:dyDescent="0.25">
      <c r="A9482" t="s">
        <v>9919</v>
      </c>
      <c r="B9482" s="9">
        <v>0.15</v>
      </c>
    </row>
    <row r="9483" spans="1:2" x14ac:dyDescent="0.25">
      <c r="A9483" t="s">
        <v>9920</v>
      </c>
      <c r="B9483" s="9">
        <v>0.1</v>
      </c>
    </row>
    <row r="9484" spans="1:2" x14ac:dyDescent="0.25">
      <c r="A9484" t="s">
        <v>9921</v>
      </c>
      <c r="B9484" s="9">
        <v>0.05</v>
      </c>
    </row>
    <row r="9485" spans="1:2" x14ac:dyDescent="0.25">
      <c r="A9485" t="s">
        <v>9922</v>
      </c>
      <c r="B9485" s="9">
        <v>0.15</v>
      </c>
    </row>
    <row r="9486" spans="1:2" x14ac:dyDescent="0.25">
      <c r="A9486" t="s">
        <v>9923</v>
      </c>
      <c r="B9486" s="9">
        <v>0.15</v>
      </c>
    </row>
    <row r="9487" spans="1:2" x14ac:dyDescent="0.25">
      <c r="A9487" t="s">
        <v>9924</v>
      </c>
      <c r="B9487" s="9">
        <v>0.15</v>
      </c>
    </row>
    <row r="9488" spans="1:2" x14ac:dyDescent="0.25">
      <c r="A9488" t="s">
        <v>9925</v>
      </c>
      <c r="B9488" s="9">
        <v>0.15</v>
      </c>
    </row>
    <row r="9489" spans="1:2" x14ac:dyDescent="0.25">
      <c r="A9489" t="s">
        <v>9926</v>
      </c>
      <c r="B9489" s="9">
        <v>0.15</v>
      </c>
    </row>
    <row r="9490" spans="1:2" x14ac:dyDescent="0.25">
      <c r="A9490" t="s">
        <v>9927</v>
      </c>
      <c r="B9490" s="9">
        <v>0.15</v>
      </c>
    </row>
    <row r="9491" spans="1:2" x14ac:dyDescent="0.25">
      <c r="A9491" t="s">
        <v>9928</v>
      </c>
      <c r="B9491" s="9">
        <v>0.15</v>
      </c>
    </row>
    <row r="9492" spans="1:2" x14ac:dyDescent="0.25">
      <c r="A9492" t="s">
        <v>9929</v>
      </c>
      <c r="B9492" s="9">
        <v>0.15</v>
      </c>
    </row>
    <row r="9493" spans="1:2" x14ac:dyDescent="0.25">
      <c r="A9493" t="s">
        <v>9930</v>
      </c>
      <c r="B9493" s="9">
        <v>0.15</v>
      </c>
    </row>
    <row r="9494" spans="1:2" x14ac:dyDescent="0.25">
      <c r="A9494" t="s">
        <v>9931</v>
      </c>
      <c r="B9494" s="9">
        <v>0.15</v>
      </c>
    </row>
    <row r="9495" spans="1:2" x14ac:dyDescent="0.25">
      <c r="A9495" t="s">
        <v>9932</v>
      </c>
      <c r="B9495" s="9">
        <v>0</v>
      </c>
    </row>
    <row r="9496" spans="1:2" x14ac:dyDescent="0.25">
      <c r="A9496" t="s">
        <v>9933</v>
      </c>
      <c r="B9496" s="9">
        <v>0</v>
      </c>
    </row>
    <row r="9497" spans="1:2" x14ac:dyDescent="0.25">
      <c r="A9497" t="s">
        <v>9934</v>
      </c>
      <c r="B9497" s="9">
        <v>0.15</v>
      </c>
    </row>
    <row r="9498" spans="1:2" x14ac:dyDescent="0.25">
      <c r="A9498" t="s">
        <v>9935</v>
      </c>
      <c r="B9498" s="9">
        <v>0</v>
      </c>
    </row>
    <row r="9499" spans="1:2" x14ac:dyDescent="0.25">
      <c r="A9499" t="s">
        <v>9936</v>
      </c>
      <c r="B9499" s="9">
        <v>0.15</v>
      </c>
    </row>
    <row r="9500" spans="1:2" x14ac:dyDescent="0.25">
      <c r="A9500" t="s">
        <v>9937</v>
      </c>
      <c r="B9500" s="9">
        <v>0</v>
      </c>
    </row>
    <row r="9501" spans="1:2" x14ac:dyDescent="0.25">
      <c r="A9501" t="s">
        <v>9938</v>
      </c>
      <c r="B9501" s="9">
        <v>0.15</v>
      </c>
    </row>
    <row r="9502" spans="1:2" x14ac:dyDescent="0.25">
      <c r="A9502" t="s">
        <v>9939</v>
      </c>
      <c r="B9502" s="9">
        <v>0</v>
      </c>
    </row>
    <row r="9503" spans="1:2" x14ac:dyDescent="0.25">
      <c r="A9503" t="s">
        <v>9940</v>
      </c>
      <c r="B9503" s="9">
        <v>0.2</v>
      </c>
    </row>
    <row r="9504" spans="1:2" x14ac:dyDescent="0.25">
      <c r="A9504" t="s">
        <v>9941</v>
      </c>
      <c r="B9504" s="9">
        <v>0.2</v>
      </c>
    </row>
    <row r="9505" spans="1:3" x14ac:dyDescent="0.25">
      <c r="A9505" t="s">
        <v>9942</v>
      </c>
      <c r="B9505" s="9">
        <v>0.2</v>
      </c>
    </row>
    <row r="9506" spans="1:3" x14ac:dyDescent="0.25">
      <c r="A9506" t="s">
        <v>9943</v>
      </c>
      <c r="B9506" s="9">
        <v>0.2</v>
      </c>
    </row>
    <row r="9507" spans="1:3" x14ac:dyDescent="0.25">
      <c r="A9507" t="s">
        <v>9944</v>
      </c>
      <c r="B9507" s="9">
        <v>0</v>
      </c>
    </row>
    <row r="9508" spans="1:3" x14ac:dyDescent="0.25">
      <c r="A9508" t="s">
        <v>9945</v>
      </c>
      <c r="B9508" s="9">
        <v>0.2</v>
      </c>
    </row>
    <row r="9509" spans="1:3" x14ac:dyDescent="0.25">
      <c r="A9509" t="s">
        <v>9946</v>
      </c>
      <c r="B9509" s="9">
        <v>0.2</v>
      </c>
    </row>
    <row r="9510" spans="1:3" x14ac:dyDescent="0.25">
      <c r="A9510" t="s">
        <v>9947</v>
      </c>
      <c r="B9510" s="9">
        <v>0.2</v>
      </c>
    </row>
    <row r="9511" spans="1:3" x14ac:dyDescent="0.25">
      <c r="A9511" t="s">
        <v>9948</v>
      </c>
      <c r="B9511" s="9">
        <v>0.2</v>
      </c>
    </row>
    <row r="9512" spans="1:3" x14ac:dyDescent="0.25">
      <c r="A9512" t="s">
        <v>9949</v>
      </c>
      <c r="B9512" s="9">
        <v>0.2</v>
      </c>
    </row>
    <row r="9513" spans="1:3" x14ac:dyDescent="0.25">
      <c r="A9513" t="s">
        <v>9950</v>
      </c>
      <c r="B9513" s="9">
        <v>0.2</v>
      </c>
    </row>
    <row r="9514" spans="1:3" x14ac:dyDescent="0.25">
      <c r="A9514" t="s">
        <v>9951</v>
      </c>
      <c r="B9514" s="9">
        <v>0.2</v>
      </c>
    </row>
    <row r="9515" spans="1:3" x14ac:dyDescent="0.25">
      <c r="A9515" t="s">
        <v>9952</v>
      </c>
      <c r="B9515" s="9">
        <v>0.2</v>
      </c>
    </row>
    <row r="9516" spans="1:3" x14ac:dyDescent="0.25">
      <c r="A9516" t="s">
        <v>9953</v>
      </c>
      <c r="B9516" s="9">
        <v>0.2</v>
      </c>
    </row>
    <row r="9517" spans="1:3" x14ac:dyDescent="0.25">
      <c r="A9517" t="s">
        <v>9954</v>
      </c>
      <c r="B9517" s="9">
        <v>0.2</v>
      </c>
    </row>
    <row r="9518" spans="1:3" x14ac:dyDescent="0.25">
      <c r="A9518" t="s">
        <v>9955</v>
      </c>
      <c r="B9518" s="9">
        <v>0.1</v>
      </c>
    </row>
    <row r="9519" spans="1:3" x14ac:dyDescent="0.25">
      <c r="A9519" t="s">
        <v>174</v>
      </c>
      <c r="B9519" s="9">
        <v>0.1</v>
      </c>
      <c r="C9519" t="s">
        <v>174</v>
      </c>
    </row>
    <row r="9520" spans="1:3" x14ac:dyDescent="0.25">
      <c r="A9520" t="s">
        <v>9956</v>
      </c>
      <c r="B9520" s="9">
        <v>0.2</v>
      </c>
    </row>
    <row r="9521" spans="1:2" x14ac:dyDescent="0.25">
      <c r="A9521" t="s">
        <v>9957</v>
      </c>
      <c r="B9521" s="9">
        <v>0.2</v>
      </c>
    </row>
    <row r="9522" spans="1:2" x14ac:dyDescent="0.25">
      <c r="A9522" t="s">
        <v>9958</v>
      </c>
      <c r="B9522" s="9">
        <v>0.2</v>
      </c>
    </row>
    <row r="9523" spans="1:2" x14ac:dyDescent="0.25">
      <c r="A9523" t="s">
        <v>9959</v>
      </c>
      <c r="B9523" s="9">
        <v>0.2</v>
      </c>
    </row>
    <row r="9524" spans="1:2" x14ac:dyDescent="0.25">
      <c r="A9524" t="s">
        <v>9960</v>
      </c>
      <c r="B9524" s="9">
        <v>0.15</v>
      </c>
    </row>
    <row r="9525" spans="1:2" x14ac:dyDescent="0.25">
      <c r="A9525" t="s">
        <v>9961</v>
      </c>
      <c r="B9525" s="9">
        <v>0.15</v>
      </c>
    </row>
    <row r="9526" spans="1:2" x14ac:dyDescent="0.25">
      <c r="A9526" t="s">
        <v>9962</v>
      </c>
      <c r="B9526" s="9">
        <v>0.2</v>
      </c>
    </row>
    <row r="9527" spans="1:2" x14ac:dyDescent="0.25">
      <c r="A9527" t="s">
        <v>9963</v>
      </c>
      <c r="B9527" s="9">
        <v>0.2</v>
      </c>
    </row>
    <row r="9528" spans="1:2" x14ac:dyDescent="0.25">
      <c r="A9528" t="s">
        <v>9964</v>
      </c>
      <c r="B9528" s="9">
        <v>0.2</v>
      </c>
    </row>
    <row r="9529" spans="1:2" x14ac:dyDescent="0.25">
      <c r="A9529" t="s">
        <v>9965</v>
      </c>
      <c r="B9529" s="9">
        <v>0.15</v>
      </c>
    </row>
    <row r="9530" spans="1:2" x14ac:dyDescent="0.25">
      <c r="A9530" t="s">
        <v>9966</v>
      </c>
      <c r="B9530" s="9">
        <v>0.15</v>
      </c>
    </row>
    <row r="9531" spans="1:2" x14ac:dyDescent="0.25">
      <c r="A9531" t="s">
        <v>9967</v>
      </c>
      <c r="B9531" s="9">
        <v>0.2</v>
      </c>
    </row>
    <row r="9532" spans="1:2" x14ac:dyDescent="0.25">
      <c r="A9532" t="s">
        <v>9968</v>
      </c>
      <c r="B9532" s="9">
        <v>0.2</v>
      </c>
    </row>
    <row r="9533" spans="1:2" x14ac:dyDescent="0.25">
      <c r="A9533" t="s">
        <v>9969</v>
      </c>
      <c r="B9533" s="9">
        <v>0.15</v>
      </c>
    </row>
    <row r="9534" spans="1:2" x14ac:dyDescent="0.25">
      <c r="A9534" t="s">
        <v>9970</v>
      </c>
      <c r="B9534" s="9">
        <v>0.2</v>
      </c>
    </row>
    <row r="9535" spans="1:2" x14ac:dyDescent="0.25">
      <c r="A9535" t="s">
        <v>9971</v>
      </c>
      <c r="B9535" s="9">
        <v>0.2</v>
      </c>
    </row>
    <row r="9536" spans="1:2" x14ac:dyDescent="0.25">
      <c r="A9536" t="s">
        <v>9972</v>
      </c>
      <c r="B9536" s="9">
        <v>0.05</v>
      </c>
    </row>
    <row r="9537" spans="1:2" x14ac:dyDescent="0.25">
      <c r="A9537" t="s">
        <v>9973</v>
      </c>
      <c r="B9537" s="9">
        <v>0.05</v>
      </c>
    </row>
    <row r="9538" spans="1:2" x14ac:dyDescent="0.25">
      <c r="A9538" t="s">
        <v>9974</v>
      </c>
      <c r="B9538" s="9">
        <v>0.2</v>
      </c>
    </row>
    <row r="9539" spans="1:2" x14ac:dyDescent="0.25">
      <c r="A9539" t="s">
        <v>9975</v>
      </c>
      <c r="B9539" s="9">
        <v>0.2</v>
      </c>
    </row>
    <row r="9540" spans="1:2" x14ac:dyDescent="0.25">
      <c r="A9540" t="s">
        <v>9976</v>
      </c>
      <c r="B9540" s="9">
        <v>0.2</v>
      </c>
    </row>
    <row r="9541" spans="1:2" x14ac:dyDescent="0.25">
      <c r="A9541" t="s">
        <v>9977</v>
      </c>
      <c r="B9541" s="9">
        <v>0.1</v>
      </c>
    </row>
    <row r="9542" spans="1:2" x14ac:dyDescent="0.25">
      <c r="A9542" t="s">
        <v>9978</v>
      </c>
      <c r="B9542" s="9">
        <v>0.1</v>
      </c>
    </row>
    <row r="9543" spans="1:2" x14ac:dyDescent="0.25">
      <c r="A9543" t="s">
        <v>9979</v>
      </c>
      <c r="B9543" s="9">
        <v>0.1</v>
      </c>
    </row>
    <row r="9544" spans="1:2" x14ac:dyDescent="0.25">
      <c r="A9544" t="s">
        <v>9980</v>
      </c>
      <c r="B9544" s="9">
        <v>0.1</v>
      </c>
    </row>
    <row r="9545" spans="1:2" x14ac:dyDescent="0.25">
      <c r="A9545" t="s">
        <v>9981</v>
      </c>
      <c r="B9545" s="9">
        <v>0.15</v>
      </c>
    </row>
    <row r="9546" spans="1:2" x14ac:dyDescent="0.25">
      <c r="A9546" t="s">
        <v>9982</v>
      </c>
      <c r="B9546" s="9">
        <v>0.1</v>
      </c>
    </row>
    <row r="9547" spans="1:2" x14ac:dyDescent="0.25">
      <c r="A9547" t="s">
        <v>9983</v>
      </c>
      <c r="B9547" s="9">
        <v>0</v>
      </c>
    </row>
    <row r="9548" spans="1:2" x14ac:dyDescent="0.25">
      <c r="A9548" t="s">
        <v>9984</v>
      </c>
      <c r="B9548" s="9">
        <v>0.1</v>
      </c>
    </row>
    <row r="9549" spans="1:2" x14ac:dyDescent="0.25">
      <c r="A9549" t="s">
        <v>9985</v>
      </c>
      <c r="B9549" s="9">
        <v>0.1</v>
      </c>
    </row>
    <row r="9550" spans="1:2" x14ac:dyDescent="0.25">
      <c r="A9550" t="s">
        <v>9986</v>
      </c>
      <c r="B9550" s="9">
        <v>0.1</v>
      </c>
    </row>
    <row r="9551" spans="1:2" x14ac:dyDescent="0.25">
      <c r="A9551" t="s">
        <v>9987</v>
      </c>
      <c r="B9551" s="9">
        <v>0.1</v>
      </c>
    </row>
    <row r="9552" spans="1:2" x14ac:dyDescent="0.25">
      <c r="A9552" t="s">
        <v>9988</v>
      </c>
      <c r="B9552" s="9">
        <v>0.15</v>
      </c>
    </row>
    <row r="9553" spans="1:3" x14ac:dyDescent="0.25">
      <c r="A9553" t="s">
        <v>9989</v>
      </c>
      <c r="B9553" s="9">
        <v>0.05</v>
      </c>
    </row>
    <row r="9554" spans="1:3" x14ac:dyDescent="0.25">
      <c r="A9554" t="s">
        <v>9990</v>
      </c>
      <c r="B9554" s="9">
        <v>0.15</v>
      </c>
    </row>
    <row r="9555" spans="1:3" x14ac:dyDescent="0.25">
      <c r="A9555" t="s">
        <v>9991</v>
      </c>
      <c r="B9555" s="9">
        <v>0.1</v>
      </c>
    </row>
    <row r="9556" spans="1:3" x14ac:dyDescent="0.25">
      <c r="A9556" t="s">
        <v>9992</v>
      </c>
      <c r="B9556" s="9">
        <v>0.1</v>
      </c>
    </row>
    <row r="9557" spans="1:3" x14ac:dyDescent="0.25">
      <c r="A9557" t="s">
        <v>9993</v>
      </c>
      <c r="B9557" s="9">
        <v>0.15</v>
      </c>
    </row>
    <row r="9558" spans="1:3" x14ac:dyDescent="0.25">
      <c r="A9558" t="s">
        <v>167</v>
      </c>
      <c r="B9558" s="9">
        <v>0.15</v>
      </c>
      <c r="C9558" t="s">
        <v>167</v>
      </c>
    </row>
    <row r="9559" spans="1:3" x14ac:dyDescent="0.25">
      <c r="A9559" t="s">
        <v>9994</v>
      </c>
      <c r="B9559" s="9">
        <v>0.15</v>
      </c>
    </row>
    <row r="9560" spans="1:3" x14ac:dyDescent="0.25">
      <c r="A9560" t="s">
        <v>9995</v>
      </c>
      <c r="B9560" s="9">
        <v>0</v>
      </c>
    </row>
    <row r="9561" spans="1:3" x14ac:dyDescent="0.25">
      <c r="A9561" t="s">
        <v>9996</v>
      </c>
      <c r="B9561" s="9">
        <v>0.15</v>
      </c>
    </row>
    <row r="9562" spans="1:3" x14ac:dyDescent="0.25">
      <c r="A9562" t="s">
        <v>9997</v>
      </c>
      <c r="B9562" s="9">
        <v>0.15</v>
      </c>
    </row>
    <row r="9563" spans="1:3" x14ac:dyDescent="0.25">
      <c r="A9563" t="s">
        <v>9998</v>
      </c>
      <c r="B9563" s="9">
        <v>0</v>
      </c>
    </row>
    <row r="9564" spans="1:3" x14ac:dyDescent="0.25">
      <c r="A9564" t="s">
        <v>9999</v>
      </c>
      <c r="B9564" s="9">
        <v>0.02</v>
      </c>
    </row>
    <row r="9565" spans="1:3" x14ac:dyDescent="0.25">
      <c r="A9565" t="s">
        <v>10000</v>
      </c>
      <c r="B9565" s="9">
        <v>0.02</v>
      </c>
    </row>
    <row r="9566" spans="1:3" x14ac:dyDescent="0.25">
      <c r="A9566" t="s">
        <v>10001</v>
      </c>
      <c r="B9566" s="9">
        <v>0.1</v>
      </c>
    </row>
    <row r="9567" spans="1:3" x14ac:dyDescent="0.25">
      <c r="A9567" t="s">
        <v>10002</v>
      </c>
      <c r="B9567" s="9">
        <v>0.1</v>
      </c>
    </row>
    <row r="9568" spans="1:3" x14ac:dyDescent="0.25">
      <c r="A9568" t="s">
        <v>10003</v>
      </c>
      <c r="B9568" s="9">
        <v>0.1</v>
      </c>
    </row>
    <row r="9569" spans="1:2" x14ac:dyDescent="0.25">
      <c r="A9569" t="s">
        <v>10004</v>
      </c>
      <c r="B9569" s="9">
        <v>0.05</v>
      </c>
    </row>
    <row r="9570" spans="1:2" x14ac:dyDescent="0.25">
      <c r="A9570" t="s">
        <v>10005</v>
      </c>
      <c r="B9570" s="9">
        <v>0.1</v>
      </c>
    </row>
    <row r="9571" spans="1:2" x14ac:dyDescent="0.25">
      <c r="A9571" t="s">
        <v>10006</v>
      </c>
      <c r="B9571" s="9">
        <v>0.02</v>
      </c>
    </row>
    <row r="9572" spans="1:2" x14ac:dyDescent="0.25">
      <c r="A9572" t="s">
        <v>10007</v>
      </c>
      <c r="B9572" s="9">
        <v>0.1</v>
      </c>
    </row>
    <row r="9573" spans="1:2" x14ac:dyDescent="0.25">
      <c r="A9573" t="s">
        <v>10008</v>
      </c>
      <c r="B9573" s="9">
        <v>0.1</v>
      </c>
    </row>
    <row r="9574" spans="1:2" x14ac:dyDescent="0.25">
      <c r="A9574" t="s">
        <v>10009</v>
      </c>
      <c r="B9574" s="9">
        <v>0.02</v>
      </c>
    </row>
    <row r="9575" spans="1:2" x14ac:dyDescent="0.25">
      <c r="A9575" t="s">
        <v>10010</v>
      </c>
      <c r="B9575" s="9">
        <v>0.1</v>
      </c>
    </row>
    <row r="9576" spans="1:2" x14ac:dyDescent="0.25">
      <c r="A9576" t="s">
        <v>10011</v>
      </c>
      <c r="B9576" s="9">
        <v>0.02</v>
      </c>
    </row>
    <row r="9577" spans="1:2" x14ac:dyDescent="0.25">
      <c r="A9577" t="s">
        <v>10012</v>
      </c>
      <c r="B9577" s="9">
        <v>0.1</v>
      </c>
    </row>
    <row r="9578" spans="1:2" x14ac:dyDescent="0.25">
      <c r="A9578" t="s">
        <v>10013</v>
      </c>
      <c r="B9578" s="9">
        <v>0.02</v>
      </c>
    </row>
    <row r="9579" spans="1:2" x14ac:dyDescent="0.25">
      <c r="A9579" t="s">
        <v>10014</v>
      </c>
      <c r="B9579" s="9">
        <v>0.1</v>
      </c>
    </row>
    <row r="9580" spans="1:2" x14ac:dyDescent="0.25">
      <c r="A9580" t="s">
        <v>10015</v>
      </c>
      <c r="B9580" s="9">
        <v>0.1</v>
      </c>
    </row>
    <row r="9581" spans="1:2" x14ac:dyDescent="0.25">
      <c r="A9581" t="s">
        <v>10016</v>
      </c>
      <c r="B9581" s="9">
        <v>0.1</v>
      </c>
    </row>
    <row r="9582" spans="1:2" x14ac:dyDescent="0.25">
      <c r="A9582" t="s">
        <v>10017</v>
      </c>
      <c r="B9582" s="9">
        <v>0.1</v>
      </c>
    </row>
    <row r="9583" spans="1:2" x14ac:dyDescent="0.25">
      <c r="A9583" t="s">
        <v>10018</v>
      </c>
      <c r="B9583" s="9">
        <v>0.02</v>
      </c>
    </row>
    <row r="9584" spans="1:2" x14ac:dyDescent="0.25">
      <c r="A9584" t="s">
        <v>10019</v>
      </c>
      <c r="B9584" s="9">
        <v>0.1</v>
      </c>
    </row>
    <row r="9585" spans="1:2" x14ac:dyDescent="0.25">
      <c r="A9585" t="s">
        <v>10020</v>
      </c>
      <c r="B9585" s="9">
        <v>0.1</v>
      </c>
    </row>
    <row r="9586" spans="1:2" x14ac:dyDescent="0.25">
      <c r="A9586" t="s">
        <v>10021</v>
      </c>
      <c r="B9586" s="9">
        <v>0.1</v>
      </c>
    </row>
    <row r="9587" spans="1:2" x14ac:dyDescent="0.25">
      <c r="A9587" t="s">
        <v>10022</v>
      </c>
      <c r="B9587" s="9">
        <v>0.1</v>
      </c>
    </row>
    <row r="9588" spans="1:2" x14ac:dyDescent="0.25">
      <c r="A9588" t="s">
        <v>10023</v>
      </c>
      <c r="B9588" s="9">
        <v>0.1</v>
      </c>
    </row>
    <row r="9589" spans="1:2" x14ac:dyDescent="0.25">
      <c r="A9589" t="s">
        <v>10024</v>
      </c>
      <c r="B9589" s="9">
        <v>0.1</v>
      </c>
    </row>
    <row r="9590" spans="1:2" x14ac:dyDescent="0.25">
      <c r="A9590" t="s">
        <v>10025</v>
      </c>
      <c r="B9590" s="9">
        <v>0.1</v>
      </c>
    </row>
    <row r="9591" spans="1:2" x14ac:dyDescent="0.25">
      <c r="A9591" t="s">
        <v>10026</v>
      </c>
      <c r="B9591" s="9">
        <v>0.1</v>
      </c>
    </row>
    <row r="9592" spans="1:2" x14ac:dyDescent="0.25">
      <c r="A9592" t="s">
        <v>10027</v>
      </c>
      <c r="B9592" s="9">
        <v>0.1</v>
      </c>
    </row>
    <row r="9593" spans="1:2" x14ac:dyDescent="0.25">
      <c r="A9593" t="s">
        <v>10028</v>
      </c>
      <c r="B9593" s="9">
        <v>0.1</v>
      </c>
    </row>
    <row r="9594" spans="1:2" x14ac:dyDescent="0.25">
      <c r="A9594" t="s">
        <v>10029</v>
      </c>
      <c r="B9594" s="9">
        <v>0.1</v>
      </c>
    </row>
    <row r="9595" spans="1:2" x14ac:dyDescent="0.25">
      <c r="A9595" t="s">
        <v>10030</v>
      </c>
      <c r="B9595" s="9">
        <v>0.1</v>
      </c>
    </row>
    <row r="9596" spans="1:2" x14ac:dyDescent="0.25">
      <c r="A9596" t="s">
        <v>10031</v>
      </c>
      <c r="B9596" s="9">
        <v>0.1</v>
      </c>
    </row>
    <row r="9597" spans="1:2" x14ac:dyDescent="0.25">
      <c r="A9597" t="s">
        <v>10032</v>
      </c>
      <c r="B9597" s="9">
        <v>0.1</v>
      </c>
    </row>
    <row r="9598" spans="1:2" x14ac:dyDescent="0.25">
      <c r="A9598" t="s">
        <v>10033</v>
      </c>
      <c r="B9598" s="9">
        <v>0.1</v>
      </c>
    </row>
    <row r="9599" spans="1:2" x14ac:dyDescent="0.25">
      <c r="A9599" t="s">
        <v>10034</v>
      </c>
      <c r="B9599" s="9">
        <v>0.1</v>
      </c>
    </row>
    <row r="9600" spans="1:2" x14ac:dyDescent="0.25">
      <c r="A9600" t="s">
        <v>10035</v>
      </c>
      <c r="B9600" s="9">
        <v>0.1</v>
      </c>
    </row>
    <row r="9601" spans="1:2" x14ac:dyDescent="0.25">
      <c r="A9601" t="s">
        <v>10036</v>
      </c>
      <c r="B9601" s="9">
        <v>0.1</v>
      </c>
    </row>
    <row r="9602" spans="1:2" x14ac:dyDescent="0.25">
      <c r="A9602" t="s">
        <v>10037</v>
      </c>
      <c r="B9602" s="9">
        <v>0.1</v>
      </c>
    </row>
    <row r="9603" spans="1:2" x14ac:dyDescent="0.25">
      <c r="A9603" t="s">
        <v>10038</v>
      </c>
      <c r="B9603" s="9">
        <v>0.1</v>
      </c>
    </row>
    <row r="9604" spans="1:2" x14ac:dyDescent="0.25">
      <c r="A9604" t="s">
        <v>10039</v>
      </c>
      <c r="B9604" s="9">
        <v>0.1</v>
      </c>
    </row>
    <row r="9605" spans="1:2" x14ac:dyDescent="0.25">
      <c r="A9605" t="s">
        <v>10040</v>
      </c>
      <c r="B9605" s="9">
        <v>0.1</v>
      </c>
    </row>
    <row r="9606" spans="1:2" x14ac:dyDescent="0.25">
      <c r="A9606" t="s">
        <v>10041</v>
      </c>
      <c r="B9606" s="9">
        <v>0.1</v>
      </c>
    </row>
    <row r="9607" spans="1:2" x14ac:dyDescent="0.25">
      <c r="A9607" t="s">
        <v>10042</v>
      </c>
      <c r="B9607" s="9">
        <v>0.1</v>
      </c>
    </row>
    <row r="9608" spans="1:2" x14ac:dyDescent="0.25">
      <c r="A9608" t="s">
        <v>10043</v>
      </c>
      <c r="B9608" s="9">
        <v>0.1</v>
      </c>
    </row>
    <row r="9609" spans="1:2" x14ac:dyDescent="0.25">
      <c r="A9609" t="s">
        <v>10044</v>
      </c>
      <c r="B9609" s="9">
        <v>0.1</v>
      </c>
    </row>
    <row r="9610" spans="1:2" x14ac:dyDescent="0.25">
      <c r="A9610" t="s">
        <v>10045</v>
      </c>
      <c r="B9610" s="9">
        <v>0</v>
      </c>
    </row>
    <row r="9611" spans="1:2" x14ac:dyDescent="0.25">
      <c r="A9611" t="s">
        <v>10046</v>
      </c>
      <c r="B9611" s="9">
        <v>0.05</v>
      </c>
    </row>
    <row r="9612" spans="1:2" x14ac:dyDescent="0.25">
      <c r="A9612" t="s">
        <v>10047</v>
      </c>
      <c r="B9612" s="9">
        <v>0</v>
      </c>
    </row>
    <row r="9613" spans="1:2" x14ac:dyDescent="0.25">
      <c r="A9613" t="s">
        <v>10048</v>
      </c>
      <c r="B9613" s="9">
        <v>0.05</v>
      </c>
    </row>
    <row r="9614" spans="1:2" x14ac:dyDescent="0.25">
      <c r="A9614" t="s">
        <v>10049</v>
      </c>
      <c r="B9614" s="9">
        <v>0.05</v>
      </c>
    </row>
    <row r="9615" spans="1:2" x14ac:dyDescent="0.25">
      <c r="A9615" t="s">
        <v>10050</v>
      </c>
      <c r="B9615" s="9">
        <v>0.05</v>
      </c>
    </row>
    <row r="9616" spans="1:2" x14ac:dyDescent="0.25">
      <c r="A9616" t="s">
        <v>10051</v>
      </c>
      <c r="B9616" s="9">
        <v>0.05</v>
      </c>
    </row>
    <row r="9617" spans="1:2" x14ac:dyDescent="0.25">
      <c r="A9617" t="s">
        <v>10052</v>
      </c>
      <c r="B9617" s="9">
        <v>0</v>
      </c>
    </row>
    <row r="9618" spans="1:2" x14ac:dyDescent="0.25">
      <c r="A9618" t="s">
        <v>10053</v>
      </c>
      <c r="B9618" s="9">
        <v>0</v>
      </c>
    </row>
    <row r="9619" spans="1:2" x14ac:dyDescent="0.25">
      <c r="A9619" t="s">
        <v>10054</v>
      </c>
      <c r="B9619" s="9">
        <v>0</v>
      </c>
    </row>
    <row r="9620" spans="1:2" x14ac:dyDescent="0.25">
      <c r="A9620" t="s">
        <v>10055</v>
      </c>
      <c r="B9620" s="9">
        <v>0</v>
      </c>
    </row>
    <row r="9621" spans="1:2" x14ac:dyDescent="0.25">
      <c r="A9621" t="s">
        <v>10056</v>
      </c>
      <c r="B9621" s="9">
        <v>0</v>
      </c>
    </row>
    <row r="9622" spans="1:2" x14ac:dyDescent="0.25">
      <c r="A9622" t="s">
        <v>10057</v>
      </c>
      <c r="B9622" s="9">
        <v>0</v>
      </c>
    </row>
    <row r="9623" spans="1:2" x14ac:dyDescent="0.25">
      <c r="A9623" t="s">
        <v>10058</v>
      </c>
      <c r="B9623" s="9">
        <v>0.05</v>
      </c>
    </row>
    <row r="9624" spans="1:2" x14ac:dyDescent="0.25">
      <c r="A9624" t="s">
        <v>10059</v>
      </c>
      <c r="B9624" s="9">
        <v>0.15</v>
      </c>
    </row>
    <row r="9625" spans="1:2" x14ac:dyDescent="0.25">
      <c r="A9625" t="s">
        <v>10060</v>
      </c>
      <c r="B9625" s="9">
        <v>0.1</v>
      </c>
    </row>
    <row r="9626" spans="1:2" x14ac:dyDescent="0.25">
      <c r="A9626" t="s">
        <v>10061</v>
      </c>
      <c r="B9626" s="9">
        <v>0.15</v>
      </c>
    </row>
    <row r="9627" spans="1:2" x14ac:dyDescent="0.25">
      <c r="A9627" t="s">
        <v>10062</v>
      </c>
      <c r="B9627" s="9">
        <v>0.15</v>
      </c>
    </row>
    <row r="9628" spans="1:2" x14ac:dyDescent="0.25">
      <c r="A9628" t="s">
        <v>10063</v>
      </c>
      <c r="B9628" s="9">
        <v>0.05</v>
      </c>
    </row>
    <row r="9629" spans="1:2" x14ac:dyDescent="0.25">
      <c r="A9629" t="s">
        <v>10064</v>
      </c>
      <c r="B9629" s="9">
        <v>0.05</v>
      </c>
    </row>
    <row r="9630" spans="1:2" x14ac:dyDescent="0.25">
      <c r="A9630" t="s">
        <v>10065</v>
      </c>
      <c r="B9630" s="9">
        <v>0.05</v>
      </c>
    </row>
    <row r="9631" spans="1:2" x14ac:dyDescent="0.25">
      <c r="A9631" t="s">
        <v>10066</v>
      </c>
      <c r="B9631" s="9">
        <v>0.1</v>
      </c>
    </row>
    <row r="9632" spans="1:2" x14ac:dyDescent="0.25">
      <c r="A9632" t="s">
        <v>10067</v>
      </c>
      <c r="B9632" s="9">
        <v>0.1</v>
      </c>
    </row>
    <row r="9633" spans="1:3" x14ac:dyDescent="0.25">
      <c r="A9633" t="s">
        <v>10068</v>
      </c>
      <c r="B9633" s="9">
        <v>0.02</v>
      </c>
    </row>
    <row r="9634" spans="1:3" x14ac:dyDescent="0.25">
      <c r="A9634" t="s">
        <v>175</v>
      </c>
      <c r="B9634" s="9">
        <v>0.15</v>
      </c>
      <c r="C9634" t="s">
        <v>175</v>
      </c>
    </row>
    <row r="9635" spans="1:3" x14ac:dyDescent="0.25">
      <c r="A9635" t="s">
        <v>10069</v>
      </c>
      <c r="B9635" s="9">
        <v>0.04</v>
      </c>
    </row>
    <row r="9636" spans="1:3" x14ac:dyDescent="0.25">
      <c r="A9636" t="s">
        <v>10070</v>
      </c>
      <c r="B9636" s="9">
        <v>0.05</v>
      </c>
    </row>
    <row r="9637" spans="1:3" x14ac:dyDescent="0.25">
      <c r="A9637" t="s">
        <v>10071</v>
      </c>
      <c r="B9637" s="9">
        <v>0.05</v>
      </c>
    </row>
    <row r="9638" spans="1:3" x14ac:dyDescent="0.25">
      <c r="A9638" t="s">
        <v>10072</v>
      </c>
      <c r="B9638" s="9">
        <v>0.15</v>
      </c>
    </row>
    <row r="9639" spans="1:3" x14ac:dyDescent="0.25">
      <c r="A9639" t="s">
        <v>10073</v>
      </c>
      <c r="B9639" s="9">
        <v>0.15</v>
      </c>
    </row>
    <row r="9640" spans="1:3" x14ac:dyDescent="0.25">
      <c r="A9640" t="s">
        <v>10074</v>
      </c>
      <c r="B9640" s="9">
        <v>0.15</v>
      </c>
    </row>
    <row r="9641" spans="1:3" x14ac:dyDescent="0.25">
      <c r="A9641" t="s">
        <v>10075</v>
      </c>
      <c r="B9641" s="9">
        <v>0.15</v>
      </c>
    </row>
    <row r="9642" spans="1:3" x14ac:dyDescent="0.25">
      <c r="A9642" t="s">
        <v>10076</v>
      </c>
      <c r="B9642" s="9">
        <v>0.15</v>
      </c>
    </row>
    <row r="9643" spans="1:3" x14ac:dyDescent="0.25">
      <c r="A9643" t="s">
        <v>10077</v>
      </c>
      <c r="B9643" s="9">
        <v>0.15</v>
      </c>
    </row>
    <row r="9644" spans="1:3" x14ac:dyDescent="0.25">
      <c r="A9644" t="s">
        <v>10078</v>
      </c>
      <c r="B9644" s="9">
        <v>0.1</v>
      </c>
    </row>
    <row r="9645" spans="1:3" x14ac:dyDescent="0.25">
      <c r="A9645" t="s">
        <v>10079</v>
      </c>
      <c r="B9645" s="9">
        <v>0.1</v>
      </c>
    </row>
    <row r="9646" spans="1:3" x14ac:dyDescent="0.25">
      <c r="A9646" t="s">
        <v>10080</v>
      </c>
      <c r="B9646" s="9">
        <v>0.15</v>
      </c>
    </row>
    <row r="9647" spans="1:3" x14ac:dyDescent="0.25">
      <c r="A9647" t="s">
        <v>10081</v>
      </c>
      <c r="B9647" s="9">
        <v>0.15</v>
      </c>
    </row>
    <row r="9648" spans="1:3" x14ac:dyDescent="0.25">
      <c r="A9648" t="s">
        <v>10082</v>
      </c>
      <c r="B9648" s="9">
        <v>0.15</v>
      </c>
    </row>
    <row r="9649" spans="1:3" x14ac:dyDescent="0.25">
      <c r="A9649" t="s">
        <v>10083</v>
      </c>
      <c r="B9649" s="9">
        <v>0.15</v>
      </c>
    </row>
    <row r="9650" spans="1:3" x14ac:dyDescent="0.25">
      <c r="A9650" t="s">
        <v>10084</v>
      </c>
      <c r="B9650" s="9">
        <v>0.15</v>
      </c>
    </row>
    <row r="9651" spans="1:3" x14ac:dyDescent="0.25">
      <c r="A9651" t="s">
        <v>10085</v>
      </c>
      <c r="B9651" s="9">
        <v>0.15</v>
      </c>
    </row>
    <row r="9652" spans="1:3" x14ac:dyDescent="0.25">
      <c r="A9652" t="s">
        <v>10086</v>
      </c>
      <c r="B9652" s="9">
        <v>0.15</v>
      </c>
    </row>
    <row r="9653" spans="1:3" x14ac:dyDescent="0.25">
      <c r="A9653" t="s">
        <v>10087</v>
      </c>
      <c r="B9653" s="9">
        <v>0.15</v>
      </c>
    </row>
    <row r="9654" spans="1:3" x14ac:dyDescent="0.25">
      <c r="A9654" t="s">
        <v>10088</v>
      </c>
      <c r="B9654" s="9">
        <v>0</v>
      </c>
    </row>
    <row r="9655" spans="1:3" x14ac:dyDescent="0.25">
      <c r="A9655" t="s">
        <v>10089</v>
      </c>
      <c r="B9655" s="9">
        <v>0</v>
      </c>
    </row>
    <row r="9656" spans="1:3" x14ac:dyDescent="0.25">
      <c r="A9656" t="s">
        <v>10090</v>
      </c>
      <c r="B9656" s="9">
        <v>0.15</v>
      </c>
    </row>
    <row r="9657" spans="1:3" x14ac:dyDescent="0.25">
      <c r="A9657" t="s">
        <v>10091</v>
      </c>
      <c r="B9657" s="9">
        <v>0.15</v>
      </c>
    </row>
    <row r="9658" spans="1:3" x14ac:dyDescent="0.25">
      <c r="A9658" t="s">
        <v>10092</v>
      </c>
      <c r="B9658" s="9">
        <v>0.15</v>
      </c>
    </row>
    <row r="9659" spans="1:3" x14ac:dyDescent="0.25">
      <c r="A9659" t="s">
        <v>176</v>
      </c>
      <c r="B9659" s="9">
        <v>0.15</v>
      </c>
      <c r="C9659" t="s">
        <v>176</v>
      </c>
    </row>
    <row r="9660" spans="1:3" x14ac:dyDescent="0.25">
      <c r="A9660" t="s">
        <v>177</v>
      </c>
      <c r="B9660" s="9">
        <v>0.15</v>
      </c>
      <c r="C9660" t="s">
        <v>177</v>
      </c>
    </row>
    <row r="9661" spans="1:3" x14ac:dyDescent="0.25">
      <c r="A9661" t="s">
        <v>178</v>
      </c>
      <c r="B9661" s="9">
        <v>0.15</v>
      </c>
      <c r="C9661" t="s">
        <v>178</v>
      </c>
    </row>
    <row r="9662" spans="1:3" x14ac:dyDescent="0.25">
      <c r="A9662" t="s">
        <v>10093</v>
      </c>
      <c r="B9662" s="9">
        <v>0.15</v>
      </c>
    </row>
    <row r="9663" spans="1:3" x14ac:dyDescent="0.25">
      <c r="A9663" t="s">
        <v>10094</v>
      </c>
      <c r="B9663" s="9">
        <v>0.2</v>
      </c>
    </row>
    <row r="9664" spans="1:3" x14ac:dyDescent="0.25">
      <c r="A9664" t="s">
        <v>10095</v>
      </c>
      <c r="B9664" s="9">
        <v>0.15</v>
      </c>
    </row>
    <row r="9665" spans="1:2" x14ac:dyDescent="0.25">
      <c r="A9665" t="s">
        <v>10096</v>
      </c>
      <c r="B9665" s="9">
        <v>0.2</v>
      </c>
    </row>
    <row r="9666" spans="1:2" x14ac:dyDescent="0.25">
      <c r="A9666" t="s">
        <v>10097</v>
      </c>
      <c r="B9666" s="9">
        <v>0.15</v>
      </c>
    </row>
    <row r="9667" spans="1:2" x14ac:dyDescent="0.25">
      <c r="A9667" t="s">
        <v>10098</v>
      </c>
      <c r="B9667" s="9">
        <v>0.2</v>
      </c>
    </row>
    <row r="9668" spans="1:2" x14ac:dyDescent="0.25">
      <c r="A9668" t="s">
        <v>10099</v>
      </c>
      <c r="B9668" s="9">
        <v>0.15</v>
      </c>
    </row>
    <row r="9669" spans="1:2" x14ac:dyDescent="0.25">
      <c r="A9669" t="s">
        <v>10100</v>
      </c>
      <c r="B9669" s="9">
        <v>0</v>
      </c>
    </row>
    <row r="9670" spans="1:2" x14ac:dyDescent="0.25">
      <c r="A9670" t="s">
        <v>10101</v>
      </c>
      <c r="B9670" s="9">
        <v>0.15</v>
      </c>
    </row>
    <row r="9671" spans="1:2" x14ac:dyDescent="0.25">
      <c r="A9671" t="s">
        <v>10102</v>
      </c>
      <c r="B9671" s="9">
        <v>0</v>
      </c>
    </row>
    <row r="9672" spans="1:2" x14ac:dyDescent="0.25">
      <c r="A9672" t="s">
        <v>10103</v>
      </c>
      <c r="B9672" s="9">
        <v>0.2</v>
      </c>
    </row>
    <row r="9673" spans="1:2" x14ac:dyDescent="0.25">
      <c r="A9673" t="s">
        <v>10104</v>
      </c>
      <c r="B9673" s="9">
        <v>0.15</v>
      </c>
    </row>
    <row r="9674" spans="1:2" x14ac:dyDescent="0.25">
      <c r="A9674" t="s">
        <v>10105</v>
      </c>
      <c r="B9674" s="9">
        <v>0</v>
      </c>
    </row>
    <row r="9675" spans="1:2" x14ac:dyDescent="0.25">
      <c r="A9675" t="s">
        <v>10106</v>
      </c>
      <c r="B9675" s="9">
        <v>0.15</v>
      </c>
    </row>
    <row r="9676" spans="1:2" x14ac:dyDescent="0.25">
      <c r="A9676" t="s">
        <v>10107</v>
      </c>
      <c r="B9676" s="9">
        <v>0</v>
      </c>
    </row>
    <row r="9677" spans="1:2" x14ac:dyDescent="0.25">
      <c r="A9677" t="s">
        <v>10108</v>
      </c>
      <c r="B9677" s="9">
        <v>0.15</v>
      </c>
    </row>
    <row r="9678" spans="1:2" x14ac:dyDescent="0.25">
      <c r="A9678" t="s">
        <v>10109</v>
      </c>
      <c r="B9678" s="9">
        <v>0.45</v>
      </c>
    </row>
    <row r="9679" spans="1:2" x14ac:dyDescent="0.25">
      <c r="A9679" t="s">
        <v>10110</v>
      </c>
      <c r="B9679" s="9">
        <v>0.15</v>
      </c>
    </row>
    <row r="9680" spans="1:2" x14ac:dyDescent="0.25">
      <c r="A9680" t="s">
        <v>10111</v>
      </c>
      <c r="B9680" s="9">
        <v>0.15</v>
      </c>
    </row>
    <row r="9681" spans="1:2" x14ac:dyDescent="0.25">
      <c r="A9681" t="s">
        <v>10112</v>
      </c>
      <c r="B9681" s="9">
        <v>0.15</v>
      </c>
    </row>
    <row r="9682" spans="1:2" x14ac:dyDescent="0.25">
      <c r="A9682" t="s">
        <v>10113</v>
      </c>
      <c r="B9682" s="9">
        <v>0.1</v>
      </c>
    </row>
    <row r="9683" spans="1:2" x14ac:dyDescent="0.25">
      <c r="A9683" t="s">
        <v>10114</v>
      </c>
      <c r="B9683" s="9">
        <v>0.15</v>
      </c>
    </row>
    <row r="9684" spans="1:2" x14ac:dyDescent="0.25">
      <c r="A9684" t="s">
        <v>10115</v>
      </c>
      <c r="B9684" s="9">
        <v>0.15</v>
      </c>
    </row>
    <row r="9685" spans="1:2" x14ac:dyDescent="0.25">
      <c r="A9685" t="s">
        <v>10116</v>
      </c>
      <c r="B9685" s="9">
        <v>0.15</v>
      </c>
    </row>
    <row r="9686" spans="1:2" x14ac:dyDescent="0.25">
      <c r="A9686" t="s">
        <v>10117</v>
      </c>
      <c r="B9686" s="9">
        <v>0.1</v>
      </c>
    </row>
    <row r="9687" spans="1:2" x14ac:dyDescent="0.25">
      <c r="A9687" t="s">
        <v>10118</v>
      </c>
      <c r="B9687" s="9">
        <v>0.1</v>
      </c>
    </row>
    <row r="9688" spans="1:2" x14ac:dyDescent="0.25">
      <c r="A9688" t="s">
        <v>10119</v>
      </c>
      <c r="B9688" s="9">
        <v>0.1</v>
      </c>
    </row>
    <row r="9689" spans="1:2" x14ac:dyDescent="0.25">
      <c r="A9689" t="s">
        <v>10120</v>
      </c>
      <c r="B9689" s="9">
        <v>0.1</v>
      </c>
    </row>
    <row r="9690" spans="1:2" x14ac:dyDescent="0.25">
      <c r="A9690" t="s">
        <v>10121</v>
      </c>
      <c r="B9690" s="9">
        <v>0.1</v>
      </c>
    </row>
    <row r="9691" spans="1:2" x14ac:dyDescent="0.25">
      <c r="A9691" t="s">
        <v>10122</v>
      </c>
      <c r="B9691" s="9">
        <v>0.1</v>
      </c>
    </row>
    <row r="9692" spans="1:2" x14ac:dyDescent="0.25">
      <c r="A9692" t="s">
        <v>10123</v>
      </c>
      <c r="B9692" s="9">
        <v>0.1</v>
      </c>
    </row>
    <row r="9693" spans="1:2" x14ac:dyDescent="0.25">
      <c r="A9693" t="s">
        <v>10124</v>
      </c>
      <c r="B9693" s="9">
        <v>0.1</v>
      </c>
    </row>
    <row r="9694" spans="1:2" x14ac:dyDescent="0.25">
      <c r="A9694" t="s">
        <v>10125</v>
      </c>
      <c r="B9694" s="9">
        <v>0.1</v>
      </c>
    </row>
    <row r="9695" spans="1:2" x14ac:dyDescent="0.25">
      <c r="A9695" t="s">
        <v>10126</v>
      </c>
      <c r="B9695" s="9">
        <v>0.1</v>
      </c>
    </row>
    <row r="9696" spans="1:2" x14ac:dyDescent="0.25">
      <c r="A9696" t="s">
        <v>10127</v>
      </c>
      <c r="B9696" s="9">
        <v>0.1</v>
      </c>
    </row>
    <row r="9697" spans="1:2" x14ac:dyDescent="0.25">
      <c r="A9697" t="s">
        <v>10128</v>
      </c>
      <c r="B9697" s="9">
        <v>0.1</v>
      </c>
    </row>
    <row r="9698" spans="1:2" x14ac:dyDescent="0.25">
      <c r="A9698" t="s">
        <v>10129</v>
      </c>
      <c r="B9698" s="9">
        <v>0.1</v>
      </c>
    </row>
    <row r="9699" spans="1:2" x14ac:dyDescent="0.25">
      <c r="A9699" t="s">
        <v>10130</v>
      </c>
      <c r="B9699" s="9">
        <v>0.1</v>
      </c>
    </row>
    <row r="9700" spans="1:2" x14ac:dyDescent="0.25">
      <c r="A9700" t="s">
        <v>10131</v>
      </c>
      <c r="B9700" s="9">
        <v>0.1</v>
      </c>
    </row>
    <row r="9701" spans="1:2" x14ac:dyDescent="0.25">
      <c r="A9701" t="s">
        <v>10132</v>
      </c>
      <c r="B9701" s="9">
        <v>0.1</v>
      </c>
    </row>
    <row r="9702" spans="1:2" x14ac:dyDescent="0.25">
      <c r="A9702" t="s">
        <v>10133</v>
      </c>
      <c r="B9702" s="9">
        <v>0.1</v>
      </c>
    </row>
    <row r="9703" spans="1:2" x14ac:dyDescent="0.25">
      <c r="A9703" t="s">
        <v>10134</v>
      </c>
      <c r="B9703" s="9">
        <v>0.1</v>
      </c>
    </row>
    <row r="9704" spans="1:2" x14ac:dyDescent="0.25">
      <c r="A9704" t="s">
        <v>10135</v>
      </c>
      <c r="B9704" s="9">
        <v>0.1</v>
      </c>
    </row>
    <row r="9705" spans="1:2" x14ac:dyDescent="0.25">
      <c r="A9705" t="s">
        <v>10136</v>
      </c>
      <c r="B9705" s="9">
        <v>0.1</v>
      </c>
    </row>
    <row r="9706" spans="1:2" x14ac:dyDescent="0.25">
      <c r="A9706" t="s">
        <v>10137</v>
      </c>
      <c r="B9706" s="9">
        <v>0.02</v>
      </c>
    </row>
    <row r="9707" spans="1:2" x14ac:dyDescent="0.25">
      <c r="A9707" t="s">
        <v>10138</v>
      </c>
      <c r="B9707" s="9">
        <v>0.05</v>
      </c>
    </row>
    <row r="9708" spans="1:2" x14ac:dyDescent="0.25">
      <c r="A9708" t="s">
        <v>10139</v>
      </c>
      <c r="B9708" s="9">
        <v>0.05</v>
      </c>
    </row>
    <row r="9709" spans="1:2" x14ac:dyDescent="0.25">
      <c r="A9709" t="s">
        <v>10140</v>
      </c>
      <c r="B9709" s="9">
        <v>0.02</v>
      </c>
    </row>
    <row r="9710" spans="1:2" x14ac:dyDescent="0.25">
      <c r="A9710" t="s">
        <v>10141</v>
      </c>
      <c r="B9710" s="9">
        <v>0.02</v>
      </c>
    </row>
    <row r="9711" spans="1:2" x14ac:dyDescent="0.25">
      <c r="A9711" t="s">
        <v>10142</v>
      </c>
      <c r="B9711" s="9">
        <v>0.02</v>
      </c>
    </row>
    <row r="9712" spans="1:2" x14ac:dyDescent="0.25">
      <c r="A9712" t="s">
        <v>10143</v>
      </c>
      <c r="B9712" s="9">
        <v>0.02</v>
      </c>
    </row>
    <row r="9713" spans="1:2" x14ac:dyDescent="0.25">
      <c r="A9713" t="s">
        <v>10144</v>
      </c>
      <c r="B9713" s="9">
        <v>0.02</v>
      </c>
    </row>
    <row r="9714" spans="1:2" x14ac:dyDescent="0.25">
      <c r="A9714" t="s">
        <v>10145</v>
      </c>
      <c r="B9714" s="9">
        <v>0.05</v>
      </c>
    </row>
    <row r="9715" spans="1:2" x14ac:dyDescent="0.25">
      <c r="A9715" t="s">
        <v>10146</v>
      </c>
      <c r="B9715" s="9">
        <v>0.02</v>
      </c>
    </row>
    <row r="9716" spans="1:2" x14ac:dyDescent="0.25">
      <c r="A9716" t="s">
        <v>10147</v>
      </c>
      <c r="B9716" s="9">
        <v>0.02</v>
      </c>
    </row>
    <row r="9717" spans="1:2" x14ac:dyDescent="0.25">
      <c r="A9717" t="s">
        <v>10148</v>
      </c>
      <c r="B9717" s="9">
        <v>0.05</v>
      </c>
    </row>
    <row r="9718" spans="1:2" x14ac:dyDescent="0.25">
      <c r="A9718" t="s">
        <v>10149</v>
      </c>
      <c r="B9718" s="9">
        <v>0.02</v>
      </c>
    </row>
    <row r="9719" spans="1:2" x14ac:dyDescent="0.25">
      <c r="A9719" t="s">
        <v>10150</v>
      </c>
      <c r="B9719" s="9">
        <v>0.02</v>
      </c>
    </row>
    <row r="9720" spans="1:2" x14ac:dyDescent="0.25">
      <c r="A9720" t="s">
        <v>10151</v>
      </c>
      <c r="B9720" s="9">
        <v>0.02</v>
      </c>
    </row>
    <row r="9721" spans="1:2" x14ac:dyDescent="0.25">
      <c r="A9721" t="s">
        <v>10152</v>
      </c>
      <c r="B9721" s="9">
        <v>0.02</v>
      </c>
    </row>
    <row r="9722" spans="1:2" x14ac:dyDescent="0.25">
      <c r="A9722" t="s">
        <v>10153</v>
      </c>
      <c r="B9722" s="9">
        <v>0.02</v>
      </c>
    </row>
    <row r="9723" spans="1:2" x14ac:dyDescent="0.25">
      <c r="A9723" t="s">
        <v>10154</v>
      </c>
      <c r="B9723" s="9">
        <v>0.02</v>
      </c>
    </row>
    <row r="9724" spans="1:2" x14ac:dyDescent="0.25">
      <c r="A9724" t="s">
        <v>10155</v>
      </c>
      <c r="B9724" s="9">
        <v>0.02</v>
      </c>
    </row>
    <row r="9725" spans="1:2" x14ac:dyDescent="0.25">
      <c r="A9725" t="s">
        <v>10156</v>
      </c>
      <c r="B9725" s="9">
        <v>0.05</v>
      </c>
    </row>
    <row r="9726" spans="1:2" x14ac:dyDescent="0.25">
      <c r="A9726" t="s">
        <v>10157</v>
      </c>
      <c r="B9726" s="9">
        <v>0.05</v>
      </c>
    </row>
    <row r="9727" spans="1:2" x14ac:dyDescent="0.25">
      <c r="A9727" t="s">
        <v>10158</v>
      </c>
      <c r="B9727" s="9">
        <v>0.05</v>
      </c>
    </row>
    <row r="9728" spans="1:2" x14ac:dyDescent="0.25">
      <c r="A9728" t="s">
        <v>10159</v>
      </c>
      <c r="B9728" s="9">
        <v>0.05</v>
      </c>
    </row>
    <row r="9729" spans="1:2" x14ac:dyDescent="0.25">
      <c r="A9729" t="s">
        <v>10160</v>
      </c>
      <c r="B9729" s="9">
        <v>0.02</v>
      </c>
    </row>
    <row r="9730" spans="1:2" x14ac:dyDescent="0.25">
      <c r="A9730" t="s">
        <v>10161</v>
      </c>
      <c r="B9730" s="9">
        <v>0.02</v>
      </c>
    </row>
    <row r="9731" spans="1:2" x14ac:dyDescent="0.25">
      <c r="A9731" t="s">
        <v>10162</v>
      </c>
      <c r="B9731" s="9">
        <v>0.02</v>
      </c>
    </row>
    <row r="9732" spans="1:2" x14ac:dyDescent="0.25">
      <c r="A9732" t="s">
        <v>10163</v>
      </c>
      <c r="B9732" s="9">
        <v>0.02</v>
      </c>
    </row>
    <row r="9733" spans="1:2" x14ac:dyDescent="0.25">
      <c r="A9733" t="s">
        <v>10164</v>
      </c>
      <c r="B9733" s="9">
        <v>0</v>
      </c>
    </row>
    <row r="9734" spans="1:2" x14ac:dyDescent="0.25">
      <c r="A9734" t="s">
        <v>10165</v>
      </c>
      <c r="B9734" s="9">
        <v>0.02</v>
      </c>
    </row>
    <row r="9735" spans="1:2" x14ac:dyDescent="0.25">
      <c r="A9735" t="s">
        <v>10166</v>
      </c>
      <c r="B9735" s="9">
        <v>0.02</v>
      </c>
    </row>
    <row r="9736" spans="1:2" x14ac:dyDescent="0.25">
      <c r="A9736" t="s">
        <v>10167</v>
      </c>
      <c r="B9736" s="9">
        <v>0.02</v>
      </c>
    </row>
    <row r="9737" spans="1:2" x14ac:dyDescent="0.25">
      <c r="A9737" t="s">
        <v>10168</v>
      </c>
      <c r="B9737" s="9">
        <v>0.05</v>
      </c>
    </row>
    <row r="9738" spans="1:2" x14ac:dyDescent="0.25">
      <c r="A9738" t="s">
        <v>10169</v>
      </c>
      <c r="B9738" s="9">
        <v>0.02</v>
      </c>
    </row>
    <row r="9739" spans="1:2" x14ac:dyDescent="0.25">
      <c r="A9739" t="s">
        <v>10170</v>
      </c>
      <c r="B9739" s="9">
        <v>0.02</v>
      </c>
    </row>
    <row r="9740" spans="1:2" x14ac:dyDescent="0.25">
      <c r="A9740" t="s">
        <v>10171</v>
      </c>
      <c r="B9740" s="9">
        <v>0.02</v>
      </c>
    </row>
    <row r="9741" spans="1:2" x14ac:dyDescent="0.25">
      <c r="A9741" t="s">
        <v>10172</v>
      </c>
      <c r="B9741" s="9">
        <v>0.02</v>
      </c>
    </row>
    <row r="9742" spans="1:2" x14ac:dyDescent="0.25">
      <c r="A9742" t="s">
        <v>10173</v>
      </c>
      <c r="B9742" s="9">
        <v>0.02</v>
      </c>
    </row>
    <row r="9743" spans="1:2" x14ac:dyDescent="0.25">
      <c r="A9743" t="s">
        <v>10174</v>
      </c>
      <c r="B9743" s="9">
        <v>0.1</v>
      </c>
    </row>
    <row r="9744" spans="1:2" x14ac:dyDescent="0.25">
      <c r="A9744" t="s">
        <v>10175</v>
      </c>
      <c r="B9744" s="9">
        <v>0</v>
      </c>
    </row>
    <row r="9745" spans="1:2" x14ac:dyDescent="0.25">
      <c r="A9745" t="s">
        <v>10176</v>
      </c>
      <c r="B9745" s="9">
        <v>0.1</v>
      </c>
    </row>
    <row r="9746" spans="1:2" x14ac:dyDescent="0.25">
      <c r="A9746" t="s">
        <v>10177</v>
      </c>
      <c r="B9746" s="9">
        <v>0.05</v>
      </c>
    </row>
    <row r="9747" spans="1:2" x14ac:dyDescent="0.25">
      <c r="A9747" t="s">
        <v>10178</v>
      </c>
      <c r="B9747" s="9">
        <v>0.05</v>
      </c>
    </row>
    <row r="9748" spans="1:2" x14ac:dyDescent="0.25">
      <c r="A9748" t="s">
        <v>10179</v>
      </c>
      <c r="B9748" s="9">
        <v>0.05</v>
      </c>
    </row>
    <row r="9749" spans="1:2" x14ac:dyDescent="0.25">
      <c r="A9749" t="s">
        <v>10180</v>
      </c>
      <c r="B9749" s="9">
        <v>0.05</v>
      </c>
    </row>
    <row r="9750" spans="1:2" x14ac:dyDescent="0.25">
      <c r="A9750" t="s">
        <v>10181</v>
      </c>
      <c r="B9750" s="9">
        <v>0.02</v>
      </c>
    </row>
    <row r="9751" spans="1:2" x14ac:dyDescent="0.25">
      <c r="A9751" t="s">
        <v>10182</v>
      </c>
      <c r="B9751" s="9">
        <v>0.02</v>
      </c>
    </row>
    <row r="9752" spans="1:2" x14ac:dyDescent="0.25">
      <c r="A9752" t="s">
        <v>10183</v>
      </c>
      <c r="B9752" s="9">
        <v>0.02</v>
      </c>
    </row>
    <row r="9753" spans="1:2" x14ac:dyDescent="0.25">
      <c r="A9753" t="s">
        <v>10184</v>
      </c>
      <c r="B9753" s="9">
        <v>0.02</v>
      </c>
    </row>
    <row r="9754" spans="1:2" x14ac:dyDescent="0.25">
      <c r="A9754" t="s">
        <v>10185</v>
      </c>
      <c r="B9754" s="9">
        <v>0.05</v>
      </c>
    </row>
    <row r="9755" spans="1:2" x14ac:dyDescent="0.25">
      <c r="A9755" t="s">
        <v>10186</v>
      </c>
      <c r="B9755" s="9">
        <v>0.02</v>
      </c>
    </row>
    <row r="9756" spans="1:2" x14ac:dyDescent="0.25">
      <c r="A9756" t="s">
        <v>10187</v>
      </c>
      <c r="B9756" s="9">
        <v>0.02</v>
      </c>
    </row>
    <row r="9757" spans="1:2" x14ac:dyDescent="0.25">
      <c r="A9757" t="s">
        <v>10188</v>
      </c>
      <c r="B9757" s="9">
        <v>0.02</v>
      </c>
    </row>
    <row r="9758" spans="1:2" x14ac:dyDescent="0.25">
      <c r="A9758" t="s">
        <v>10189</v>
      </c>
      <c r="B9758" s="9">
        <v>0.05</v>
      </c>
    </row>
    <row r="9759" spans="1:2" x14ac:dyDescent="0.25">
      <c r="A9759" t="s">
        <v>10190</v>
      </c>
      <c r="B9759" s="9">
        <v>0.05</v>
      </c>
    </row>
    <row r="9760" spans="1:2" x14ac:dyDescent="0.25">
      <c r="A9760" t="s">
        <v>10191</v>
      </c>
      <c r="B9760" s="9">
        <v>0.05</v>
      </c>
    </row>
    <row r="9761" spans="1:2" x14ac:dyDescent="0.25">
      <c r="A9761" t="s">
        <v>10192</v>
      </c>
      <c r="B9761" s="9">
        <v>0.05</v>
      </c>
    </row>
    <row r="9762" spans="1:2" x14ac:dyDescent="0.25">
      <c r="A9762" t="s">
        <v>10193</v>
      </c>
      <c r="B9762" s="9">
        <v>0.05</v>
      </c>
    </row>
    <row r="9763" spans="1:2" x14ac:dyDescent="0.25">
      <c r="A9763" t="s">
        <v>10194</v>
      </c>
      <c r="B9763" s="9">
        <v>0.02</v>
      </c>
    </row>
    <row r="9764" spans="1:2" x14ac:dyDescent="0.25">
      <c r="A9764" t="s">
        <v>10195</v>
      </c>
      <c r="B9764" s="9">
        <v>0.1</v>
      </c>
    </row>
    <row r="9765" spans="1:2" x14ac:dyDescent="0.25">
      <c r="A9765" t="s">
        <v>10196</v>
      </c>
      <c r="B9765" s="9">
        <v>0.1</v>
      </c>
    </row>
    <row r="9766" spans="1:2" x14ac:dyDescent="0.25">
      <c r="A9766" t="s">
        <v>10197</v>
      </c>
      <c r="B9766" s="9">
        <v>0.02</v>
      </c>
    </row>
    <row r="9767" spans="1:2" x14ac:dyDescent="0.25">
      <c r="A9767" t="s">
        <v>10198</v>
      </c>
      <c r="B9767" s="9">
        <v>0.05</v>
      </c>
    </row>
    <row r="9768" spans="1:2" x14ac:dyDescent="0.25">
      <c r="A9768" t="s">
        <v>10199</v>
      </c>
      <c r="B9768" s="9">
        <v>0.1</v>
      </c>
    </row>
    <row r="9769" spans="1:2" x14ac:dyDescent="0.25">
      <c r="A9769" t="s">
        <v>10200</v>
      </c>
      <c r="B9769" s="9">
        <v>0.1</v>
      </c>
    </row>
    <row r="9770" spans="1:2" x14ac:dyDescent="0.25">
      <c r="A9770" t="s">
        <v>10201</v>
      </c>
      <c r="B9770" s="9">
        <v>0.02</v>
      </c>
    </row>
    <row r="9771" spans="1:2" x14ac:dyDescent="0.25">
      <c r="A9771" t="s">
        <v>10202</v>
      </c>
      <c r="B9771" s="9">
        <v>0.05</v>
      </c>
    </row>
    <row r="9772" spans="1:2" x14ac:dyDescent="0.25">
      <c r="A9772" t="s">
        <v>10203</v>
      </c>
      <c r="B9772" s="9">
        <v>0.02</v>
      </c>
    </row>
    <row r="9773" spans="1:2" x14ac:dyDescent="0.25">
      <c r="A9773" t="s">
        <v>10204</v>
      </c>
      <c r="B9773" s="9">
        <v>0.05</v>
      </c>
    </row>
    <row r="9774" spans="1:2" x14ac:dyDescent="0.25">
      <c r="A9774" t="s">
        <v>10205</v>
      </c>
      <c r="B9774" s="9">
        <v>0.02</v>
      </c>
    </row>
    <row r="9775" spans="1:2" x14ac:dyDescent="0.25">
      <c r="A9775" t="s">
        <v>10206</v>
      </c>
      <c r="B9775" s="9">
        <v>0.05</v>
      </c>
    </row>
    <row r="9776" spans="1:2" x14ac:dyDescent="0.25">
      <c r="A9776" t="s">
        <v>10207</v>
      </c>
      <c r="B9776" s="9">
        <v>0.02</v>
      </c>
    </row>
    <row r="9777" spans="1:2" x14ac:dyDescent="0.25">
      <c r="A9777" t="s">
        <v>10208</v>
      </c>
      <c r="B9777" s="9">
        <v>0.02</v>
      </c>
    </row>
    <row r="9778" spans="1:2" x14ac:dyDescent="0.25">
      <c r="A9778" t="s">
        <v>10209</v>
      </c>
      <c r="B9778" s="9">
        <v>0.02</v>
      </c>
    </row>
    <row r="9779" spans="1:2" x14ac:dyDescent="0.25">
      <c r="A9779" t="s">
        <v>10210</v>
      </c>
      <c r="B9779" s="9">
        <v>0.1</v>
      </c>
    </row>
    <row r="9780" spans="1:2" x14ac:dyDescent="0.25">
      <c r="A9780" t="s">
        <v>10211</v>
      </c>
      <c r="B9780" s="9">
        <v>0.05</v>
      </c>
    </row>
    <row r="9781" spans="1:2" x14ac:dyDescent="0.25">
      <c r="A9781" t="s">
        <v>10212</v>
      </c>
      <c r="B9781" s="9">
        <v>0</v>
      </c>
    </row>
    <row r="9782" spans="1:2" x14ac:dyDescent="0.25">
      <c r="A9782" t="s">
        <v>10213</v>
      </c>
      <c r="B9782" s="9">
        <v>0</v>
      </c>
    </row>
    <row r="9783" spans="1:2" x14ac:dyDescent="0.25">
      <c r="A9783" t="s">
        <v>10214</v>
      </c>
      <c r="B9783" s="9">
        <v>0</v>
      </c>
    </row>
    <row r="9784" spans="1:2" x14ac:dyDescent="0.25">
      <c r="A9784" t="s">
        <v>10215</v>
      </c>
      <c r="B9784" s="9">
        <v>0.1</v>
      </c>
    </row>
    <row r="9785" spans="1:2" x14ac:dyDescent="0.25">
      <c r="A9785" t="s">
        <v>10216</v>
      </c>
      <c r="B9785" s="9">
        <v>0.2</v>
      </c>
    </row>
    <row r="9786" spans="1:2" x14ac:dyDescent="0.25">
      <c r="A9786" t="s">
        <v>10217</v>
      </c>
      <c r="B9786" s="9">
        <v>0.1</v>
      </c>
    </row>
    <row r="9787" spans="1:2" x14ac:dyDescent="0.25">
      <c r="A9787" t="s">
        <v>10218</v>
      </c>
      <c r="B9787" s="9">
        <v>0.2</v>
      </c>
    </row>
    <row r="9788" spans="1:2" x14ac:dyDescent="0.25">
      <c r="A9788" t="s">
        <v>10219</v>
      </c>
      <c r="B9788" s="9">
        <v>0.1</v>
      </c>
    </row>
    <row r="9789" spans="1:2" x14ac:dyDescent="0.25">
      <c r="A9789" t="s">
        <v>10220</v>
      </c>
      <c r="B9789" s="9">
        <v>0.2</v>
      </c>
    </row>
    <row r="9790" spans="1:2" x14ac:dyDescent="0.25">
      <c r="A9790" t="s">
        <v>10221</v>
      </c>
      <c r="B9790" s="9">
        <v>0.1</v>
      </c>
    </row>
    <row r="9791" spans="1:2" x14ac:dyDescent="0.25">
      <c r="A9791" t="s">
        <v>10222</v>
      </c>
      <c r="B9791" s="9">
        <v>0.2</v>
      </c>
    </row>
    <row r="9792" spans="1:2" x14ac:dyDescent="0.25">
      <c r="A9792" t="s">
        <v>10223</v>
      </c>
      <c r="B9792" s="9">
        <v>0.1</v>
      </c>
    </row>
    <row r="9793" spans="1:2" x14ac:dyDescent="0.25">
      <c r="A9793" t="s">
        <v>10224</v>
      </c>
      <c r="B9793" s="9">
        <v>0.2</v>
      </c>
    </row>
    <row r="9794" spans="1:2" x14ac:dyDescent="0.25">
      <c r="A9794" t="s">
        <v>10225</v>
      </c>
      <c r="B9794" s="9">
        <v>0.1</v>
      </c>
    </row>
    <row r="9795" spans="1:2" x14ac:dyDescent="0.25">
      <c r="A9795" t="s">
        <v>10226</v>
      </c>
      <c r="B9795" s="9">
        <v>0.2</v>
      </c>
    </row>
    <row r="9796" spans="1:2" x14ac:dyDescent="0.25">
      <c r="A9796" t="s">
        <v>10227</v>
      </c>
      <c r="B9796" s="9">
        <v>0.1</v>
      </c>
    </row>
    <row r="9797" spans="1:2" x14ac:dyDescent="0.25">
      <c r="A9797" t="s">
        <v>10228</v>
      </c>
      <c r="B9797" s="9">
        <v>0.1</v>
      </c>
    </row>
    <row r="9798" spans="1:2" x14ac:dyDescent="0.25">
      <c r="A9798" t="s">
        <v>10229</v>
      </c>
      <c r="B9798" s="9">
        <v>0.1</v>
      </c>
    </row>
    <row r="9799" spans="1:2" x14ac:dyDescent="0.25">
      <c r="A9799" t="s">
        <v>10230</v>
      </c>
      <c r="B9799" s="9">
        <v>0.1</v>
      </c>
    </row>
    <row r="9800" spans="1:2" x14ac:dyDescent="0.25">
      <c r="A9800" t="s">
        <v>10231</v>
      </c>
      <c r="B9800" s="9">
        <v>0.1</v>
      </c>
    </row>
    <row r="9801" spans="1:2" x14ac:dyDescent="0.25">
      <c r="A9801" t="s">
        <v>10232</v>
      </c>
      <c r="B9801" s="9">
        <v>0.1</v>
      </c>
    </row>
    <row r="9802" spans="1:2" x14ac:dyDescent="0.25">
      <c r="A9802" t="s">
        <v>10233</v>
      </c>
      <c r="B9802" s="9">
        <v>0.1</v>
      </c>
    </row>
    <row r="9803" spans="1:2" x14ac:dyDescent="0.25">
      <c r="A9803" t="s">
        <v>10234</v>
      </c>
      <c r="B9803" s="9">
        <v>0</v>
      </c>
    </row>
    <row r="9804" spans="1:2" x14ac:dyDescent="0.25">
      <c r="A9804" t="s">
        <v>10235</v>
      </c>
      <c r="B9804" s="9">
        <v>0.1</v>
      </c>
    </row>
    <row r="9805" spans="1:2" x14ac:dyDescent="0.25">
      <c r="A9805" t="s">
        <v>10236</v>
      </c>
      <c r="B9805" s="9">
        <v>0.1</v>
      </c>
    </row>
    <row r="9806" spans="1:2" x14ac:dyDescent="0.25">
      <c r="A9806" t="s">
        <v>10237</v>
      </c>
      <c r="B9806" s="9">
        <v>0.1</v>
      </c>
    </row>
    <row r="9807" spans="1:2" x14ac:dyDescent="0.25">
      <c r="A9807" t="s">
        <v>10238</v>
      </c>
      <c r="B9807" s="9">
        <v>0.1</v>
      </c>
    </row>
    <row r="9808" spans="1:2" x14ac:dyDescent="0.25">
      <c r="A9808" t="s">
        <v>10239</v>
      </c>
      <c r="B9808" s="9">
        <v>0.1</v>
      </c>
    </row>
    <row r="9809" spans="1:3" x14ac:dyDescent="0.25">
      <c r="A9809" t="s">
        <v>10240</v>
      </c>
      <c r="B9809" s="9">
        <v>0.1</v>
      </c>
    </row>
    <row r="9810" spans="1:3" x14ac:dyDescent="0.25">
      <c r="A9810" t="s">
        <v>10241</v>
      </c>
      <c r="B9810" s="9">
        <v>0</v>
      </c>
    </row>
    <row r="9811" spans="1:3" x14ac:dyDescent="0.25">
      <c r="A9811" t="s">
        <v>10242</v>
      </c>
      <c r="B9811" s="9">
        <v>0.1</v>
      </c>
    </row>
    <row r="9812" spans="1:3" x14ac:dyDescent="0.25">
      <c r="A9812" t="s">
        <v>10243</v>
      </c>
      <c r="B9812" s="9">
        <v>0.1</v>
      </c>
    </row>
    <row r="9813" spans="1:3" x14ac:dyDescent="0.25">
      <c r="A9813" t="s">
        <v>10244</v>
      </c>
      <c r="B9813" s="9">
        <v>0</v>
      </c>
    </row>
    <row r="9814" spans="1:3" x14ac:dyDescent="0.25">
      <c r="A9814" t="s">
        <v>10245</v>
      </c>
      <c r="B9814" s="9">
        <v>0.05</v>
      </c>
    </row>
    <row r="9815" spans="1:3" x14ac:dyDescent="0.25">
      <c r="A9815" t="s">
        <v>10246</v>
      </c>
      <c r="B9815" s="9">
        <v>0.05</v>
      </c>
    </row>
    <row r="9816" spans="1:3" x14ac:dyDescent="0.25">
      <c r="A9816" t="s">
        <v>10247</v>
      </c>
      <c r="B9816" s="9">
        <v>0.05</v>
      </c>
    </row>
    <row r="9817" spans="1:3" x14ac:dyDescent="0.25">
      <c r="A9817" t="s">
        <v>179</v>
      </c>
      <c r="B9817" s="9">
        <v>0.1</v>
      </c>
      <c r="C9817" t="s">
        <v>179</v>
      </c>
    </row>
    <row r="9818" spans="1:3" x14ac:dyDescent="0.25">
      <c r="A9818" t="s">
        <v>10248</v>
      </c>
      <c r="B9818" s="9">
        <v>0.04</v>
      </c>
    </row>
    <row r="9819" spans="1:3" x14ac:dyDescent="0.25">
      <c r="A9819" t="s">
        <v>10249</v>
      </c>
      <c r="B9819" s="9">
        <v>0.05</v>
      </c>
    </row>
    <row r="9820" spans="1:3" x14ac:dyDescent="0.25">
      <c r="A9820" t="s">
        <v>10250</v>
      </c>
      <c r="B9820" s="9">
        <v>0</v>
      </c>
    </row>
    <row r="9821" spans="1:3" x14ac:dyDescent="0.25">
      <c r="A9821" t="s">
        <v>10251</v>
      </c>
      <c r="B9821" s="9">
        <v>0.05</v>
      </c>
    </row>
    <row r="9822" spans="1:3" x14ac:dyDescent="0.25">
      <c r="A9822" t="s">
        <v>10252</v>
      </c>
      <c r="B9822" s="9">
        <v>0.05</v>
      </c>
    </row>
    <row r="9823" spans="1:3" x14ac:dyDescent="0.25">
      <c r="A9823" t="s">
        <v>10253</v>
      </c>
      <c r="B9823" s="9">
        <v>0.15</v>
      </c>
    </row>
    <row r="9824" spans="1:3" x14ac:dyDescent="0.25">
      <c r="A9824" t="s">
        <v>10254</v>
      </c>
      <c r="B9824" s="9">
        <v>0.15</v>
      </c>
    </row>
    <row r="9825" spans="1:2" x14ac:dyDescent="0.25">
      <c r="A9825" t="s">
        <v>10255</v>
      </c>
      <c r="B9825" s="9">
        <v>0.15</v>
      </c>
    </row>
    <row r="9826" spans="1:2" x14ac:dyDescent="0.25">
      <c r="A9826" t="s">
        <v>10256</v>
      </c>
      <c r="B9826" s="9">
        <v>0.15</v>
      </c>
    </row>
    <row r="9827" spans="1:2" x14ac:dyDescent="0.25">
      <c r="A9827" t="s">
        <v>10257</v>
      </c>
      <c r="B9827" s="9">
        <v>0.1</v>
      </c>
    </row>
    <row r="9828" spans="1:2" x14ac:dyDescent="0.25">
      <c r="A9828" t="s">
        <v>10258</v>
      </c>
      <c r="B9828" s="9">
        <v>0.1</v>
      </c>
    </row>
    <row r="9829" spans="1:2" x14ac:dyDescent="0.25">
      <c r="A9829" t="s">
        <v>10259</v>
      </c>
      <c r="B9829" s="9">
        <v>0.1</v>
      </c>
    </row>
    <row r="9830" spans="1:2" x14ac:dyDescent="0.25">
      <c r="A9830" t="s">
        <v>10260</v>
      </c>
      <c r="B9830" s="9">
        <v>0.1</v>
      </c>
    </row>
    <row r="9831" spans="1:2" x14ac:dyDescent="0.25">
      <c r="A9831" t="s">
        <v>10261</v>
      </c>
      <c r="B9831" s="9">
        <v>0.1</v>
      </c>
    </row>
    <row r="9832" spans="1:2" x14ac:dyDescent="0.25">
      <c r="A9832" t="s">
        <v>10262</v>
      </c>
      <c r="B9832" s="9">
        <v>0.1</v>
      </c>
    </row>
    <row r="9833" spans="1:2" x14ac:dyDescent="0.25">
      <c r="A9833" t="s">
        <v>10263</v>
      </c>
      <c r="B9833" s="9">
        <v>0.1</v>
      </c>
    </row>
    <row r="9834" spans="1:2" x14ac:dyDescent="0.25">
      <c r="A9834" t="s">
        <v>10264</v>
      </c>
      <c r="B9834" s="9">
        <v>0.1</v>
      </c>
    </row>
    <row r="9835" spans="1:2" x14ac:dyDescent="0.25">
      <c r="A9835" t="s">
        <v>10265</v>
      </c>
      <c r="B9835" s="9">
        <v>0.1</v>
      </c>
    </row>
    <row r="9836" spans="1:2" x14ac:dyDescent="0.25">
      <c r="A9836" t="s">
        <v>10266</v>
      </c>
      <c r="B9836" s="9">
        <v>0.15</v>
      </c>
    </row>
    <row r="9837" spans="1:2" x14ac:dyDescent="0.25">
      <c r="A9837" t="s">
        <v>10267</v>
      </c>
      <c r="B9837" s="9">
        <v>0.15</v>
      </c>
    </row>
    <row r="9838" spans="1:2" x14ac:dyDescent="0.25">
      <c r="A9838" t="s">
        <v>10268</v>
      </c>
      <c r="B9838" s="9">
        <v>0.15</v>
      </c>
    </row>
    <row r="9839" spans="1:2" x14ac:dyDescent="0.25">
      <c r="A9839" t="s">
        <v>10269</v>
      </c>
      <c r="B9839" s="9">
        <v>0.15</v>
      </c>
    </row>
    <row r="9840" spans="1:2" x14ac:dyDescent="0.25">
      <c r="A9840" t="s">
        <v>10270</v>
      </c>
      <c r="B9840" s="9">
        <v>0.15</v>
      </c>
    </row>
    <row r="9841" spans="1:2" x14ac:dyDescent="0.25">
      <c r="A9841" t="s">
        <v>10271</v>
      </c>
      <c r="B9841" s="9">
        <v>0.15</v>
      </c>
    </row>
    <row r="9842" spans="1:2" x14ac:dyDescent="0.25">
      <c r="A9842" t="s">
        <v>10272</v>
      </c>
      <c r="B9842" s="9">
        <v>0.15</v>
      </c>
    </row>
    <row r="9843" spans="1:2" x14ac:dyDescent="0.25">
      <c r="A9843" t="s">
        <v>10273</v>
      </c>
      <c r="B9843" s="9">
        <v>0</v>
      </c>
    </row>
    <row r="9844" spans="1:2" x14ac:dyDescent="0.25">
      <c r="A9844" t="s">
        <v>10274</v>
      </c>
      <c r="B9844" s="9">
        <v>0.15</v>
      </c>
    </row>
    <row r="9845" spans="1:2" x14ac:dyDescent="0.25">
      <c r="A9845" t="s">
        <v>10275</v>
      </c>
      <c r="B9845" s="9">
        <v>0</v>
      </c>
    </row>
    <row r="9846" spans="1:2" x14ac:dyDescent="0.25">
      <c r="A9846" t="s">
        <v>10276</v>
      </c>
      <c r="B9846" s="9">
        <v>0</v>
      </c>
    </row>
    <row r="9847" spans="1:2" x14ac:dyDescent="0.25">
      <c r="A9847" t="s">
        <v>10277</v>
      </c>
      <c r="B9847" s="9">
        <v>0.1</v>
      </c>
    </row>
    <row r="9848" spans="1:2" x14ac:dyDescent="0.25">
      <c r="A9848" t="s">
        <v>10278</v>
      </c>
      <c r="B9848" s="9">
        <v>0.15</v>
      </c>
    </row>
    <row r="9849" spans="1:2" x14ac:dyDescent="0.25">
      <c r="A9849" t="s">
        <v>10279</v>
      </c>
      <c r="B9849" s="9">
        <v>0.1</v>
      </c>
    </row>
    <row r="9850" spans="1:2" x14ac:dyDescent="0.25">
      <c r="A9850" t="s">
        <v>10280</v>
      </c>
      <c r="B9850" s="9">
        <v>0.1</v>
      </c>
    </row>
    <row r="9851" spans="1:2" x14ac:dyDescent="0.25">
      <c r="A9851" t="s">
        <v>10281</v>
      </c>
      <c r="B9851" s="9">
        <v>0</v>
      </c>
    </row>
    <row r="9852" spans="1:2" x14ac:dyDescent="0.25">
      <c r="A9852" t="s">
        <v>10282</v>
      </c>
      <c r="B9852" s="9">
        <v>0</v>
      </c>
    </row>
    <row r="9853" spans="1:2" x14ac:dyDescent="0.25">
      <c r="A9853" t="s">
        <v>10283</v>
      </c>
      <c r="B9853" s="9">
        <v>0</v>
      </c>
    </row>
    <row r="9854" spans="1:2" x14ac:dyDescent="0.25">
      <c r="A9854" t="s">
        <v>10284</v>
      </c>
      <c r="B9854" s="9">
        <v>0</v>
      </c>
    </row>
    <row r="9855" spans="1:2" x14ac:dyDescent="0.25">
      <c r="A9855" t="s">
        <v>10285</v>
      </c>
      <c r="B9855" s="9">
        <v>0</v>
      </c>
    </row>
    <row r="9856" spans="1:2" x14ac:dyDescent="0.25">
      <c r="A9856" t="s">
        <v>10286</v>
      </c>
      <c r="B9856" s="9">
        <v>0</v>
      </c>
    </row>
    <row r="9857" spans="1:2" x14ac:dyDescent="0.25">
      <c r="A9857" t="s">
        <v>10287</v>
      </c>
      <c r="B9857" s="9">
        <v>0</v>
      </c>
    </row>
    <row r="9858" spans="1:2" x14ac:dyDescent="0.25">
      <c r="A9858" t="s">
        <v>10288</v>
      </c>
      <c r="B9858" s="9">
        <v>0</v>
      </c>
    </row>
    <row r="9859" spans="1:2" x14ac:dyDescent="0.25">
      <c r="A9859" t="s">
        <v>10289</v>
      </c>
      <c r="B9859" s="9">
        <v>0</v>
      </c>
    </row>
    <row r="9860" spans="1:2" x14ac:dyDescent="0.25">
      <c r="A9860" t="s">
        <v>10290</v>
      </c>
      <c r="B9860" s="9">
        <v>0</v>
      </c>
    </row>
    <row r="9861" spans="1:2" x14ac:dyDescent="0.25">
      <c r="A9861" t="s">
        <v>10291</v>
      </c>
      <c r="B9861" s="9">
        <v>0</v>
      </c>
    </row>
    <row r="9862" spans="1:2" x14ac:dyDescent="0.25">
      <c r="A9862" t="s">
        <v>10292</v>
      </c>
      <c r="B9862" s="9">
        <v>0</v>
      </c>
    </row>
    <row r="9863" spans="1:2" x14ac:dyDescent="0.25">
      <c r="A9863" t="s">
        <v>10293</v>
      </c>
      <c r="B9863" s="9">
        <v>0</v>
      </c>
    </row>
    <row r="9864" spans="1:2" x14ac:dyDescent="0.25">
      <c r="A9864" t="s">
        <v>10294</v>
      </c>
      <c r="B9864" s="9">
        <v>0</v>
      </c>
    </row>
    <row r="9865" spans="1:2" x14ac:dyDescent="0.25">
      <c r="A9865" t="s">
        <v>10295</v>
      </c>
      <c r="B9865" s="9">
        <v>0</v>
      </c>
    </row>
    <row r="9866" spans="1:2" x14ac:dyDescent="0.25">
      <c r="A9866" t="s">
        <v>10296</v>
      </c>
      <c r="B9866" s="9">
        <v>0</v>
      </c>
    </row>
    <row r="9867" spans="1:2" x14ac:dyDescent="0.25">
      <c r="A9867" t="s">
        <v>10297</v>
      </c>
      <c r="B9867" s="9">
        <v>0</v>
      </c>
    </row>
    <row r="9868" spans="1:2" x14ac:dyDescent="0.25">
      <c r="A9868" t="s">
        <v>10298</v>
      </c>
      <c r="B9868" s="9">
        <v>0</v>
      </c>
    </row>
    <row r="9869" spans="1:2" x14ac:dyDescent="0.25">
      <c r="A9869" t="s">
        <v>10299</v>
      </c>
      <c r="B9869" s="9">
        <v>0</v>
      </c>
    </row>
    <row r="9870" spans="1:2" x14ac:dyDescent="0.25">
      <c r="A9870" t="s">
        <v>10300</v>
      </c>
      <c r="B9870" s="9">
        <v>0</v>
      </c>
    </row>
    <row r="9871" spans="1:2" x14ac:dyDescent="0.25">
      <c r="A9871" t="s">
        <v>10301</v>
      </c>
      <c r="B9871" s="9">
        <v>0</v>
      </c>
    </row>
    <row r="9872" spans="1:2" x14ac:dyDescent="0.25">
      <c r="A9872" t="s">
        <v>10302</v>
      </c>
      <c r="B9872" s="9">
        <v>0</v>
      </c>
    </row>
    <row r="9873" spans="1:3" x14ac:dyDescent="0.25">
      <c r="A9873" t="s">
        <v>10303</v>
      </c>
      <c r="B9873" s="9">
        <v>0</v>
      </c>
    </row>
    <row r="9874" spans="1:3" x14ac:dyDescent="0.25">
      <c r="A9874" t="s">
        <v>10304</v>
      </c>
      <c r="B9874" s="9">
        <v>0</v>
      </c>
    </row>
    <row r="9875" spans="1:3" x14ac:dyDescent="0.25">
      <c r="A9875" t="s">
        <v>10305</v>
      </c>
      <c r="B9875" s="9">
        <v>0</v>
      </c>
    </row>
    <row r="9876" spans="1:3" x14ac:dyDescent="0.25">
      <c r="A9876" t="s">
        <v>10306</v>
      </c>
      <c r="B9876" s="9">
        <v>0</v>
      </c>
    </row>
    <row r="9877" spans="1:3" x14ac:dyDescent="0.25">
      <c r="A9877" t="s">
        <v>10307</v>
      </c>
      <c r="B9877" s="9">
        <v>0</v>
      </c>
    </row>
    <row r="9878" spans="1:3" x14ac:dyDescent="0.25">
      <c r="A9878" t="s">
        <v>10308</v>
      </c>
      <c r="B9878" s="9">
        <v>0</v>
      </c>
    </row>
    <row r="9879" spans="1:3" x14ac:dyDescent="0.25">
      <c r="A9879" t="s">
        <v>10309</v>
      </c>
      <c r="B9879" s="9">
        <v>0</v>
      </c>
    </row>
    <row r="9880" spans="1:3" x14ac:dyDescent="0.25">
      <c r="A9880" t="s">
        <v>10310</v>
      </c>
      <c r="B9880" s="9">
        <v>0</v>
      </c>
    </row>
    <row r="9881" spans="1:3" x14ac:dyDescent="0.25">
      <c r="A9881" t="s">
        <v>180</v>
      </c>
      <c r="B9881" s="9">
        <v>0</v>
      </c>
      <c r="C9881" t="s">
        <v>180</v>
      </c>
    </row>
    <row r="9882" spans="1:3" x14ac:dyDescent="0.25">
      <c r="A9882" t="s">
        <v>10311</v>
      </c>
      <c r="B9882" s="9">
        <v>0</v>
      </c>
    </row>
    <row r="9883" spans="1:3" x14ac:dyDescent="0.25">
      <c r="A9883" t="s">
        <v>10312</v>
      </c>
      <c r="B9883" s="9">
        <v>0</v>
      </c>
    </row>
    <row r="9884" spans="1:3" x14ac:dyDescent="0.25">
      <c r="A9884" t="s">
        <v>10313</v>
      </c>
      <c r="B9884" s="9">
        <v>0.05</v>
      </c>
    </row>
    <row r="9885" spans="1:3" x14ac:dyDescent="0.25">
      <c r="A9885" t="s">
        <v>10314</v>
      </c>
      <c r="B9885" s="9">
        <v>0</v>
      </c>
    </row>
    <row r="9886" spans="1:3" x14ac:dyDescent="0.25">
      <c r="A9886" t="s">
        <v>10315</v>
      </c>
      <c r="B9886" s="9">
        <v>0.05</v>
      </c>
    </row>
    <row r="9887" spans="1:3" x14ac:dyDescent="0.25">
      <c r="A9887" t="s">
        <v>10316</v>
      </c>
      <c r="B9887" s="9">
        <v>0</v>
      </c>
    </row>
    <row r="9888" spans="1:3" x14ac:dyDescent="0.25">
      <c r="A9888" t="s">
        <v>10317</v>
      </c>
      <c r="B9888" s="9">
        <v>0.05</v>
      </c>
    </row>
    <row r="9889" spans="1:2" x14ac:dyDescent="0.25">
      <c r="A9889" t="s">
        <v>10318</v>
      </c>
      <c r="B9889" s="9">
        <v>0</v>
      </c>
    </row>
    <row r="9890" spans="1:2" x14ac:dyDescent="0.25">
      <c r="A9890" t="s">
        <v>10319</v>
      </c>
      <c r="B9890" s="9">
        <v>0</v>
      </c>
    </row>
    <row r="9891" spans="1:2" x14ac:dyDescent="0.25">
      <c r="A9891" t="s">
        <v>10320</v>
      </c>
      <c r="B9891" s="9">
        <v>0.05</v>
      </c>
    </row>
    <row r="9892" spans="1:2" x14ac:dyDescent="0.25">
      <c r="A9892" t="s">
        <v>10321</v>
      </c>
      <c r="B9892" s="9">
        <v>0</v>
      </c>
    </row>
    <row r="9893" spans="1:2" x14ac:dyDescent="0.25">
      <c r="A9893" t="s">
        <v>10322</v>
      </c>
      <c r="B9893" s="9">
        <v>0</v>
      </c>
    </row>
    <row r="9894" spans="1:2" x14ac:dyDescent="0.25">
      <c r="A9894" t="s">
        <v>10323</v>
      </c>
      <c r="B9894" s="9">
        <v>0.05</v>
      </c>
    </row>
    <row r="9895" spans="1:2" x14ac:dyDescent="0.25">
      <c r="A9895" t="s">
        <v>10324</v>
      </c>
      <c r="B9895" s="9">
        <v>0</v>
      </c>
    </row>
    <row r="9896" spans="1:2" x14ac:dyDescent="0.25">
      <c r="A9896" t="s">
        <v>10325</v>
      </c>
      <c r="B9896" s="9">
        <v>0.25</v>
      </c>
    </row>
    <row r="9897" spans="1:2" x14ac:dyDescent="0.25">
      <c r="A9897" t="s">
        <v>10326</v>
      </c>
      <c r="B9897" s="9">
        <v>0.1</v>
      </c>
    </row>
    <row r="9898" spans="1:2" x14ac:dyDescent="0.25">
      <c r="A9898" t="s">
        <v>10327</v>
      </c>
      <c r="B9898" s="9">
        <v>0</v>
      </c>
    </row>
    <row r="9899" spans="1:2" x14ac:dyDescent="0.25">
      <c r="A9899" t="s">
        <v>10328</v>
      </c>
      <c r="B9899" s="9">
        <v>0.25</v>
      </c>
    </row>
    <row r="9900" spans="1:2" x14ac:dyDescent="0.25">
      <c r="A9900" t="s">
        <v>10329</v>
      </c>
      <c r="B9900" s="9">
        <v>0.1</v>
      </c>
    </row>
    <row r="9901" spans="1:2" x14ac:dyDescent="0.25">
      <c r="A9901" t="s">
        <v>10330</v>
      </c>
      <c r="B9901" s="9">
        <v>0</v>
      </c>
    </row>
    <row r="9902" spans="1:2" x14ac:dyDescent="0.25">
      <c r="A9902" t="s">
        <v>10331</v>
      </c>
      <c r="B9902" s="9">
        <v>0.25</v>
      </c>
    </row>
    <row r="9903" spans="1:2" x14ac:dyDescent="0.25">
      <c r="A9903" t="s">
        <v>10332</v>
      </c>
      <c r="B9903" s="9">
        <v>0.1</v>
      </c>
    </row>
    <row r="9904" spans="1:2" x14ac:dyDescent="0.25">
      <c r="A9904" t="s">
        <v>10333</v>
      </c>
      <c r="B9904" s="9">
        <v>0</v>
      </c>
    </row>
    <row r="9905" spans="1:2" x14ac:dyDescent="0.25">
      <c r="A9905" t="s">
        <v>10334</v>
      </c>
      <c r="B9905" s="9">
        <v>0</v>
      </c>
    </row>
    <row r="9906" spans="1:2" x14ac:dyDescent="0.25">
      <c r="A9906" t="s">
        <v>10335</v>
      </c>
      <c r="B9906" s="9">
        <v>0.25</v>
      </c>
    </row>
    <row r="9907" spans="1:2" x14ac:dyDescent="0.25">
      <c r="A9907" t="s">
        <v>10336</v>
      </c>
      <c r="B9907" s="9">
        <v>0.1</v>
      </c>
    </row>
    <row r="9908" spans="1:2" x14ac:dyDescent="0.25">
      <c r="A9908" t="s">
        <v>10337</v>
      </c>
      <c r="B9908" s="9">
        <v>0</v>
      </c>
    </row>
    <row r="9909" spans="1:2" x14ac:dyDescent="0.25">
      <c r="A9909" t="s">
        <v>10338</v>
      </c>
      <c r="B9909" s="9">
        <v>0.25</v>
      </c>
    </row>
    <row r="9910" spans="1:2" x14ac:dyDescent="0.25">
      <c r="A9910" t="s">
        <v>10339</v>
      </c>
      <c r="B9910" s="9">
        <v>0.1</v>
      </c>
    </row>
    <row r="9911" spans="1:2" x14ac:dyDescent="0.25">
      <c r="A9911" t="s">
        <v>10340</v>
      </c>
      <c r="B9911" s="9">
        <v>0</v>
      </c>
    </row>
    <row r="9912" spans="1:2" x14ac:dyDescent="0.25">
      <c r="A9912" t="s">
        <v>10341</v>
      </c>
      <c r="B9912" s="9">
        <v>0.45</v>
      </c>
    </row>
    <row r="9913" spans="1:2" x14ac:dyDescent="0.25">
      <c r="A9913" t="s">
        <v>10342</v>
      </c>
      <c r="B9913" s="9">
        <v>7.0000000000000007E-2</v>
      </c>
    </row>
    <row r="9914" spans="1:2" x14ac:dyDescent="0.25">
      <c r="A9914" t="s">
        <v>10343</v>
      </c>
      <c r="B9914" s="9">
        <v>0.13</v>
      </c>
    </row>
    <row r="9915" spans="1:2" x14ac:dyDescent="0.25">
      <c r="A9915" t="s">
        <v>10344</v>
      </c>
      <c r="B9915" s="9">
        <v>0.13</v>
      </c>
    </row>
    <row r="9916" spans="1:2" x14ac:dyDescent="0.25">
      <c r="A9916" t="s">
        <v>10345</v>
      </c>
      <c r="B9916" s="9">
        <v>0.25</v>
      </c>
    </row>
    <row r="9917" spans="1:2" x14ac:dyDescent="0.25">
      <c r="A9917" t="s">
        <v>10346</v>
      </c>
      <c r="B9917" s="9">
        <v>0.13</v>
      </c>
    </row>
    <row r="9918" spans="1:2" x14ac:dyDescent="0.25">
      <c r="A9918" t="s">
        <v>10346</v>
      </c>
      <c r="B9918" s="9">
        <v>0.11</v>
      </c>
    </row>
    <row r="9919" spans="1:2" x14ac:dyDescent="0.25">
      <c r="A9919" t="s">
        <v>10347</v>
      </c>
      <c r="B9919" s="9">
        <v>0.25</v>
      </c>
    </row>
    <row r="9920" spans="1:2" x14ac:dyDescent="0.25">
      <c r="A9920" t="s">
        <v>10348</v>
      </c>
      <c r="B9920" s="9">
        <v>0.13</v>
      </c>
    </row>
    <row r="9921" spans="1:2" x14ac:dyDescent="0.25">
      <c r="A9921" t="s">
        <v>10348</v>
      </c>
      <c r="B9921" s="9">
        <v>0.11</v>
      </c>
    </row>
    <row r="9922" spans="1:2" x14ac:dyDescent="0.25">
      <c r="A9922" t="s">
        <v>10349</v>
      </c>
      <c r="B9922" s="9">
        <v>0.25</v>
      </c>
    </row>
    <row r="9923" spans="1:2" x14ac:dyDescent="0.25">
      <c r="A9923" t="s">
        <v>10350</v>
      </c>
      <c r="B9923" s="9">
        <v>0.25</v>
      </c>
    </row>
    <row r="9924" spans="1:2" x14ac:dyDescent="0.25">
      <c r="A9924" t="s">
        <v>10351</v>
      </c>
      <c r="B9924" s="9">
        <v>0.25</v>
      </c>
    </row>
    <row r="9925" spans="1:2" x14ac:dyDescent="0.25">
      <c r="A9925" t="s">
        <v>10352</v>
      </c>
      <c r="B9925" s="9">
        <v>0.25</v>
      </c>
    </row>
    <row r="9926" spans="1:2" x14ac:dyDescent="0.25">
      <c r="A9926" t="s">
        <v>10353</v>
      </c>
      <c r="B9926" s="9">
        <v>0.25</v>
      </c>
    </row>
    <row r="9927" spans="1:2" x14ac:dyDescent="0.25">
      <c r="A9927" t="s">
        <v>10354</v>
      </c>
      <c r="B9927" s="9">
        <v>0.25</v>
      </c>
    </row>
    <row r="9928" spans="1:2" x14ac:dyDescent="0.25">
      <c r="A9928" t="s">
        <v>10355</v>
      </c>
      <c r="B9928" s="9">
        <v>0.25</v>
      </c>
    </row>
    <row r="9929" spans="1:2" x14ac:dyDescent="0.25">
      <c r="A9929" t="s">
        <v>10356</v>
      </c>
      <c r="B9929" s="9">
        <v>0.25</v>
      </c>
    </row>
    <row r="9930" spans="1:2" x14ac:dyDescent="0.25">
      <c r="A9930" t="s">
        <v>10357</v>
      </c>
      <c r="B9930" s="9">
        <v>0.25</v>
      </c>
    </row>
    <row r="9931" spans="1:2" x14ac:dyDescent="0.25">
      <c r="A9931" t="s">
        <v>10357</v>
      </c>
      <c r="B9931" s="9">
        <v>0.09</v>
      </c>
    </row>
    <row r="9932" spans="1:2" x14ac:dyDescent="0.25">
      <c r="A9932" t="s">
        <v>10357</v>
      </c>
      <c r="B9932" s="9">
        <v>0.1</v>
      </c>
    </row>
    <row r="9933" spans="1:2" x14ac:dyDescent="0.25">
      <c r="A9933" t="s">
        <v>10357</v>
      </c>
      <c r="B9933" s="9">
        <v>0.11</v>
      </c>
    </row>
    <row r="9934" spans="1:2" x14ac:dyDescent="0.25">
      <c r="A9934" t="s">
        <v>10357</v>
      </c>
      <c r="B9934" s="9">
        <v>0.12</v>
      </c>
    </row>
    <row r="9935" spans="1:2" x14ac:dyDescent="0.25">
      <c r="A9935" t="s">
        <v>10357</v>
      </c>
      <c r="B9935" s="9">
        <v>0.13</v>
      </c>
    </row>
    <row r="9936" spans="1:2" x14ac:dyDescent="0.25">
      <c r="A9936" t="s">
        <v>10357</v>
      </c>
      <c r="B9936" s="9">
        <v>0.15</v>
      </c>
    </row>
    <row r="9937" spans="1:2" x14ac:dyDescent="0.25">
      <c r="A9937" t="s">
        <v>10357</v>
      </c>
      <c r="B9937" s="9">
        <v>0.17</v>
      </c>
    </row>
    <row r="9938" spans="1:2" x14ac:dyDescent="0.25">
      <c r="A9938" t="s">
        <v>10357</v>
      </c>
      <c r="B9938" s="9">
        <v>0.19</v>
      </c>
    </row>
    <row r="9939" spans="1:2" x14ac:dyDescent="0.25">
      <c r="A9939" t="s">
        <v>10357</v>
      </c>
      <c r="B9939" s="9">
        <v>0.2</v>
      </c>
    </row>
    <row r="9940" spans="1:2" x14ac:dyDescent="0.25">
      <c r="A9940" t="s">
        <v>10358</v>
      </c>
      <c r="B9940" s="9">
        <v>0.25</v>
      </c>
    </row>
    <row r="9941" spans="1:2" x14ac:dyDescent="0.25">
      <c r="A9941" t="s">
        <v>10359</v>
      </c>
      <c r="B9941" s="9">
        <v>0.25</v>
      </c>
    </row>
    <row r="9942" spans="1:2" x14ac:dyDescent="0.25">
      <c r="A9942" t="s">
        <v>10359</v>
      </c>
      <c r="B9942" s="9">
        <v>0.09</v>
      </c>
    </row>
    <row r="9943" spans="1:2" x14ac:dyDescent="0.25">
      <c r="A9943" t="s">
        <v>10359</v>
      </c>
      <c r="B9943" s="9">
        <v>0.1</v>
      </c>
    </row>
    <row r="9944" spans="1:2" x14ac:dyDescent="0.25">
      <c r="A9944" t="s">
        <v>10359</v>
      </c>
      <c r="B9944" s="9">
        <v>0.11</v>
      </c>
    </row>
    <row r="9945" spans="1:2" x14ac:dyDescent="0.25">
      <c r="A9945" t="s">
        <v>10359</v>
      </c>
      <c r="B9945" s="9">
        <v>0.12</v>
      </c>
    </row>
    <row r="9946" spans="1:2" x14ac:dyDescent="0.25">
      <c r="A9946" t="s">
        <v>10359</v>
      </c>
      <c r="B9946" s="9">
        <v>0.13</v>
      </c>
    </row>
    <row r="9947" spans="1:2" x14ac:dyDescent="0.25">
      <c r="A9947" t="s">
        <v>10359</v>
      </c>
      <c r="B9947" s="9">
        <v>0.15</v>
      </c>
    </row>
    <row r="9948" spans="1:2" x14ac:dyDescent="0.25">
      <c r="A9948" t="s">
        <v>10359</v>
      </c>
      <c r="B9948" s="9">
        <v>0.17</v>
      </c>
    </row>
    <row r="9949" spans="1:2" x14ac:dyDescent="0.25">
      <c r="A9949" t="s">
        <v>10359</v>
      </c>
      <c r="B9949" s="9">
        <v>0.19</v>
      </c>
    </row>
    <row r="9950" spans="1:2" x14ac:dyDescent="0.25">
      <c r="A9950" t="s">
        <v>10359</v>
      </c>
      <c r="B9950" s="9">
        <v>0.2</v>
      </c>
    </row>
    <row r="9951" spans="1:2" x14ac:dyDescent="0.25">
      <c r="A9951" t="s">
        <v>10360</v>
      </c>
      <c r="B9951" s="9">
        <v>0.25</v>
      </c>
    </row>
    <row r="9952" spans="1:2" x14ac:dyDescent="0.25">
      <c r="A9952" t="s">
        <v>10361</v>
      </c>
      <c r="B9952" s="9">
        <v>0.25</v>
      </c>
    </row>
    <row r="9953" spans="1:2" x14ac:dyDescent="0.25">
      <c r="A9953" t="s">
        <v>10361</v>
      </c>
      <c r="B9953" s="9">
        <v>7.0000000000000007E-2</v>
      </c>
    </row>
    <row r="9954" spans="1:2" x14ac:dyDescent="0.25">
      <c r="A9954" t="s">
        <v>10361</v>
      </c>
      <c r="B9954" s="9">
        <v>0.08</v>
      </c>
    </row>
    <row r="9955" spans="1:2" x14ac:dyDescent="0.25">
      <c r="A9955" t="s">
        <v>10361</v>
      </c>
      <c r="B9955" s="9">
        <v>0.09</v>
      </c>
    </row>
    <row r="9956" spans="1:2" x14ac:dyDescent="0.25">
      <c r="A9956" t="s">
        <v>10361</v>
      </c>
      <c r="B9956" s="9">
        <v>0.1</v>
      </c>
    </row>
    <row r="9957" spans="1:2" x14ac:dyDescent="0.25">
      <c r="A9957" t="s">
        <v>10361</v>
      </c>
      <c r="B9957" s="9">
        <v>0.12</v>
      </c>
    </row>
    <row r="9958" spans="1:2" x14ac:dyDescent="0.25">
      <c r="A9958" t="s">
        <v>10361</v>
      </c>
      <c r="B9958" s="9">
        <v>0.14000000000000001</v>
      </c>
    </row>
    <row r="9959" spans="1:2" x14ac:dyDescent="0.25">
      <c r="A9959" t="s">
        <v>10361</v>
      </c>
      <c r="B9959" s="9">
        <v>0.14000000000000001</v>
      </c>
    </row>
    <row r="9960" spans="1:2" x14ac:dyDescent="0.25">
      <c r="A9960" t="s">
        <v>10361</v>
      </c>
      <c r="B9960" s="9">
        <v>0.16</v>
      </c>
    </row>
    <row r="9961" spans="1:2" x14ac:dyDescent="0.25">
      <c r="A9961" t="s">
        <v>10361</v>
      </c>
      <c r="B9961" s="9">
        <v>0.18</v>
      </c>
    </row>
    <row r="9962" spans="1:2" x14ac:dyDescent="0.25">
      <c r="A9962" t="s">
        <v>10362</v>
      </c>
      <c r="B9962" s="9">
        <v>0.25</v>
      </c>
    </row>
    <row r="9963" spans="1:2" x14ac:dyDescent="0.25">
      <c r="A9963" t="s">
        <v>10363</v>
      </c>
      <c r="B9963" s="9">
        <v>0</v>
      </c>
    </row>
    <row r="9964" spans="1:2" x14ac:dyDescent="0.25">
      <c r="A9964" t="s">
        <v>10364</v>
      </c>
      <c r="B9964" s="9">
        <v>0</v>
      </c>
    </row>
    <row r="9965" spans="1:2" x14ac:dyDescent="0.25">
      <c r="A9965" t="s">
        <v>10365</v>
      </c>
      <c r="B9965" s="9">
        <v>0</v>
      </c>
    </row>
    <row r="9966" spans="1:2" x14ac:dyDescent="0.25">
      <c r="A9966" t="s">
        <v>10366</v>
      </c>
      <c r="B9966" s="9">
        <v>0.08</v>
      </c>
    </row>
    <row r="9967" spans="1:2" x14ac:dyDescent="0.25">
      <c r="A9967" t="s">
        <v>10367</v>
      </c>
      <c r="B9967" s="9">
        <v>0</v>
      </c>
    </row>
    <row r="9968" spans="1:2" x14ac:dyDescent="0.25">
      <c r="A9968" t="s">
        <v>10368</v>
      </c>
      <c r="B9968" s="9">
        <v>0.04</v>
      </c>
    </row>
    <row r="9969" spans="1:2" x14ac:dyDescent="0.25">
      <c r="A9969" t="s">
        <v>10369</v>
      </c>
      <c r="B9969" s="9">
        <v>0</v>
      </c>
    </row>
    <row r="9970" spans="1:2" x14ac:dyDescent="0.25">
      <c r="A9970" t="s">
        <v>10370</v>
      </c>
      <c r="B9970" s="9">
        <v>0.04</v>
      </c>
    </row>
    <row r="9971" spans="1:2" x14ac:dyDescent="0.25">
      <c r="A9971" t="s">
        <v>10371</v>
      </c>
      <c r="B9971" s="9">
        <v>0</v>
      </c>
    </row>
    <row r="9972" spans="1:2" x14ac:dyDescent="0.25">
      <c r="A9972" t="s">
        <v>10372</v>
      </c>
      <c r="B9972" s="9">
        <v>0.08</v>
      </c>
    </row>
    <row r="9973" spans="1:2" x14ac:dyDescent="0.25">
      <c r="A9973" t="s">
        <v>10373</v>
      </c>
      <c r="B9973" s="9">
        <v>0.1</v>
      </c>
    </row>
    <row r="9974" spans="1:2" x14ac:dyDescent="0.25">
      <c r="A9974" t="s">
        <v>10374</v>
      </c>
      <c r="B9974" s="9">
        <v>0</v>
      </c>
    </row>
    <row r="9975" spans="1:2" x14ac:dyDescent="0.25">
      <c r="A9975" t="s">
        <v>10375</v>
      </c>
      <c r="B9975" s="9">
        <v>0</v>
      </c>
    </row>
    <row r="9976" spans="1:2" x14ac:dyDescent="0.25">
      <c r="A9976" t="s">
        <v>10376</v>
      </c>
      <c r="B9976" s="9">
        <v>0</v>
      </c>
    </row>
    <row r="9977" spans="1:2" x14ac:dyDescent="0.25">
      <c r="A9977" t="s">
        <v>10377</v>
      </c>
      <c r="B9977" s="9">
        <v>0</v>
      </c>
    </row>
    <row r="9978" spans="1:2" x14ac:dyDescent="0.25">
      <c r="A9978" t="s">
        <v>10378</v>
      </c>
      <c r="B9978" s="9">
        <v>0</v>
      </c>
    </row>
    <row r="9979" spans="1:2" x14ac:dyDescent="0.25">
      <c r="A9979" t="s">
        <v>10379</v>
      </c>
      <c r="B9979" s="9">
        <v>0</v>
      </c>
    </row>
    <row r="9980" spans="1:2" x14ac:dyDescent="0.25">
      <c r="A9980" t="s">
        <v>10380</v>
      </c>
      <c r="B9980" s="9">
        <v>0</v>
      </c>
    </row>
    <row r="9981" spans="1:2" x14ac:dyDescent="0.25">
      <c r="A9981" t="s">
        <v>10381</v>
      </c>
      <c r="B9981" s="9">
        <v>0.05</v>
      </c>
    </row>
    <row r="9982" spans="1:2" x14ac:dyDescent="0.25">
      <c r="A9982" t="s">
        <v>10382</v>
      </c>
      <c r="B9982" s="9">
        <v>0</v>
      </c>
    </row>
    <row r="9983" spans="1:2" x14ac:dyDescent="0.25">
      <c r="A9983" t="s">
        <v>10383</v>
      </c>
      <c r="B9983" s="9">
        <v>0.05</v>
      </c>
    </row>
    <row r="9984" spans="1:2" x14ac:dyDescent="0.25">
      <c r="A9984" t="s">
        <v>10384</v>
      </c>
      <c r="B9984" s="9">
        <v>0.1</v>
      </c>
    </row>
    <row r="9985" spans="1:2" x14ac:dyDescent="0.25">
      <c r="A9985" t="s">
        <v>10385</v>
      </c>
      <c r="B9985" s="9">
        <v>0</v>
      </c>
    </row>
    <row r="9986" spans="1:2" x14ac:dyDescent="0.25">
      <c r="A9986" t="s">
        <v>10386</v>
      </c>
      <c r="B9986" s="9">
        <v>0.04</v>
      </c>
    </row>
    <row r="9987" spans="1:2" x14ac:dyDescent="0.25">
      <c r="A9987" t="s">
        <v>10387</v>
      </c>
      <c r="B9987" s="9">
        <v>0</v>
      </c>
    </row>
    <row r="9988" spans="1:2" x14ac:dyDescent="0.25">
      <c r="A9988" t="s">
        <v>10388</v>
      </c>
      <c r="B9988" s="9">
        <v>0.04</v>
      </c>
    </row>
    <row r="9989" spans="1:2" x14ac:dyDescent="0.25">
      <c r="A9989" t="s">
        <v>10389</v>
      </c>
      <c r="B9989" s="9">
        <v>0</v>
      </c>
    </row>
    <row r="9990" spans="1:2" x14ac:dyDescent="0.25">
      <c r="A9990" t="s">
        <v>10390</v>
      </c>
      <c r="B9990" s="9">
        <v>0.08</v>
      </c>
    </row>
    <row r="9991" spans="1:2" x14ac:dyDescent="0.25">
      <c r="A9991" t="s">
        <v>10391</v>
      </c>
      <c r="B9991" s="9">
        <v>0</v>
      </c>
    </row>
    <row r="9992" spans="1:2" x14ac:dyDescent="0.25">
      <c r="A9992" t="s">
        <v>10392</v>
      </c>
      <c r="B9992" s="9">
        <v>0</v>
      </c>
    </row>
    <row r="9993" spans="1:2" x14ac:dyDescent="0.25">
      <c r="A9993" t="s">
        <v>10393</v>
      </c>
      <c r="B9993" s="9">
        <v>0</v>
      </c>
    </row>
    <row r="9994" spans="1:2" x14ac:dyDescent="0.25">
      <c r="A9994" t="s">
        <v>10394</v>
      </c>
      <c r="B9994" s="9">
        <v>0</v>
      </c>
    </row>
    <row r="9995" spans="1:2" x14ac:dyDescent="0.25">
      <c r="A9995" t="s">
        <v>10395</v>
      </c>
      <c r="B9995" s="9">
        <v>0</v>
      </c>
    </row>
    <row r="9996" spans="1:2" x14ac:dyDescent="0.25">
      <c r="A9996" t="s">
        <v>10396</v>
      </c>
      <c r="B9996" s="9">
        <v>0</v>
      </c>
    </row>
    <row r="9997" spans="1:2" x14ac:dyDescent="0.25">
      <c r="A9997" t="s">
        <v>10397</v>
      </c>
      <c r="B9997" s="9">
        <v>0</v>
      </c>
    </row>
    <row r="9998" spans="1:2" x14ac:dyDescent="0.25">
      <c r="A9998" t="s">
        <v>10398</v>
      </c>
      <c r="B9998" s="9">
        <v>0</v>
      </c>
    </row>
    <row r="9999" spans="1:2" x14ac:dyDescent="0.25">
      <c r="A9999" t="s">
        <v>10399</v>
      </c>
      <c r="B9999" s="9">
        <v>0</v>
      </c>
    </row>
    <row r="10000" spans="1:2" x14ac:dyDescent="0.25">
      <c r="A10000" t="s">
        <v>10400</v>
      </c>
      <c r="B10000" s="9">
        <v>0</v>
      </c>
    </row>
    <row r="10001" spans="1:3" x14ac:dyDescent="0.25">
      <c r="A10001" t="s">
        <v>10401</v>
      </c>
      <c r="B10001" s="9">
        <v>0</v>
      </c>
    </row>
    <row r="10002" spans="1:3" x14ac:dyDescent="0.25">
      <c r="A10002" t="s">
        <v>10402</v>
      </c>
      <c r="B10002" s="9">
        <v>0.05</v>
      </c>
    </row>
    <row r="10003" spans="1:3" x14ac:dyDescent="0.25">
      <c r="A10003" t="s">
        <v>10403</v>
      </c>
      <c r="B10003" s="9">
        <v>0.05</v>
      </c>
    </row>
    <row r="10004" spans="1:3" x14ac:dyDescent="0.25">
      <c r="A10004" t="s">
        <v>10404</v>
      </c>
      <c r="B10004" s="9">
        <v>0.25</v>
      </c>
    </row>
    <row r="10005" spans="1:3" x14ac:dyDescent="0.25">
      <c r="A10005" t="s">
        <v>10405</v>
      </c>
      <c r="B10005" s="9">
        <v>0</v>
      </c>
    </row>
    <row r="10006" spans="1:3" x14ac:dyDescent="0.25">
      <c r="A10006" t="s">
        <v>10406</v>
      </c>
      <c r="B10006" s="9">
        <v>0.05</v>
      </c>
    </row>
    <row r="10007" spans="1:3" x14ac:dyDescent="0.25">
      <c r="A10007" t="s">
        <v>10407</v>
      </c>
      <c r="B10007" s="9">
        <v>0.1</v>
      </c>
    </row>
    <row r="10008" spans="1:3" x14ac:dyDescent="0.25">
      <c r="A10008" t="s">
        <v>10408</v>
      </c>
      <c r="B10008" s="9">
        <v>0</v>
      </c>
    </row>
    <row r="10009" spans="1:3" x14ac:dyDescent="0.25">
      <c r="A10009" t="s">
        <v>181</v>
      </c>
      <c r="B10009" s="9">
        <v>0.1</v>
      </c>
      <c r="C10009" t="s">
        <v>181</v>
      </c>
    </row>
    <row r="10010" spans="1:3" x14ac:dyDescent="0.25">
      <c r="A10010" t="s">
        <v>182</v>
      </c>
      <c r="B10010" s="9">
        <v>0.05</v>
      </c>
      <c r="C10010" t="s">
        <v>182</v>
      </c>
    </row>
    <row r="10011" spans="1:3" x14ac:dyDescent="0.25">
      <c r="A10011" t="s">
        <v>183</v>
      </c>
      <c r="B10011" s="9">
        <v>0.05</v>
      </c>
      <c r="C10011" t="s">
        <v>183</v>
      </c>
    </row>
    <row r="10012" spans="1:3" x14ac:dyDescent="0.25">
      <c r="A10012" t="s">
        <v>10409</v>
      </c>
      <c r="B10012" s="9">
        <v>0</v>
      </c>
    </row>
    <row r="10013" spans="1:3" x14ac:dyDescent="0.25">
      <c r="A10013" t="s">
        <v>184</v>
      </c>
      <c r="B10013" s="9">
        <v>0.05</v>
      </c>
      <c r="C10013" t="s">
        <v>184</v>
      </c>
    </row>
    <row r="10014" spans="1:3" x14ac:dyDescent="0.25">
      <c r="A10014" t="s">
        <v>185</v>
      </c>
      <c r="B10014" s="9">
        <v>0.05</v>
      </c>
      <c r="C10014" t="s">
        <v>185</v>
      </c>
    </row>
    <row r="10015" spans="1:3" x14ac:dyDescent="0.25">
      <c r="A10015" t="s">
        <v>186</v>
      </c>
      <c r="B10015" s="9">
        <v>0.05</v>
      </c>
      <c r="C10015" t="s">
        <v>186</v>
      </c>
    </row>
    <row r="10016" spans="1:3" x14ac:dyDescent="0.25">
      <c r="A10016" t="s">
        <v>187</v>
      </c>
      <c r="B10016" s="9">
        <v>0.05</v>
      </c>
      <c r="C10016" t="s">
        <v>187</v>
      </c>
    </row>
    <row r="10017" spans="1:3" x14ac:dyDescent="0.25">
      <c r="A10017" t="s">
        <v>188</v>
      </c>
      <c r="B10017" s="9">
        <v>0.05</v>
      </c>
      <c r="C10017" t="s">
        <v>188</v>
      </c>
    </row>
    <row r="10018" spans="1:3" x14ac:dyDescent="0.25">
      <c r="A10018" t="s">
        <v>189</v>
      </c>
      <c r="B10018" s="9">
        <v>0.05</v>
      </c>
      <c r="C10018" t="s">
        <v>189</v>
      </c>
    </row>
    <row r="10019" spans="1:3" x14ac:dyDescent="0.25">
      <c r="A10019" t="s">
        <v>190</v>
      </c>
      <c r="B10019" s="9">
        <v>0.05</v>
      </c>
      <c r="C10019" t="s">
        <v>190</v>
      </c>
    </row>
    <row r="10020" spans="1:3" x14ac:dyDescent="0.25">
      <c r="A10020" t="s">
        <v>191</v>
      </c>
      <c r="B10020" s="9">
        <v>0.05</v>
      </c>
      <c r="C10020" t="s">
        <v>191</v>
      </c>
    </row>
    <row r="10021" spans="1:3" x14ac:dyDescent="0.25">
      <c r="A10021" t="s">
        <v>192</v>
      </c>
      <c r="B10021" s="9">
        <v>0.05</v>
      </c>
      <c r="C10021" t="s">
        <v>192</v>
      </c>
    </row>
    <row r="10022" spans="1:3" x14ac:dyDescent="0.25">
      <c r="A10022" t="s">
        <v>193</v>
      </c>
      <c r="B10022" s="9">
        <v>0.05</v>
      </c>
      <c r="C10022" t="s">
        <v>193</v>
      </c>
    </row>
    <row r="10023" spans="1:3" x14ac:dyDescent="0.25">
      <c r="A10023" t="s">
        <v>194</v>
      </c>
      <c r="B10023" s="9">
        <v>0.05</v>
      </c>
      <c r="C10023" t="s">
        <v>194</v>
      </c>
    </row>
    <row r="10024" spans="1:3" x14ac:dyDescent="0.25">
      <c r="A10024" t="s">
        <v>195</v>
      </c>
      <c r="B10024" s="9">
        <v>0.05</v>
      </c>
      <c r="C10024" t="s">
        <v>195</v>
      </c>
    </row>
    <row r="10025" spans="1:3" x14ac:dyDescent="0.25">
      <c r="A10025" t="s">
        <v>196</v>
      </c>
      <c r="B10025" s="9">
        <v>0.05</v>
      </c>
      <c r="C10025" t="s">
        <v>196</v>
      </c>
    </row>
    <row r="10026" spans="1:3" x14ac:dyDescent="0.25">
      <c r="A10026" t="s">
        <v>197</v>
      </c>
      <c r="B10026" s="9">
        <v>0.05</v>
      </c>
      <c r="C10026" t="s">
        <v>197</v>
      </c>
    </row>
    <row r="10027" spans="1:3" x14ac:dyDescent="0.25">
      <c r="A10027" t="s">
        <v>198</v>
      </c>
      <c r="B10027" s="9">
        <v>0.05</v>
      </c>
      <c r="C10027" t="s">
        <v>198</v>
      </c>
    </row>
    <row r="10028" spans="1:3" x14ac:dyDescent="0.25">
      <c r="A10028" t="s">
        <v>199</v>
      </c>
      <c r="B10028" s="9">
        <v>0.05</v>
      </c>
      <c r="C10028" t="s">
        <v>199</v>
      </c>
    </row>
    <row r="10029" spans="1:3" x14ac:dyDescent="0.25">
      <c r="A10029" t="s">
        <v>200</v>
      </c>
      <c r="B10029" s="9">
        <v>0.05</v>
      </c>
      <c r="C10029" t="s">
        <v>200</v>
      </c>
    </row>
    <row r="10030" spans="1:3" x14ac:dyDescent="0.25">
      <c r="A10030" t="s">
        <v>201</v>
      </c>
      <c r="B10030" s="9">
        <v>0.05</v>
      </c>
      <c r="C10030" t="s">
        <v>201</v>
      </c>
    </row>
    <row r="10031" spans="1:3" x14ac:dyDescent="0.25">
      <c r="A10031" t="s">
        <v>202</v>
      </c>
      <c r="B10031" s="9">
        <v>0.05</v>
      </c>
      <c r="C10031" t="s">
        <v>202</v>
      </c>
    </row>
    <row r="10032" spans="1:3" x14ac:dyDescent="0.25">
      <c r="A10032" t="s">
        <v>203</v>
      </c>
      <c r="B10032" s="9">
        <v>0.05</v>
      </c>
      <c r="C10032" t="s">
        <v>203</v>
      </c>
    </row>
    <row r="10033" spans="1:3" x14ac:dyDescent="0.25">
      <c r="A10033" t="s">
        <v>204</v>
      </c>
      <c r="B10033" s="9">
        <v>0.05</v>
      </c>
      <c r="C10033" t="s">
        <v>204</v>
      </c>
    </row>
    <row r="10034" spans="1:3" x14ac:dyDescent="0.25">
      <c r="A10034" t="s">
        <v>205</v>
      </c>
      <c r="B10034" s="9">
        <v>0.05</v>
      </c>
      <c r="C10034" t="s">
        <v>205</v>
      </c>
    </row>
    <row r="10035" spans="1:3" x14ac:dyDescent="0.25">
      <c r="A10035" t="s">
        <v>206</v>
      </c>
      <c r="B10035" s="9">
        <v>0.05</v>
      </c>
      <c r="C10035" t="s">
        <v>206</v>
      </c>
    </row>
    <row r="10036" spans="1:3" x14ac:dyDescent="0.25">
      <c r="A10036" t="s">
        <v>207</v>
      </c>
      <c r="B10036" s="9">
        <v>0.05</v>
      </c>
      <c r="C10036" t="s">
        <v>207</v>
      </c>
    </row>
    <row r="10037" spans="1:3" x14ac:dyDescent="0.25">
      <c r="A10037" t="s">
        <v>208</v>
      </c>
      <c r="B10037" s="9">
        <v>0.05</v>
      </c>
      <c r="C10037" t="s">
        <v>208</v>
      </c>
    </row>
    <row r="10038" spans="1:3" x14ac:dyDescent="0.25">
      <c r="A10038" t="s">
        <v>209</v>
      </c>
      <c r="B10038" s="9">
        <v>0.05</v>
      </c>
      <c r="C10038" t="s">
        <v>209</v>
      </c>
    </row>
    <row r="10039" spans="1:3" x14ac:dyDescent="0.25">
      <c r="A10039" t="s">
        <v>210</v>
      </c>
      <c r="B10039" s="9">
        <v>0.05</v>
      </c>
      <c r="C10039" t="s">
        <v>210</v>
      </c>
    </row>
    <row r="10040" spans="1:3" x14ac:dyDescent="0.25">
      <c r="A10040" t="s">
        <v>211</v>
      </c>
      <c r="B10040" s="9">
        <v>0.05</v>
      </c>
      <c r="C10040" t="s">
        <v>211</v>
      </c>
    </row>
    <row r="10041" spans="1:3" x14ac:dyDescent="0.25">
      <c r="A10041" t="s">
        <v>212</v>
      </c>
      <c r="B10041" s="9">
        <v>0.05</v>
      </c>
      <c r="C10041" t="s">
        <v>212</v>
      </c>
    </row>
    <row r="10042" spans="1:3" x14ac:dyDescent="0.25">
      <c r="A10042" t="s">
        <v>10410</v>
      </c>
      <c r="B10042" s="9">
        <v>0.04</v>
      </c>
    </row>
    <row r="10043" spans="1:3" x14ac:dyDescent="0.25">
      <c r="A10043" t="s">
        <v>10411</v>
      </c>
      <c r="B10043" s="9">
        <v>0.16</v>
      </c>
    </row>
    <row r="10044" spans="1:3" x14ac:dyDescent="0.25">
      <c r="A10044" t="s">
        <v>213</v>
      </c>
      <c r="B10044" s="9">
        <v>0.05</v>
      </c>
      <c r="C10044" t="s">
        <v>213</v>
      </c>
    </row>
    <row r="10045" spans="1:3" x14ac:dyDescent="0.25">
      <c r="A10045" t="s">
        <v>214</v>
      </c>
      <c r="B10045" s="9">
        <v>0.16</v>
      </c>
      <c r="C10045" t="s">
        <v>214</v>
      </c>
    </row>
    <row r="10046" spans="1:3" x14ac:dyDescent="0.25">
      <c r="A10046" t="s">
        <v>10412</v>
      </c>
      <c r="B10046" s="9">
        <v>0.04</v>
      </c>
    </row>
    <row r="10047" spans="1:3" x14ac:dyDescent="0.25">
      <c r="A10047" t="s">
        <v>10413</v>
      </c>
      <c r="B10047" s="9">
        <v>0.05</v>
      </c>
    </row>
    <row r="10048" spans="1:3" x14ac:dyDescent="0.25">
      <c r="A10048" t="s">
        <v>215</v>
      </c>
      <c r="B10048" s="9">
        <v>0.16</v>
      </c>
      <c r="C10048" t="s">
        <v>215</v>
      </c>
    </row>
    <row r="10049" spans="1:3" x14ac:dyDescent="0.25">
      <c r="A10049" t="s">
        <v>10414</v>
      </c>
      <c r="B10049" s="9">
        <v>0.04</v>
      </c>
    </row>
    <row r="10050" spans="1:3" x14ac:dyDescent="0.25">
      <c r="A10050" t="s">
        <v>216</v>
      </c>
      <c r="B10050" s="9">
        <v>0.04</v>
      </c>
      <c r="C10050" t="s">
        <v>216</v>
      </c>
    </row>
    <row r="10051" spans="1:3" x14ac:dyDescent="0.25">
      <c r="A10051" t="s">
        <v>217</v>
      </c>
      <c r="B10051" s="9">
        <v>0.04</v>
      </c>
      <c r="C10051" t="s">
        <v>217</v>
      </c>
    </row>
    <row r="10052" spans="1:3" x14ac:dyDescent="0.25">
      <c r="A10052" t="s">
        <v>218</v>
      </c>
      <c r="B10052" s="9">
        <v>0.04</v>
      </c>
      <c r="C10052" t="s">
        <v>218</v>
      </c>
    </row>
    <row r="10053" spans="1:3" x14ac:dyDescent="0.25">
      <c r="A10053" t="s">
        <v>10415</v>
      </c>
      <c r="B10053" s="9">
        <v>0.05</v>
      </c>
    </row>
    <row r="10054" spans="1:3" x14ac:dyDescent="0.25">
      <c r="A10054" t="s">
        <v>219</v>
      </c>
      <c r="B10054" s="9">
        <v>0.05</v>
      </c>
      <c r="C10054" t="s">
        <v>219</v>
      </c>
    </row>
    <row r="10055" spans="1:3" x14ac:dyDescent="0.25">
      <c r="A10055" t="s">
        <v>220</v>
      </c>
      <c r="B10055" s="9">
        <v>0.05</v>
      </c>
      <c r="C10055" t="s">
        <v>220</v>
      </c>
    </row>
    <row r="10056" spans="1:3" x14ac:dyDescent="0.25">
      <c r="A10056" t="s">
        <v>221</v>
      </c>
      <c r="B10056" s="9">
        <v>0.05</v>
      </c>
      <c r="C10056" t="s">
        <v>221</v>
      </c>
    </row>
    <row r="10057" spans="1:3" x14ac:dyDescent="0.25">
      <c r="A10057" t="s">
        <v>222</v>
      </c>
      <c r="B10057" s="9">
        <v>0.05</v>
      </c>
      <c r="C10057" t="s">
        <v>222</v>
      </c>
    </row>
    <row r="10058" spans="1:3" x14ac:dyDescent="0.25">
      <c r="A10058" t="s">
        <v>223</v>
      </c>
      <c r="B10058" s="9">
        <v>0.05</v>
      </c>
      <c r="C10058" t="s">
        <v>223</v>
      </c>
    </row>
    <row r="10059" spans="1:3" x14ac:dyDescent="0.25">
      <c r="A10059" t="s">
        <v>224</v>
      </c>
      <c r="B10059" s="9">
        <v>0.05</v>
      </c>
      <c r="C10059" t="s">
        <v>224</v>
      </c>
    </row>
    <row r="10060" spans="1:3" x14ac:dyDescent="0.25">
      <c r="A10060" t="s">
        <v>225</v>
      </c>
      <c r="B10060" s="9">
        <v>0.05</v>
      </c>
      <c r="C10060" t="s">
        <v>225</v>
      </c>
    </row>
    <row r="10061" spans="1:3" x14ac:dyDescent="0.25">
      <c r="A10061" t="s">
        <v>226</v>
      </c>
      <c r="B10061" s="9">
        <v>0</v>
      </c>
      <c r="C10061" t="s">
        <v>226</v>
      </c>
    </row>
    <row r="10062" spans="1:3" x14ac:dyDescent="0.25">
      <c r="A10062" t="s">
        <v>227</v>
      </c>
      <c r="B10062" s="9">
        <v>0.05</v>
      </c>
      <c r="C10062" t="s">
        <v>227</v>
      </c>
    </row>
    <row r="10063" spans="1:3" x14ac:dyDescent="0.25">
      <c r="A10063" t="s">
        <v>10416</v>
      </c>
      <c r="B10063" s="9">
        <v>0</v>
      </c>
    </row>
    <row r="10064" spans="1:3" x14ac:dyDescent="0.25">
      <c r="A10064" t="s">
        <v>10417</v>
      </c>
      <c r="B10064" s="9">
        <v>0</v>
      </c>
    </row>
    <row r="10065" spans="1:2" x14ac:dyDescent="0.25">
      <c r="A10065" t="s">
        <v>10418</v>
      </c>
      <c r="B10065" s="9">
        <v>0.05</v>
      </c>
    </row>
    <row r="10066" spans="1:2" x14ac:dyDescent="0.25">
      <c r="A10066" t="s">
        <v>10419</v>
      </c>
      <c r="B10066" s="9">
        <v>0</v>
      </c>
    </row>
    <row r="10067" spans="1:2" x14ac:dyDescent="0.25">
      <c r="A10067" t="s">
        <v>10420</v>
      </c>
      <c r="B10067" s="9">
        <v>0.35</v>
      </c>
    </row>
    <row r="10068" spans="1:2" x14ac:dyDescent="0.25">
      <c r="A10068" t="s">
        <v>10421</v>
      </c>
      <c r="B10068" s="9">
        <v>0.35</v>
      </c>
    </row>
    <row r="10069" spans="1:2" x14ac:dyDescent="0.25">
      <c r="A10069" t="s">
        <v>10422</v>
      </c>
      <c r="B10069" s="9">
        <v>0.35</v>
      </c>
    </row>
    <row r="10070" spans="1:2" x14ac:dyDescent="0.25">
      <c r="A10070" t="s">
        <v>10423</v>
      </c>
      <c r="B10070" s="9">
        <v>0.35</v>
      </c>
    </row>
    <row r="10071" spans="1:2" x14ac:dyDescent="0.25">
      <c r="A10071" t="s">
        <v>10424</v>
      </c>
      <c r="B10071" s="9">
        <v>0.35</v>
      </c>
    </row>
    <row r="10072" spans="1:2" x14ac:dyDescent="0.25">
      <c r="A10072" t="s">
        <v>10425</v>
      </c>
      <c r="B10072" s="9">
        <v>0.35</v>
      </c>
    </row>
    <row r="10073" spans="1:2" x14ac:dyDescent="0.25">
      <c r="A10073" t="s">
        <v>10426</v>
      </c>
      <c r="B10073" s="9">
        <v>0.35</v>
      </c>
    </row>
    <row r="10074" spans="1:2" x14ac:dyDescent="0.25">
      <c r="A10074" t="s">
        <v>10427</v>
      </c>
      <c r="B10074" s="9">
        <v>0.35</v>
      </c>
    </row>
    <row r="10075" spans="1:2" x14ac:dyDescent="0.25">
      <c r="A10075" t="s">
        <v>10428</v>
      </c>
      <c r="B10075" s="9">
        <v>0.35</v>
      </c>
    </row>
    <row r="10076" spans="1:2" x14ac:dyDescent="0.25">
      <c r="A10076" t="s">
        <v>10429</v>
      </c>
      <c r="B10076" s="9">
        <v>0.1</v>
      </c>
    </row>
    <row r="10077" spans="1:2" x14ac:dyDescent="0.25">
      <c r="A10077" t="s">
        <v>10430</v>
      </c>
      <c r="B10077" s="9">
        <v>0.1</v>
      </c>
    </row>
    <row r="10078" spans="1:2" x14ac:dyDescent="0.25">
      <c r="A10078" t="s">
        <v>10431</v>
      </c>
      <c r="B10078" s="9">
        <v>0</v>
      </c>
    </row>
    <row r="10079" spans="1:2" x14ac:dyDescent="0.25">
      <c r="A10079" t="s">
        <v>10432</v>
      </c>
      <c r="B10079" s="9">
        <v>0</v>
      </c>
    </row>
    <row r="10080" spans="1:2" x14ac:dyDescent="0.25">
      <c r="A10080" t="s">
        <v>10433</v>
      </c>
      <c r="B10080" s="9">
        <v>0.12</v>
      </c>
    </row>
    <row r="10081" spans="1:3" x14ac:dyDescent="0.25">
      <c r="A10081" t="s">
        <v>10434</v>
      </c>
      <c r="B10081" s="9">
        <v>0</v>
      </c>
    </row>
    <row r="10082" spans="1:3" x14ac:dyDescent="0.25">
      <c r="A10082" t="s">
        <v>10435</v>
      </c>
      <c r="B10082" s="9">
        <v>0.1</v>
      </c>
    </row>
    <row r="10083" spans="1:3" x14ac:dyDescent="0.25">
      <c r="A10083" t="s">
        <v>10436</v>
      </c>
      <c r="B10083" s="9">
        <v>0.1</v>
      </c>
    </row>
    <row r="10084" spans="1:3" x14ac:dyDescent="0.25">
      <c r="A10084" t="s">
        <v>10437</v>
      </c>
      <c r="B10084" s="9">
        <v>0.1</v>
      </c>
    </row>
    <row r="10085" spans="1:3" x14ac:dyDescent="0.25">
      <c r="A10085" t="s">
        <v>10438</v>
      </c>
      <c r="B10085" s="9">
        <v>0.1</v>
      </c>
    </row>
    <row r="10086" spans="1:3" x14ac:dyDescent="0.25">
      <c r="A10086" t="s">
        <v>10439</v>
      </c>
      <c r="B10086" s="9">
        <v>0.1</v>
      </c>
    </row>
    <row r="10087" spans="1:3" x14ac:dyDescent="0.25">
      <c r="A10087" t="s">
        <v>10440</v>
      </c>
      <c r="B10087" s="9">
        <v>0.1</v>
      </c>
    </row>
    <row r="10088" spans="1:3" x14ac:dyDescent="0.25">
      <c r="A10088" t="s">
        <v>10441</v>
      </c>
      <c r="B10088" s="9">
        <v>0.1</v>
      </c>
    </row>
    <row r="10089" spans="1:3" x14ac:dyDescent="0.25">
      <c r="A10089" t="s">
        <v>10442</v>
      </c>
      <c r="B10089" s="9">
        <v>0.1</v>
      </c>
    </row>
    <row r="10090" spans="1:3" x14ac:dyDescent="0.25">
      <c r="A10090" t="s">
        <v>10443</v>
      </c>
      <c r="B10090" s="9">
        <v>0.1</v>
      </c>
    </row>
    <row r="10091" spans="1:3" x14ac:dyDescent="0.25">
      <c r="A10091" t="s">
        <v>10444</v>
      </c>
      <c r="B10091" s="9">
        <v>0.1</v>
      </c>
    </row>
    <row r="10092" spans="1:3" x14ac:dyDescent="0.25">
      <c r="A10092" t="s">
        <v>10445</v>
      </c>
      <c r="B10092" s="9">
        <v>0.1</v>
      </c>
    </row>
    <row r="10093" spans="1:3" x14ac:dyDescent="0.25">
      <c r="A10093" t="s">
        <v>10446</v>
      </c>
      <c r="B10093" s="9">
        <v>0.1</v>
      </c>
    </row>
    <row r="10094" spans="1:3" x14ac:dyDescent="0.25">
      <c r="A10094" t="s">
        <v>228</v>
      </c>
      <c r="B10094" s="9">
        <v>0</v>
      </c>
      <c r="C10094" t="s">
        <v>228</v>
      </c>
    </row>
    <row r="10095" spans="1:3" x14ac:dyDescent="0.25">
      <c r="A10095" t="s">
        <v>10447</v>
      </c>
      <c r="B10095" s="9">
        <v>0</v>
      </c>
    </row>
    <row r="10096" spans="1:3" x14ac:dyDescent="0.25">
      <c r="A10096" t="s">
        <v>10448</v>
      </c>
      <c r="B10096" s="9">
        <v>0</v>
      </c>
    </row>
    <row r="10097" spans="1:2" x14ac:dyDescent="0.25">
      <c r="A10097" t="s">
        <v>10449</v>
      </c>
      <c r="B10097" s="9">
        <v>0.05</v>
      </c>
    </row>
    <row r="10098" spans="1:2" x14ac:dyDescent="0.25">
      <c r="A10098" t="s">
        <v>10450</v>
      </c>
      <c r="B10098" s="9">
        <v>0.05</v>
      </c>
    </row>
    <row r="10099" spans="1:2" x14ac:dyDescent="0.25">
      <c r="A10099" t="s">
        <v>10451</v>
      </c>
      <c r="B10099" s="9">
        <v>0</v>
      </c>
    </row>
    <row r="10100" spans="1:2" x14ac:dyDescent="0.25">
      <c r="A10100" t="s">
        <v>10452</v>
      </c>
      <c r="B10100" s="9">
        <v>0</v>
      </c>
    </row>
    <row r="10101" spans="1:2" x14ac:dyDescent="0.25">
      <c r="A10101" t="s">
        <v>10453</v>
      </c>
      <c r="B10101" s="9">
        <v>0.05</v>
      </c>
    </row>
    <row r="10102" spans="1:2" x14ac:dyDescent="0.25">
      <c r="A10102" t="s">
        <v>10454</v>
      </c>
      <c r="B10102" s="9">
        <v>0.05</v>
      </c>
    </row>
    <row r="10103" spans="1:2" x14ac:dyDescent="0.25">
      <c r="A10103" t="s">
        <v>10455</v>
      </c>
      <c r="B10103" s="9">
        <v>0.1</v>
      </c>
    </row>
    <row r="10104" spans="1:2" x14ac:dyDescent="0.25">
      <c r="A10104" t="s">
        <v>10456</v>
      </c>
      <c r="B10104" s="9">
        <v>0.1</v>
      </c>
    </row>
    <row r="10105" spans="1:2" x14ac:dyDescent="0.25">
      <c r="A10105" t="s">
        <v>10457</v>
      </c>
      <c r="B10105" s="9">
        <v>0.1</v>
      </c>
    </row>
    <row r="10106" spans="1:2" x14ac:dyDescent="0.25">
      <c r="A10106" t="s">
        <v>10458</v>
      </c>
      <c r="B10106" s="9">
        <v>0.1</v>
      </c>
    </row>
    <row r="10107" spans="1:2" x14ac:dyDescent="0.25">
      <c r="A10107" t="s">
        <v>10459</v>
      </c>
      <c r="B10107" s="9">
        <v>0.1</v>
      </c>
    </row>
    <row r="10108" spans="1:2" x14ac:dyDescent="0.25">
      <c r="A10108" t="s">
        <v>10460</v>
      </c>
      <c r="B10108" s="9">
        <v>0.1</v>
      </c>
    </row>
    <row r="10109" spans="1:2" x14ac:dyDescent="0.25">
      <c r="A10109" t="s">
        <v>10461</v>
      </c>
      <c r="B10109" s="9">
        <v>0.1</v>
      </c>
    </row>
    <row r="10110" spans="1:2" x14ac:dyDescent="0.25">
      <c r="A10110" t="s">
        <v>10462</v>
      </c>
      <c r="B10110" s="9">
        <v>0.1</v>
      </c>
    </row>
    <row r="10111" spans="1:2" x14ac:dyDescent="0.25">
      <c r="A10111" t="s">
        <v>10463</v>
      </c>
      <c r="B10111" s="9">
        <v>0.1</v>
      </c>
    </row>
    <row r="10112" spans="1:2" x14ac:dyDescent="0.25">
      <c r="A10112" t="s">
        <v>10464</v>
      </c>
      <c r="B10112" s="9">
        <v>0.1</v>
      </c>
    </row>
    <row r="10113" spans="1:2" x14ac:dyDescent="0.25">
      <c r="A10113" t="s">
        <v>10465</v>
      </c>
      <c r="B10113" s="9">
        <v>0.1</v>
      </c>
    </row>
    <row r="10114" spans="1:2" x14ac:dyDescent="0.25">
      <c r="A10114" t="s">
        <v>10466</v>
      </c>
      <c r="B10114" s="9">
        <v>0.1</v>
      </c>
    </row>
    <row r="10115" spans="1:2" x14ac:dyDescent="0.25">
      <c r="A10115" t="s">
        <v>10467</v>
      </c>
      <c r="B10115" s="9">
        <v>0.1</v>
      </c>
    </row>
    <row r="10116" spans="1:2" x14ac:dyDescent="0.25">
      <c r="A10116" t="s">
        <v>10468</v>
      </c>
      <c r="B10116" s="9">
        <v>0.1</v>
      </c>
    </row>
    <row r="10117" spans="1:2" x14ac:dyDescent="0.25">
      <c r="A10117" t="s">
        <v>10469</v>
      </c>
      <c r="B10117" s="9">
        <v>0.1</v>
      </c>
    </row>
    <row r="10118" spans="1:2" x14ac:dyDescent="0.25">
      <c r="A10118" t="s">
        <v>10470</v>
      </c>
      <c r="B10118" s="9">
        <v>0.1</v>
      </c>
    </row>
    <row r="10119" spans="1:2" x14ac:dyDescent="0.25">
      <c r="A10119" t="s">
        <v>10471</v>
      </c>
      <c r="B10119" s="9">
        <v>0</v>
      </c>
    </row>
    <row r="10120" spans="1:2" x14ac:dyDescent="0.25">
      <c r="A10120" t="s">
        <v>10472</v>
      </c>
      <c r="B10120" s="9">
        <v>0</v>
      </c>
    </row>
    <row r="10121" spans="1:2" x14ac:dyDescent="0.25">
      <c r="A10121" t="s">
        <v>10473</v>
      </c>
      <c r="B10121" s="9">
        <v>0</v>
      </c>
    </row>
    <row r="10122" spans="1:2" x14ac:dyDescent="0.25">
      <c r="A10122" t="s">
        <v>10474</v>
      </c>
      <c r="B10122" s="9">
        <v>0</v>
      </c>
    </row>
    <row r="10123" spans="1:2" x14ac:dyDescent="0.25">
      <c r="A10123" t="s">
        <v>10475</v>
      </c>
      <c r="B10123" s="9">
        <v>0</v>
      </c>
    </row>
    <row r="10124" spans="1:2" x14ac:dyDescent="0.25">
      <c r="A10124" t="s">
        <v>10476</v>
      </c>
      <c r="B10124" s="9">
        <v>0.1</v>
      </c>
    </row>
    <row r="10125" spans="1:2" x14ac:dyDescent="0.25">
      <c r="A10125" t="s">
        <v>10477</v>
      </c>
      <c r="B10125" s="9">
        <v>0</v>
      </c>
    </row>
    <row r="10126" spans="1:2" x14ac:dyDescent="0.25">
      <c r="A10126" t="s">
        <v>10478</v>
      </c>
      <c r="B10126" s="9">
        <v>0</v>
      </c>
    </row>
    <row r="10127" spans="1:2" x14ac:dyDescent="0.25">
      <c r="A10127" t="s">
        <v>10479</v>
      </c>
      <c r="B10127" s="9">
        <v>0</v>
      </c>
    </row>
    <row r="10128" spans="1:2" x14ac:dyDescent="0.25">
      <c r="A10128" t="s">
        <v>10480</v>
      </c>
      <c r="B10128" s="9">
        <v>0</v>
      </c>
    </row>
    <row r="10129" spans="1:2" x14ac:dyDescent="0.25">
      <c r="A10129" t="s">
        <v>10481</v>
      </c>
      <c r="B10129" s="9">
        <v>0</v>
      </c>
    </row>
    <row r="10130" spans="1:2" x14ac:dyDescent="0.25">
      <c r="A10130" t="s">
        <v>10482</v>
      </c>
      <c r="B10130" s="9">
        <v>0</v>
      </c>
    </row>
    <row r="10131" spans="1:2" x14ac:dyDescent="0.25">
      <c r="A10131" t="s">
        <v>10483</v>
      </c>
      <c r="B10131" s="9">
        <v>0</v>
      </c>
    </row>
    <row r="10132" spans="1:2" x14ac:dyDescent="0.25">
      <c r="A10132" t="s">
        <v>10484</v>
      </c>
      <c r="B10132" s="9">
        <v>0</v>
      </c>
    </row>
    <row r="10133" spans="1:2" x14ac:dyDescent="0.25">
      <c r="A10133" t="s">
        <v>10485</v>
      </c>
      <c r="B10133" s="9">
        <v>0</v>
      </c>
    </row>
    <row r="10134" spans="1:2" x14ac:dyDescent="0.25">
      <c r="A10134" t="s">
        <v>10486</v>
      </c>
      <c r="B10134" s="9">
        <v>0.1</v>
      </c>
    </row>
    <row r="10135" spans="1:2" x14ac:dyDescent="0.25">
      <c r="A10135" t="s">
        <v>10487</v>
      </c>
      <c r="B10135" s="9">
        <v>0.1</v>
      </c>
    </row>
    <row r="10136" spans="1:2" x14ac:dyDescent="0.25">
      <c r="A10136" t="s">
        <v>10488</v>
      </c>
      <c r="B10136" s="9">
        <v>0.1</v>
      </c>
    </row>
    <row r="10137" spans="1:2" x14ac:dyDescent="0.25">
      <c r="A10137" t="s">
        <v>10489</v>
      </c>
      <c r="B10137" s="9">
        <v>0.1</v>
      </c>
    </row>
    <row r="10138" spans="1:2" x14ac:dyDescent="0.25">
      <c r="A10138" t="s">
        <v>10490</v>
      </c>
      <c r="B10138" s="9">
        <v>0</v>
      </c>
    </row>
    <row r="10139" spans="1:2" x14ac:dyDescent="0.25">
      <c r="A10139" t="s">
        <v>10491</v>
      </c>
      <c r="B10139" s="9">
        <v>0</v>
      </c>
    </row>
    <row r="10140" spans="1:2" x14ac:dyDescent="0.25">
      <c r="A10140" t="s">
        <v>10492</v>
      </c>
      <c r="B10140" s="9">
        <v>0</v>
      </c>
    </row>
    <row r="10141" spans="1:2" x14ac:dyDescent="0.25">
      <c r="A10141" t="s">
        <v>10493</v>
      </c>
      <c r="B10141" s="9">
        <v>0</v>
      </c>
    </row>
    <row r="10142" spans="1:2" x14ac:dyDescent="0.25">
      <c r="A10142" t="s">
        <v>10494</v>
      </c>
      <c r="B10142" s="9">
        <v>0.05</v>
      </c>
    </row>
    <row r="10143" spans="1:2" x14ac:dyDescent="0.25">
      <c r="A10143" t="s">
        <v>10495</v>
      </c>
      <c r="B10143" s="9">
        <v>0</v>
      </c>
    </row>
    <row r="10144" spans="1:2" x14ac:dyDescent="0.25">
      <c r="A10144" t="s">
        <v>10496</v>
      </c>
      <c r="B10144" s="9">
        <v>0</v>
      </c>
    </row>
    <row r="10145" spans="1:2" x14ac:dyDescent="0.25">
      <c r="A10145" t="s">
        <v>10497</v>
      </c>
      <c r="B10145" s="9">
        <v>0.05</v>
      </c>
    </row>
    <row r="10146" spans="1:2" x14ac:dyDescent="0.25">
      <c r="A10146" t="s">
        <v>10498</v>
      </c>
      <c r="B10146" s="9">
        <v>0.05</v>
      </c>
    </row>
    <row r="10147" spans="1:2" x14ac:dyDescent="0.25">
      <c r="A10147" t="s">
        <v>10499</v>
      </c>
      <c r="B10147" s="9">
        <v>0</v>
      </c>
    </row>
    <row r="10148" spans="1:2" x14ac:dyDescent="0.25">
      <c r="A10148" t="s">
        <v>10500</v>
      </c>
      <c r="B10148" s="9">
        <v>0</v>
      </c>
    </row>
    <row r="10149" spans="1:2" x14ac:dyDescent="0.25">
      <c r="A10149" t="s">
        <v>10501</v>
      </c>
      <c r="B10149" s="9">
        <v>0.1</v>
      </c>
    </row>
    <row r="10150" spans="1:2" x14ac:dyDescent="0.25">
      <c r="A10150" t="s">
        <v>10502</v>
      </c>
      <c r="B10150" s="9">
        <v>0.1</v>
      </c>
    </row>
    <row r="10151" spans="1:2" x14ac:dyDescent="0.25">
      <c r="A10151" t="s">
        <v>10503</v>
      </c>
      <c r="B10151" s="9">
        <v>0.15</v>
      </c>
    </row>
    <row r="10152" spans="1:2" x14ac:dyDescent="0.25">
      <c r="A10152" t="s">
        <v>10504</v>
      </c>
      <c r="B10152" s="9">
        <v>0.15</v>
      </c>
    </row>
    <row r="10153" spans="1:2" x14ac:dyDescent="0.25">
      <c r="A10153" t="s">
        <v>10505</v>
      </c>
      <c r="B10153" s="9">
        <v>0</v>
      </c>
    </row>
    <row r="10154" spans="1:2" x14ac:dyDescent="0.25">
      <c r="A10154" t="s">
        <v>10506</v>
      </c>
      <c r="B10154" s="9">
        <v>0</v>
      </c>
    </row>
    <row r="10155" spans="1:2" x14ac:dyDescent="0.25">
      <c r="A10155" t="s">
        <v>10507</v>
      </c>
      <c r="B10155" s="9">
        <v>0</v>
      </c>
    </row>
    <row r="10156" spans="1:2" x14ac:dyDescent="0.25">
      <c r="A10156" t="s">
        <v>10508</v>
      </c>
      <c r="B10156" s="9">
        <v>0</v>
      </c>
    </row>
    <row r="10157" spans="1:2" x14ac:dyDescent="0.25">
      <c r="A10157" t="s">
        <v>10509</v>
      </c>
      <c r="B10157" s="9">
        <v>0.15</v>
      </c>
    </row>
    <row r="10158" spans="1:2" x14ac:dyDescent="0.25">
      <c r="A10158" t="s">
        <v>10510</v>
      </c>
      <c r="B10158" s="9">
        <v>0.15</v>
      </c>
    </row>
    <row r="10159" spans="1:2" x14ac:dyDescent="0.25">
      <c r="A10159" t="s">
        <v>10511</v>
      </c>
      <c r="B10159" s="9">
        <v>0</v>
      </c>
    </row>
    <row r="10160" spans="1:2" x14ac:dyDescent="0.25">
      <c r="A10160" t="s">
        <v>10512</v>
      </c>
      <c r="B10160" s="9">
        <v>0.15</v>
      </c>
    </row>
    <row r="10161" spans="1:2" x14ac:dyDescent="0.25">
      <c r="A10161" t="s">
        <v>10513</v>
      </c>
      <c r="B10161" s="9">
        <v>0.15</v>
      </c>
    </row>
    <row r="10162" spans="1:2" x14ac:dyDescent="0.25">
      <c r="A10162" t="s">
        <v>10514</v>
      </c>
      <c r="B10162" s="9">
        <v>0.15</v>
      </c>
    </row>
    <row r="10163" spans="1:2" x14ac:dyDescent="0.25">
      <c r="A10163" t="s">
        <v>10515</v>
      </c>
      <c r="B10163" s="9">
        <v>0.15</v>
      </c>
    </row>
    <row r="10164" spans="1:2" x14ac:dyDescent="0.25">
      <c r="A10164" t="s">
        <v>10516</v>
      </c>
      <c r="B10164" s="9">
        <v>0.15</v>
      </c>
    </row>
    <row r="10165" spans="1:2" x14ac:dyDescent="0.25">
      <c r="A10165" t="s">
        <v>10517</v>
      </c>
      <c r="B10165" s="9">
        <v>0.15</v>
      </c>
    </row>
    <row r="10166" spans="1:2" x14ac:dyDescent="0.25">
      <c r="A10166" t="s">
        <v>10518</v>
      </c>
      <c r="B10166" s="9">
        <v>0.05</v>
      </c>
    </row>
    <row r="10167" spans="1:2" x14ac:dyDescent="0.25">
      <c r="A10167" t="s">
        <v>10519</v>
      </c>
      <c r="B10167" s="9">
        <v>0.05</v>
      </c>
    </row>
    <row r="10168" spans="1:2" x14ac:dyDescent="0.25">
      <c r="A10168" t="s">
        <v>10520</v>
      </c>
      <c r="B10168" s="9">
        <v>0.05</v>
      </c>
    </row>
    <row r="10169" spans="1:2" x14ac:dyDescent="0.25">
      <c r="A10169" t="s">
        <v>10521</v>
      </c>
      <c r="B10169" s="9">
        <v>0.05</v>
      </c>
    </row>
    <row r="10170" spans="1:2" x14ac:dyDescent="0.25">
      <c r="A10170" t="s">
        <v>10522</v>
      </c>
      <c r="B10170" s="9">
        <v>0.05</v>
      </c>
    </row>
    <row r="10171" spans="1:2" x14ac:dyDescent="0.25">
      <c r="A10171" t="s">
        <v>10523</v>
      </c>
      <c r="B10171" s="9">
        <v>0.15</v>
      </c>
    </row>
    <row r="10172" spans="1:2" x14ac:dyDescent="0.25">
      <c r="A10172" t="s">
        <v>10524</v>
      </c>
      <c r="B10172" s="9">
        <v>0.05</v>
      </c>
    </row>
    <row r="10173" spans="1:2" x14ac:dyDescent="0.25">
      <c r="A10173" t="s">
        <v>10525</v>
      </c>
      <c r="B10173" s="9">
        <v>0.05</v>
      </c>
    </row>
    <row r="10174" spans="1:2" x14ac:dyDescent="0.25">
      <c r="A10174" t="s">
        <v>10526</v>
      </c>
      <c r="B10174" s="9">
        <v>0.05</v>
      </c>
    </row>
    <row r="10175" spans="1:2" x14ac:dyDescent="0.25">
      <c r="A10175" t="s">
        <v>10527</v>
      </c>
      <c r="B10175" s="9">
        <v>0.15</v>
      </c>
    </row>
    <row r="10176" spans="1:2" x14ac:dyDescent="0.25">
      <c r="A10176" t="s">
        <v>10528</v>
      </c>
      <c r="B10176" s="9">
        <v>0.15</v>
      </c>
    </row>
    <row r="10177" spans="1:2" x14ac:dyDescent="0.25">
      <c r="A10177" t="s">
        <v>10529</v>
      </c>
      <c r="B10177" s="9">
        <v>0.15</v>
      </c>
    </row>
    <row r="10178" spans="1:2" x14ac:dyDescent="0.25">
      <c r="A10178" t="s">
        <v>10530</v>
      </c>
      <c r="B10178" s="9">
        <v>0.15</v>
      </c>
    </row>
    <row r="10179" spans="1:2" x14ac:dyDescent="0.25">
      <c r="A10179" t="s">
        <v>10531</v>
      </c>
      <c r="B10179" s="9">
        <v>0.15</v>
      </c>
    </row>
    <row r="10180" spans="1:2" x14ac:dyDescent="0.25">
      <c r="A10180" t="s">
        <v>10532</v>
      </c>
      <c r="B10180" s="9">
        <v>0.15</v>
      </c>
    </row>
    <row r="10181" spans="1:2" x14ac:dyDescent="0.25">
      <c r="A10181" t="s">
        <v>10533</v>
      </c>
      <c r="B10181" s="9">
        <v>0.15</v>
      </c>
    </row>
    <row r="10182" spans="1:2" x14ac:dyDescent="0.25">
      <c r="A10182" t="s">
        <v>10534</v>
      </c>
      <c r="B10182" s="9">
        <v>0.15</v>
      </c>
    </row>
    <row r="10183" spans="1:2" x14ac:dyDescent="0.25">
      <c r="A10183" t="s">
        <v>10535</v>
      </c>
      <c r="B10183" s="9">
        <v>0.15</v>
      </c>
    </row>
    <row r="10184" spans="1:2" x14ac:dyDescent="0.25">
      <c r="A10184" t="s">
        <v>10536</v>
      </c>
      <c r="B10184" s="9">
        <v>0.15</v>
      </c>
    </row>
    <row r="10185" spans="1:2" x14ac:dyDescent="0.25">
      <c r="A10185" t="s">
        <v>10537</v>
      </c>
      <c r="B10185" s="9">
        <v>0</v>
      </c>
    </row>
    <row r="10186" spans="1:2" x14ac:dyDescent="0.25">
      <c r="A10186" t="s">
        <v>10538</v>
      </c>
      <c r="B10186" s="9">
        <v>0.15</v>
      </c>
    </row>
    <row r="10187" spans="1:2" x14ac:dyDescent="0.25">
      <c r="A10187" t="s">
        <v>10539</v>
      </c>
      <c r="B10187" s="9">
        <v>0.15</v>
      </c>
    </row>
    <row r="10188" spans="1:2" x14ac:dyDescent="0.25">
      <c r="A10188" t="s">
        <v>10540</v>
      </c>
      <c r="B10188" s="9">
        <v>0.15</v>
      </c>
    </row>
    <row r="10189" spans="1:2" x14ac:dyDescent="0.25">
      <c r="A10189" t="s">
        <v>10541</v>
      </c>
      <c r="B10189" s="9">
        <v>0</v>
      </c>
    </row>
    <row r="10190" spans="1:2" x14ac:dyDescent="0.25">
      <c r="A10190" t="s">
        <v>10542</v>
      </c>
      <c r="B10190" s="9">
        <v>0.15</v>
      </c>
    </row>
    <row r="10191" spans="1:2" x14ac:dyDescent="0.25">
      <c r="A10191" t="s">
        <v>10543</v>
      </c>
      <c r="B10191" s="9">
        <v>0.15</v>
      </c>
    </row>
    <row r="10192" spans="1:2" x14ac:dyDescent="0.25">
      <c r="A10192" t="s">
        <v>10544</v>
      </c>
      <c r="B10192" s="9">
        <v>0.1</v>
      </c>
    </row>
    <row r="10193" spans="1:2" x14ac:dyDescent="0.25">
      <c r="A10193" t="s">
        <v>10545</v>
      </c>
      <c r="B10193" s="9">
        <v>0.15</v>
      </c>
    </row>
    <row r="10194" spans="1:2" x14ac:dyDescent="0.25">
      <c r="A10194" t="s">
        <v>10546</v>
      </c>
      <c r="B10194" s="9">
        <v>0.15</v>
      </c>
    </row>
    <row r="10195" spans="1:2" x14ac:dyDescent="0.25">
      <c r="A10195" t="s">
        <v>10547</v>
      </c>
      <c r="B10195" s="9">
        <v>0.15</v>
      </c>
    </row>
    <row r="10196" spans="1:2" x14ac:dyDescent="0.25">
      <c r="A10196" t="s">
        <v>10548</v>
      </c>
      <c r="B10196" s="9">
        <v>0.3</v>
      </c>
    </row>
    <row r="10197" spans="1:2" x14ac:dyDescent="0.25">
      <c r="A10197" t="s">
        <v>10549</v>
      </c>
      <c r="B10197" s="9">
        <v>0</v>
      </c>
    </row>
    <row r="10198" spans="1:2" x14ac:dyDescent="0.25">
      <c r="A10198" t="s">
        <v>10550</v>
      </c>
      <c r="B10198" s="9">
        <v>0.2</v>
      </c>
    </row>
    <row r="10199" spans="1:2" x14ac:dyDescent="0.25">
      <c r="A10199" t="s">
        <v>10551</v>
      </c>
      <c r="B10199" s="9">
        <v>0.2</v>
      </c>
    </row>
    <row r="10200" spans="1:2" x14ac:dyDescent="0.25">
      <c r="A10200" t="s">
        <v>10552</v>
      </c>
      <c r="B10200" s="9">
        <v>0.2</v>
      </c>
    </row>
    <row r="10201" spans="1:2" x14ac:dyDescent="0.25">
      <c r="A10201" t="s">
        <v>10553</v>
      </c>
      <c r="B10201" s="9">
        <v>0.2</v>
      </c>
    </row>
    <row r="10202" spans="1:2" x14ac:dyDescent="0.25">
      <c r="A10202" t="s">
        <v>10554</v>
      </c>
      <c r="B10202" s="9">
        <v>0.2</v>
      </c>
    </row>
    <row r="10203" spans="1:2" x14ac:dyDescent="0.25">
      <c r="A10203" t="s">
        <v>10555</v>
      </c>
      <c r="B10203" s="9">
        <v>0.2</v>
      </c>
    </row>
    <row r="10204" spans="1:2" x14ac:dyDescent="0.25">
      <c r="A10204" t="s">
        <v>10556</v>
      </c>
      <c r="B10204" s="9">
        <v>0.2</v>
      </c>
    </row>
    <row r="10205" spans="1:2" x14ac:dyDescent="0.25">
      <c r="A10205" t="s">
        <v>10557</v>
      </c>
      <c r="B10205" s="9">
        <v>0.2</v>
      </c>
    </row>
    <row r="10206" spans="1:2" x14ac:dyDescent="0.25">
      <c r="A10206" t="s">
        <v>10558</v>
      </c>
      <c r="B10206" s="9">
        <v>0.2</v>
      </c>
    </row>
    <row r="10207" spans="1:2" x14ac:dyDescent="0.25">
      <c r="A10207" t="s">
        <v>10559</v>
      </c>
      <c r="B10207" s="9">
        <v>0.2</v>
      </c>
    </row>
    <row r="10208" spans="1:2" x14ac:dyDescent="0.25">
      <c r="A10208" t="s">
        <v>10560</v>
      </c>
      <c r="B10208" s="9">
        <v>0.2</v>
      </c>
    </row>
    <row r="10209" spans="1:2" x14ac:dyDescent="0.25">
      <c r="A10209" t="s">
        <v>10561</v>
      </c>
      <c r="B10209" s="9">
        <v>0.2</v>
      </c>
    </row>
    <row r="10210" spans="1:2" x14ac:dyDescent="0.25">
      <c r="A10210" t="s">
        <v>10562</v>
      </c>
      <c r="B10210" s="9">
        <v>0</v>
      </c>
    </row>
    <row r="10211" spans="1:2" x14ac:dyDescent="0.25">
      <c r="A10211" t="s">
        <v>10563</v>
      </c>
      <c r="B10211" s="9">
        <v>0.2</v>
      </c>
    </row>
    <row r="10212" spans="1:2" x14ac:dyDescent="0.25">
      <c r="A10212" t="s">
        <v>10564</v>
      </c>
      <c r="B10212" s="9">
        <v>0.2</v>
      </c>
    </row>
    <row r="10213" spans="1:2" x14ac:dyDescent="0.25">
      <c r="A10213" t="s">
        <v>10565</v>
      </c>
      <c r="B10213" s="9">
        <v>0.2</v>
      </c>
    </row>
    <row r="10214" spans="1:2" x14ac:dyDescent="0.25">
      <c r="A10214" t="s">
        <v>10566</v>
      </c>
      <c r="B10214" s="9">
        <v>0.05</v>
      </c>
    </row>
    <row r="10215" spans="1:2" x14ac:dyDescent="0.25">
      <c r="A10215" t="s">
        <v>10567</v>
      </c>
      <c r="B10215" s="9">
        <v>0.05</v>
      </c>
    </row>
    <row r="10216" spans="1:2" x14ac:dyDescent="0.25">
      <c r="A10216" t="s">
        <v>10568</v>
      </c>
      <c r="B10216" s="9">
        <v>0.05</v>
      </c>
    </row>
    <row r="10217" spans="1:2" x14ac:dyDescent="0.25">
      <c r="A10217" t="s">
        <v>10569</v>
      </c>
      <c r="B10217" s="9">
        <v>0.05</v>
      </c>
    </row>
    <row r="10218" spans="1:2" x14ac:dyDescent="0.25">
      <c r="A10218" t="s">
        <v>10570</v>
      </c>
      <c r="B10218" s="9">
        <v>0.05</v>
      </c>
    </row>
    <row r="10219" spans="1:2" x14ac:dyDescent="0.25">
      <c r="A10219" t="s">
        <v>10571</v>
      </c>
      <c r="B10219" s="9">
        <v>0.05</v>
      </c>
    </row>
    <row r="10220" spans="1:2" x14ac:dyDescent="0.25">
      <c r="A10220" t="s">
        <v>10572</v>
      </c>
      <c r="B10220" s="9">
        <v>0.05</v>
      </c>
    </row>
    <row r="10221" spans="1:2" x14ac:dyDescent="0.25">
      <c r="A10221" t="s">
        <v>10573</v>
      </c>
      <c r="B10221" s="9">
        <v>0.05</v>
      </c>
    </row>
    <row r="10222" spans="1:2" x14ac:dyDescent="0.25">
      <c r="A10222" t="s">
        <v>10574</v>
      </c>
      <c r="B10222" s="9">
        <v>0</v>
      </c>
    </row>
    <row r="10223" spans="1:2" x14ac:dyDescent="0.25">
      <c r="A10223" t="s">
        <v>10575</v>
      </c>
      <c r="B10223" s="9">
        <v>0</v>
      </c>
    </row>
    <row r="10224" spans="1:2" x14ac:dyDescent="0.25">
      <c r="A10224" t="s">
        <v>10576</v>
      </c>
      <c r="B10224" s="9">
        <v>0.05</v>
      </c>
    </row>
    <row r="10225" spans="1:2" x14ac:dyDescent="0.25">
      <c r="A10225" t="s">
        <v>10577</v>
      </c>
      <c r="B10225" s="9">
        <v>0.05</v>
      </c>
    </row>
    <row r="10226" spans="1:2" x14ac:dyDescent="0.25">
      <c r="A10226" t="s">
        <v>10578</v>
      </c>
      <c r="B10226" s="9">
        <v>0.15</v>
      </c>
    </row>
    <row r="10227" spans="1:2" x14ac:dyDescent="0.25">
      <c r="A10227" t="s">
        <v>10579</v>
      </c>
      <c r="B10227" s="9">
        <v>0.15</v>
      </c>
    </row>
    <row r="10228" spans="1:2" x14ac:dyDescent="0.25">
      <c r="A10228" t="s">
        <v>10580</v>
      </c>
      <c r="B10228" s="9">
        <v>0.15</v>
      </c>
    </row>
    <row r="10229" spans="1:2" x14ac:dyDescent="0.25">
      <c r="A10229" t="s">
        <v>10581</v>
      </c>
      <c r="B10229" s="9">
        <v>0.05</v>
      </c>
    </row>
    <row r="10230" spans="1:2" x14ac:dyDescent="0.25">
      <c r="A10230" t="s">
        <v>10582</v>
      </c>
      <c r="B10230" s="9">
        <v>0.15</v>
      </c>
    </row>
    <row r="10231" spans="1:2" x14ac:dyDescent="0.25">
      <c r="A10231" t="s">
        <v>10583</v>
      </c>
      <c r="B10231" s="9">
        <v>0.05</v>
      </c>
    </row>
    <row r="10232" spans="1:2" x14ac:dyDescent="0.25">
      <c r="A10232" t="s">
        <v>10584</v>
      </c>
      <c r="B10232" s="9">
        <v>0.15</v>
      </c>
    </row>
    <row r="10233" spans="1:2" x14ac:dyDescent="0.25">
      <c r="A10233" t="s">
        <v>10585</v>
      </c>
      <c r="B10233" s="9">
        <v>0.05</v>
      </c>
    </row>
    <row r="10234" spans="1:2" x14ac:dyDescent="0.25">
      <c r="A10234" t="s">
        <v>10586</v>
      </c>
      <c r="B10234" s="9">
        <v>0.05</v>
      </c>
    </row>
    <row r="10235" spans="1:2" x14ac:dyDescent="0.25">
      <c r="A10235" t="s">
        <v>10587</v>
      </c>
      <c r="B10235" s="9">
        <v>0.05</v>
      </c>
    </row>
    <row r="10236" spans="1:2" x14ac:dyDescent="0.25">
      <c r="A10236" t="s">
        <v>10588</v>
      </c>
      <c r="B10236" s="9">
        <v>0.05</v>
      </c>
    </row>
    <row r="10237" spans="1:2" x14ac:dyDescent="0.25">
      <c r="A10237" t="s">
        <v>10589</v>
      </c>
      <c r="B10237" s="9">
        <v>0.05</v>
      </c>
    </row>
    <row r="10238" spans="1:2" x14ac:dyDescent="0.25">
      <c r="A10238" t="s">
        <v>10590</v>
      </c>
      <c r="B10238" s="9">
        <v>0.05</v>
      </c>
    </row>
    <row r="10239" spans="1:2" x14ac:dyDescent="0.25">
      <c r="A10239" t="s">
        <v>10591</v>
      </c>
      <c r="B10239" s="9">
        <v>0.05</v>
      </c>
    </row>
    <row r="10240" spans="1:2" x14ac:dyDescent="0.25">
      <c r="A10240" t="s">
        <v>10592</v>
      </c>
      <c r="B10240" s="9">
        <v>0.05</v>
      </c>
    </row>
    <row r="10241" spans="1:2" x14ac:dyDescent="0.25">
      <c r="A10241" t="s">
        <v>10593</v>
      </c>
      <c r="B10241" s="9">
        <v>0.05</v>
      </c>
    </row>
    <row r="10242" spans="1:2" x14ac:dyDescent="0.25">
      <c r="A10242" t="s">
        <v>10594</v>
      </c>
      <c r="B10242" s="9">
        <v>0.05</v>
      </c>
    </row>
    <row r="10243" spans="1:2" x14ac:dyDescent="0.25">
      <c r="A10243" t="s">
        <v>10595</v>
      </c>
      <c r="B10243" s="9">
        <v>0.05</v>
      </c>
    </row>
    <row r="10244" spans="1:2" x14ac:dyDescent="0.25">
      <c r="A10244" t="s">
        <v>10596</v>
      </c>
      <c r="B10244" s="9">
        <v>0.05</v>
      </c>
    </row>
    <row r="10245" spans="1:2" x14ac:dyDescent="0.25">
      <c r="A10245" t="s">
        <v>10597</v>
      </c>
      <c r="B10245" s="9">
        <v>0.05</v>
      </c>
    </row>
    <row r="10246" spans="1:2" x14ac:dyDescent="0.25">
      <c r="A10246" t="s">
        <v>10598</v>
      </c>
      <c r="B10246" s="9">
        <v>0.05</v>
      </c>
    </row>
    <row r="10247" spans="1:2" x14ac:dyDescent="0.25">
      <c r="A10247" t="s">
        <v>10599</v>
      </c>
      <c r="B10247" s="9">
        <v>0.05</v>
      </c>
    </row>
    <row r="10248" spans="1:2" x14ac:dyDescent="0.25">
      <c r="A10248" t="s">
        <v>10600</v>
      </c>
      <c r="B10248" s="9">
        <v>0.05</v>
      </c>
    </row>
    <row r="10249" spans="1:2" x14ac:dyDescent="0.25">
      <c r="A10249" t="s">
        <v>10601</v>
      </c>
      <c r="B10249" s="9">
        <v>0.05</v>
      </c>
    </row>
    <row r="10250" spans="1:2" x14ac:dyDescent="0.25">
      <c r="A10250" t="s">
        <v>10602</v>
      </c>
      <c r="B10250" s="9">
        <v>0</v>
      </c>
    </row>
    <row r="10251" spans="1:2" x14ac:dyDescent="0.25">
      <c r="A10251" t="s">
        <v>10603</v>
      </c>
      <c r="B10251" s="9">
        <v>0</v>
      </c>
    </row>
    <row r="10252" spans="1:2" x14ac:dyDescent="0.25">
      <c r="A10252" t="s">
        <v>10604</v>
      </c>
      <c r="B10252" s="9">
        <v>0.15</v>
      </c>
    </row>
    <row r="10253" spans="1:2" x14ac:dyDescent="0.25">
      <c r="A10253" t="s">
        <v>10605</v>
      </c>
      <c r="B10253" s="9">
        <v>0.15</v>
      </c>
    </row>
    <row r="10254" spans="1:2" x14ac:dyDescent="0.25">
      <c r="A10254" t="s">
        <v>10606</v>
      </c>
      <c r="B10254" s="9">
        <v>0.15</v>
      </c>
    </row>
    <row r="10255" spans="1:2" x14ac:dyDescent="0.25">
      <c r="A10255" t="s">
        <v>10607</v>
      </c>
      <c r="B10255" s="9">
        <v>0</v>
      </c>
    </row>
    <row r="10256" spans="1:2" x14ac:dyDescent="0.25">
      <c r="A10256" t="s">
        <v>10608</v>
      </c>
      <c r="B10256" s="9">
        <v>0</v>
      </c>
    </row>
    <row r="10257" spans="1:2" x14ac:dyDescent="0.25">
      <c r="A10257" t="s">
        <v>10609</v>
      </c>
      <c r="B10257" s="9">
        <v>0</v>
      </c>
    </row>
    <row r="10258" spans="1:2" x14ac:dyDescent="0.25">
      <c r="A10258" t="s">
        <v>10610</v>
      </c>
      <c r="B10258" s="9">
        <v>0.15</v>
      </c>
    </row>
    <row r="10259" spans="1:2" x14ac:dyDescent="0.25">
      <c r="A10259" t="s">
        <v>622</v>
      </c>
      <c r="B10259" s="9">
        <v>0.15</v>
      </c>
    </row>
    <row r="10260" spans="1:2" x14ac:dyDescent="0.25">
      <c r="A10260" t="s">
        <v>10611</v>
      </c>
      <c r="B10260" s="9">
        <v>0.15</v>
      </c>
    </row>
    <row r="10261" spans="1:2" x14ac:dyDescent="0.25">
      <c r="A10261" t="s">
        <v>10612</v>
      </c>
      <c r="B10261" s="9">
        <v>0.15</v>
      </c>
    </row>
    <row r="10262" spans="1:2" x14ac:dyDescent="0.25">
      <c r="A10262" t="s">
        <v>10613</v>
      </c>
      <c r="B10262" s="9">
        <v>0.02</v>
      </c>
    </row>
    <row r="10263" spans="1:2" x14ac:dyDescent="0.25">
      <c r="A10263" t="s">
        <v>10614</v>
      </c>
      <c r="B10263" s="9">
        <v>0.02</v>
      </c>
    </row>
    <row r="10264" spans="1:2" x14ac:dyDescent="0.25">
      <c r="A10264" t="s">
        <v>10615</v>
      </c>
      <c r="B10264" s="9">
        <v>0.02</v>
      </c>
    </row>
    <row r="10265" spans="1:2" x14ac:dyDescent="0.25">
      <c r="A10265" t="s">
        <v>10616</v>
      </c>
      <c r="B10265" s="9">
        <v>0.02</v>
      </c>
    </row>
    <row r="10266" spans="1:2" x14ac:dyDescent="0.25">
      <c r="A10266" t="s">
        <v>10617</v>
      </c>
      <c r="B10266" s="9">
        <v>0.02</v>
      </c>
    </row>
    <row r="10267" spans="1:2" x14ac:dyDescent="0.25">
      <c r="A10267" t="s">
        <v>10618</v>
      </c>
      <c r="B10267" s="9">
        <v>0.02</v>
      </c>
    </row>
    <row r="10268" spans="1:2" x14ac:dyDescent="0.25">
      <c r="A10268" t="s">
        <v>10619</v>
      </c>
      <c r="B10268" s="9">
        <v>0.02</v>
      </c>
    </row>
    <row r="10269" spans="1:2" x14ac:dyDescent="0.25">
      <c r="A10269" t="s">
        <v>10620</v>
      </c>
      <c r="B10269" s="9">
        <v>0.02</v>
      </c>
    </row>
    <row r="10270" spans="1:2" x14ac:dyDescent="0.25">
      <c r="A10270" t="s">
        <v>10621</v>
      </c>
      <c r="B10270" s="9">
        <v>0.02</v>
      </c>
    </row>
    <row r="10271" spans="1:2" x14ac:dyDescent="0.25">
      <c r="A10271" t="s">
        <v>10622</v>
      </c>
      <c r="B10271" s="9">
        <v>0.02</v>
      </c>
    </row>
    <row r="10272" spans="1:2" x14ac:dyDescent="0.25">
      <c r="A10272" t="s">
        <v>10623</v>
      </c>
      <c r="B10272" s="9">
        <v>0.02</v>
      </c>
    </row>
    <row r="10273" spans="1:2" x14ac:dyDescent="0.25">
      <c r="A10273" t="s">
        <v>10624</v>
      </c>
      <c r="B10273" s="9">
        <v>0.08</v>
      </c>
    </row>
    <row r="10274" spans="1:2" x14ac:dyDescent="0.25">
      <c r="A10274" t="s">
        <v>10625</v>
      </c>
      <c r="B10274" s="9">
        <v>0.08</v>
      </c>
    </row>
    <row r="10275" spans="1:2" x14ac:dyDescent="0.25">
      <c r="A10275" t="s">
        <v>10626</v>
      </c>
      <c r="B10275" s="9">
        <v>0.08</v>
      </c>
    </row>
    <row r="10276" spans="1:2" x14ac:dyDescent="0.25">
      <c r="A10276" t="s">
        <v>10627</v>
      </c>
      <c r="B10276" s="9">
        <v>0</v>
      </c>
    </row>
    <row r="10277" spans="1:2" x14ac:dyDescent="0.25">
      <c r="A10277" t="s">
        <v>10628</v>
      </c>
      <c r="B10277" s="9">
        <v>0</v>
      </c>
    </row>
    <row r="10278" spans="1:2" x14ac:dyDescent="0.25">
      <c r="A10278" t="s">
        <v>10629</v>
      </c>
      <c r="B10278" s="9">
        <v>0</v>
      </c>
    </row>
    <row r="10279" spans="1:2" x14ac:dyDescent="0.25">
      <c r="A10279" t="s">
        <v>10630</v>
      </c>
      <c r="B10279" s="9">
        <v>0.08</v>
      </c>
    </row>
    <row r="10280" spans="1:2" x14ac:dyDescent="0.25">
      <c r="A10280" t="s">
        <v>10631</v>
      </c>
      <c r="B10280" s="9">
        <v>0.08</v>
      </c>
    </row>
    <row r="10281" spans="1:2" x14ac:dyDescent="0.25">
      <c r="A10281" t="s">
        <v>10632</v>
      </c>
      <c r="B10281" s="9">
        <v>0.08</v>
      </c>
    </row>
    <row r="10282" spans="1:2" x14ac:dyDescent="0.25">
      <c r="A10282" t="s">
        <v>10633</v>
      </c>
      <c r="B10282" s="9">
        <v>0.08</v>
      </c>
    </row>
    <row r="10283" spans="1:2" x14ac:dyDescent="0.25">
      <c r="A10283" t="s">
        <v>10634</v>
      </c>
      <c r="B10283" s="9">
        <v>0.08</v>
      </c>
    </row>
    <row r="10284" spans="1:2" x14ac:dyDescent="0.25">
      <c r="A10284" t="s">
        <v>10635</v>
      </c>
      <c r="B10284" s="9">
        <v>0.08</v>
      </c>
    </row>
    <row r="10285" spans="1:2" x14ac:dyDescent="0.25">
      <c r="A10285" t="s">
        <v>10636</v>
      </c>
      <c r="B10285" s="9">
        <v>0</v>
      </c>
    </row>
    <row r="10286" spans="1:2" x14ac:dyDescent="0.25">
      <c r="A10286" t="s">
        <v>10637</v>
      </c>
      <c r="B10286" s="9">
        <v>0</v>
      </c>
    </row>
    <row r="10287" spans="1:2" x14ac:dyDescent="0.25">
      <c r="A10287" t="s">
        <v>10638</v>
      </c>
      <c r="B10287" s="9">
        <v>0.08</v>
      </c>
    </row>
    <row r="10288" spans="1:2" x14ac:dyDescent="0.25">
      <c r="A10288" t="s">
        <v>10639</v>
      </c>
      <c r="B10288" s="9">
        <v>0</v>
      </c>
    </row>
    <row r="10289" spans="1:2" x14ac:dyDescent="0.25">
      <c r="A10289" t="s">
        <v>10640</v>
      </c>
      <c r="B10289" s="9">
        <v>0</v>
      </c>
    </row>
    <row r="10290" spans="1:2" x14ac:dyDescent="0.25">
      <c r="A10290" t="s">
        <v>10641</v>
      </c>
      <c r="B10290" s="9">
        <v>0.08</v>
      </c>
    </row>
    <row r="10291" spans="1:2" x14ac:dyDescent="0.25">
      <c r="A10291" t="s">
        <v>10642</v>
      </c>
      <c r="B10291" s="9">
        <v>0</v>
      </c>
    </row>
    <row r="10292" spans="1:2" x14ac:dyDescent="0.25">
      <c r="A10292" t="s">
        <v>10643</v>
      </c>
      <c r="B10292" s="9">
        <v>0.08</v>
      </c>
    </row>
    <row r="10293" spans="1:2" x14ac:dyDescent="0.25">
      <c r="A10293" t="s">
        <v>10644</v>
      </c>
      <c r="B10293" s="9">
        <v>0</v>
      </c>
    </row>
    <row r="10294" spans="1:2" x14ac:dyDescent="0.25">
      <c r="A10294" t="s">
        <v>10645</v>
      </c>
      <c r="B10294" s="9">
        <v>0.08</v>
      </c>
    </row>
    <row r="10295" spans="1:2" x14ac:dyDescent="0.25">
      <c r="A10295" t="s">
        <v>10646</v>
      </c>
      <c r="B10295" s="9">
        <v>0.08</v>
      </c>
    </row>
    <row r="10296" spans="1:2" x14ac:dyDescent="0.25">
      <c r="A10296" t="s">
        <v>10647</v>
      </c>
      <c r="B10296" s="9">
        <v>0.08</v>
      </c>
    </row>
    <row r="10297" spans="1:2" x14ac:dyDescent="0.25">
      <c r="A10297" t="s">
        <v>10648</v>
      </c>
      <c r="B10297" s="9">
        <v>0.08</v>
      </c>
    </row>
    <row r="10298" spans="1:2" x14ac:dyDescent="0.25">
      <c r="A10298" t="s">
        <v>10649</v>
      </c>
      <c r="B10298" s="9">
        <v>0.08</v>
      </c>
    </row>
    <row r="10299" spans="1:2" x14ac:dyDescent="0.25">
      <c r="A10299" t="s">
        <v>10650</v>
      </c>
      <c r="B10299" s="9">
        <v>0.08</v>
      </c>
    </row>
    <row r="10300" spans="1:2" x14ac:dyDescent="0.25">
      <c r="A10300" t="s">
        <v>10651</v>
      </c>
      <c r="B10300" s="9">
        <v>0.08</v>
      </c>
    </row>
    <row r="10301" spans="1:2" x14ac:dyDescent="0.25">
      <c r="A10301" t="s">
        <v>10652</v>
      </c>
      <c r="B10301" s="9">
        <v>0.08</v>
      </c>
    </row>
    <row r="10302" spans="1:2" x14ac:dyDescent="0.25">
      <c r="A10302" t="s">
        <v>10653</v>
      </c>
      <c r="B10302" s="9">
        <v>0.04</v>
      </c>
    </row>
    <row r="10303" spans="1:2" x14ac:dyDescent="0.25">
      <c r="A10303" t="s">
        <v>10654</v>
      </c>
      <c r="B10303" s="9">
        <v>0.08</v>
      </c>
    </row>
    <row r="10304" spans="1:2" x14ac:dyDescent="0.25">
      <c r="A10304" t="s">
        <v>10655</v>
      </c>
      <c r="B10304" s="9">
        <v>0.08</v>
      </c>
    </row>
    <row r="10305" spans="1:2" x14ac:dyDescent="0.25">
      <c r="A10305" t="s">
        <v>10656</v>
      </c>
      <c r="B10305" s="9">
        <v>0</v>
      </c>
    </row>
    <row r="10306" spans="1:2" x14ac:dyDescent="0.25">
      <c r="A10306" t="s">
        <v>10657</v>
      </c>
      <c r="B10306" s="9">
        <v>0.08</v>
      </c>
    </row>
    <row r="10307" spans="1:2" x14ac:dyDescent="0.25">
      <c r="A10307" t="s">
        <v>10658</v>
      </c>
      <c r="B10307" s="9">
        <v>0.08</v>
      </c>
    </row>
    <row r="10308" spans="1:2" x14ac:dyDescent="0.25">
      <c r="A10308" t="s">
        <v>10659</v>
      </c>
      <c r="B10308" s="9">
        <v>0.08</v>
      </c>
    </row>
    <row r="10309" spans="1:2" x14ac:dyDescent="0.25">
      <c r="A10309" t="s">
        <v>10660</v>
      </c>
      <c r="B10309" s="9">
        <v>0.08</v>
      </c>
    </row>
    <row r="10310" spans="1:2" x14ac:dyDescent="0.25">
      <c r="A10310" t="s">
        <v>10661</v>
      </c>
      <c r="B10310" s="9">
        <v>0</v>
      </c>
    </row>
    <row r="10311" spans="1:2" x14ac:dyDescent="0.25">
      <c r="A10311" t="s">
        <v>10662</v>
      </c>
      <c r="B10311" s="9">
        <v>0.08</v>
      </c>
    </row>
    <row r="10312" spans="1:2" x14ac:dyDescent="0.25">
      <c r="A10312" t="s">
        <v>10663</v>
      </c>
      <c r="B10312" s="9">
        <v>0.08</v>
      </c>
    </row>
    <row r="10313" spans="1:2" x14ac:dyDescent="0.25">
      <c r="A10313" t="s">
        <v>10664</v>
      </c>
      <c r="B10313" s="9">
        <v>0.08</v>
      </c>
    </row>
    <row r="10314" spans="1:2" x14ac:dyDescent="0.25">
      <c r="A10314" t="s">
        <v>10665</v>
      </c>
      <c r="B10314" s="9">
        <v>0.08</v>
      </c>
    </row>
    <row r="10315" spans="1:2" x14ac:dyDescent="0.25">
      <c r="A10315" t="s">
        <v>10666</v>
      </c>
      <c r="B10315" s="9">
        <v>0.08</v>
      </c>
    </row>
    <row r="10316" spans="1:2" x14ac:dyDescent="0.25">
      <c r="A10316" t="s">
        <v>10667</v>
      </c>
      <c r="B10316" s="9">
        <v>0</v>
      </c>
    </row>
    <row r="10317" spans="1:2" x14ac:dyDescent="0.25">
      <c r="A10317" t="s">
        <v>10668</v>
      </c>
      <c r="B10317" s="9">
        <v>0.08</v>
      </c>
    </row>
    <row r="10318" spans="1:2" x14ac:dyDescent="0.25">
      <c r="A10318" t="s">
        <v>10669</v>
      </c>
      <c r="B10318" s="9">
        <v>0.08</v>
      </c>
    </row>
    <row r="10319" spans="1:2" x14ac:dyDescent="0.25">
      <c r="A10319" t="s">
        <v>10670</v>
      </c>
      <c r="B10319" s="9">
        <v>0</v>
      </c>
    </row>
    <row r="10320" spans="1:2" x14ac:dyDescent="0.25">
      <c r="A10320" t="s">
        <v>10671</v>
      </c>
      <c r="B10320" s="9">
        <v>0</v>
      </c>
    </row>
    <row r="10321" spans="1:3" x14ac:dyDescent="0.25">
      <c r="A10321" t="s">
        <v>10672</v>
      </c>
      <c r="B10321" s="9">
        <v>0</v>
      </c>
    </row>
    <row r="10322" spans="1:3" x14ac:dyDescent="0.25">
      <c r="A10322" t="s">
        <v>10673</v>
      </c>
      <c r="B10322" s="9">
        <v>0.08</v>
      </c>
    </row>
    <row r="10323" spans="1:3" x14ac:dyDescent="0.25">
      <c r="A10323" t="s">
        <v>10674</v>
      </c>
      <c r="B10323" s="9">
        <v>0.02</v>
      </c>
    </row>
    <row r="10324" spans="1:3" x14ac:dyDescent="0.25">
      <c r="A10324" t="s">
        <v>10675</v>
      </c>
      <c r="B10324" s="9">
        <v>0.02</v>
      </c>
    </row>
    <row r="10325" spans="1:3" x14ac:dyDescent="0.25">
      <c r="A10325" t="s">
        <v>10676</v>
      </c>
      <c r="B10325" s="9">
        <v>0.08</v>
      </c>
    </row>
    <row r="10326" spans="1:3" x14ac:dyDescent="0.25">
      <c r="A10326" t="s">
        <v>10677</v>
      </c>
      <c r="B10326" s="9">
        <v>0.08</v>
      </c>
    </row>
    <row r="10327" spans="1:3" x14ac:dyDescent="0.25">
      <c r="A10327" t="s">
        <v>10678</v>
      </c>
      <c r="B10327" s="9">
        <v>0.08</v>
      </c>
    </row>
    <row r="10328" spans="1:3" x14ac:dyDescent="0.25">
      <c r="A10328" t="s">
        <v>10679</v>
      </c>
      <c r="B10328" s="9">
        <v>0</v>
      </c>
    </row>
    <row r="10329" spans="1:3" x14ac:dyDescent="0.25">
      <c r="A10329" t="s">
        <v>10680</v>
      </c>
      <c r="B10329" s="9">
        <v>0.08</v>
      </c>
    </row>
    <row r="10330" spans="1:3" x14ac:dyDescent="0.25">
      <c r="A10330" t="s">
        <v>229</v>
      </c>
      <c r="B10330" s="9">
        <v>0</v>
      </c>
      <c r="C10330" t="s">
        <v>229</v>
      </c>
    </row>
    <row r="10331" spans="1:3" x14ac:dyDescent="0.25">
      <c r="A10331" t="s">
        <v>10681</v>
      </c>
      <c r="B10331" s="9">
        <v>0</v>
      </c>
    </row>
    <row r="10332" spans="1:3" x14ac:dyDescent="0.25">
      <c r="A10332" t="s">
        <v>10682</v>
      </c>
      <c r="B10332" s="9">
        <v>0</v>
      </c>
    </row>
    <row r="10333" spans="1:3" x14ac:dyDescent="0.25">
      <c r="A10333" t="s">
        <v>230</v>
      </c>
      <c r="B10333" s="9">
        <v>0</v>
      </c>
      <c r="C10333" t="s">
        <v>230</v>
      </c>
    </row>
    <row r="10334" spans="1:3" x14ac:dyDescent="0.25">
      <c r="A10334" t="s">
        <v>10683</v>
      </c>
      <c r="B10334" s="9">
        <v>0</v>
      </c>
    </row>
    <row r="10335" spans="1:3" x14ac:dyDescent="0.25">
      <c r="A10335" t="s">
        <v>10684</v>
      </c>
      <c r="B10335" s="9">
        <v>0</v>
      </c>
    </row>
    <row r="10336" spans="1:3" x14ac:dyDescent="0.25">
      <c r="A10336" t="s">
        <v>10685</v>
      </c>
      <c r="B10336" s="9">
        <v>0</v>
      </c>
    </row>
    <row r="10337" spans="1:2" x14ac:dyDescent="0.25">
      <c r="A10337" t="s">
        <v>10686</v>
      </c>
      <c r="B10337" s="9">
        <v>0</v>
      </c>
    </row>
    <row r="10338" spans="1:2" x14ac:dyDescent="0.25">
      <c r="A10338" t="s">
        <v>10687</v>
      </c>
      <c r="B10338" s="9">
        <v>0</v>
      </c>
    </row>
    <row r="10339" spans="1:2" x14ac:dyDescent="0.25">
      <c r="A10339" t="s">
        <v>10688</v>
      </c>
      <c r="B10339" s="9">
        <v>0</v>
      </c>
    </row>
    <row r="10340" spans="1:2" x14ac:dyDescent="0.25">
      <c r="A10340" t="s">
        <v>10689</v>
      </c>
      <c r="B10340" s="9">
        <v>0</v>
      </c>
    </row>
    <row r="10341" spans="1:2" x14ac:dyDescent="0.25">
      <c r="A10341" t="s">
        <v>10690</v>
      </c>
      <c r="B10341" s="9">
        <v>0</v>
      </c>
    </row>
    <row r="10342" spans="1:2" x14ac:dyDescent="0.25">
      <c r="A10342" t="s">
        <v>10691</v>
      </c>
      <c r="B10342" s="9">
        <v>0</v>
      </c>
    </row>
    <row r="10343" spans="1:2" x14ac:dyDescent="0.25">
      <c r="A10343" t="s">
        <v>10692</v>
      </c>
      <c r="B10343" s="9">
        <v>0</v>
      </c>
    </row>
    <row r="10344" spans="1:2" x14ac:dyDescent="0.25">
      <c r="A10344" t="s">
        <v>10693</v>
      </c>
      <c r="B10344" s="9">
        <v>0</v>
      </c>
    </row>
    <row r="10345" spans="1:2" x14ac:dyDescent="0.25">
      <c r="A10345" t="s">
        <v>10694</v>
      </c>
      <c r="B10345" s="9">
        <v>0</v>
      </c>
    </row>
    <row r="10346" spans="1:2" x14ac:dyDescent="0.25">
      <c r="A10346" t="s">
        <v>10695</v>
      </c>
      <c r="B10346" s="9">
        <v>0</v>
      </c>
    </row>
    <row r="10347" spans="1:2" x14ac:dyDescent="0.25">
      <c r="A10347" t="s">
        <v>10696</v>
      </c>
      <c r="B10347" s="9">
        <v>0</v>
      </c>
    </row>
    <row r="10348" spans="1:2" x14ac:dyDescent="0.25">
      <c r="A10348" t="s">
        <v>10697</v>
      </c>
      <c r="B10348" s="9">
        <v>0</v>
      </c>
    </row>
    <row r="10349" spans="1:2" x14ac:dyDescent="0.25">
      <c r="A10349" t="s">
        <v>10698</v>
      </c>
      <c r="B10349" s="9">
        <v>0</v>
      </c>
    </row>
    <row r="10350" spans="1:2" x14ac:dyDescent="0.25">
      <c r="A10350" t="s">
        <v>10699</v>
      </c>
      <c r="B10350" s="9">
        <v>0</v>
      </c>
    </row>
    <row r="10351" spans="1:2" x14ac:dyDescent="0.25">
      <c r="A10351" t="s">
        <v>10700</v>
      </c>
      <c r="B10351" s="9">
        <v>0</v>
      </c>
    </row>
    <row r="10352" spans="1:2" x14ac:dyDescent="0.25">
      <c r="A10352" t="s">
        <v>10701</v>
      </c>
      <c r="B10352" s="9">
        <v>0</v>
      </c>
    </row>
    <row r="10353" spans="1:2" x14ac:dyDescent="0.25">
      <c r="A10353" t="s">
        <v>10702</v>
      </c>
      <c r="B10353" s="9">
        <v>0</v>
      </c>
    </row>
    <row r="10354" spans="1:2" x14ac:dyDescent="0.25">
      <c r="A10354" t="s">
        <v>10703</v>
      </c>
      <c r="B10354" s="9">
        <v>0</v>
      </c>
    </row>
    <row r="10355" spans="1:2" x14ac:dyDescent="0.25">
      <c r="A10355" t="s">
        <v>10704</v>
      </c>
      <c r="B10355" s="9">
        <v>0</v>
      </c>
    </row>
    <row r="10356" spans="1:2" x14ac:dyDescent="0.25">
      <c r="A10356" t="s">
        <v>10705</v>
      </c>
      <c r="B10356" s="9">
        <v>0</v>
      </c>
    </row>
    <row r="10357" spans="1:2" x14ac:dyDescent="0.25">
      <c r="A10357" t="s">
        <v>10706</v>
      </c>
      <c r="B10357" s="9">
        <v>0</v>
      </c>
    </row>
    <row r="10358" spans="1:2" x14ac:dyDescent="0.25">
      <c r="A10358" t="s">
        <v>10707</v>
      </c>
      <c r="B10358" s="9">
        <v>0.05</v>
      </c>
    </row>
    <row r="10359" spans="1:2" x14ac:dyDescent="0.25">
      <c r="A10359" t="s">
        <v>10708</v>
      </c>
      <c r="B10359" s="9">
        <v>0.05</v>
      </c>
    </row>
    <row r="10360" spans="1:2" x14ac:dyDescent="0.25">
      <c r="A10360" t="s">
        <v>10709</v>
      </c>
      <c r="B10360" s="9">
        <v>0.05</v>
      </c>
    </row>
    <row r="10361" spans="1:2" x14ac:dyDescent="0.25">
      <c r="A10361" t="s">
        <v>10710</v>
      </c>
      <c r="B10361" s="9">
        <v>0.05</v>
      </c>
    </row>
    <row r="10362" spans="1:2" x14ac:dyDescent="0.25">
      <c r="A10362" t="s">
        <v>10711</v>
      </c>
      <c r="B10362" s="9">
        <v>0.05</v>
      </c>
    </row>
    <row r="10363" spans="1:2" x14ac:dyDescent="0.25">
      <c r="A10363" t="s">
        <v>10712</v>
      </c>
      <c r="B10363" s="9">
        <v>0.05</v>
      </c>
    </row>
    <row r="10364" spans="1:2" x14ac:dyDescent="0.25">
      <c r="A10364" t="s">
        <v>10713</v>
      </c>
      <c r="B10364" s="9">
        <v>0.05</v>
      </c>
    </row>
    <row r="10365" spans="1:2" x14ac:dyDescent="0.25">
      <c r="A10365" t="s">
        <v>10714</v>
      </c>
      <c r="B10365" s="9">
        <v>0.05</v>
      </c>
    </row>
    <row r="10366" spans="1:2" x14ac:dyDescent="0.25">
      <c r="A10366" t="s">
        <v>10715</v>
      </c>
      <c r="B10366" s="9">
        <v>0.05</v>
      </c>
    </row>
    <row r="10367" spans="1:2" x14ac:dyDescent="0.25">
      <c r="A10367" t="s">
        <v>10716</v>
      </c>
      <c r="B10367" s="9">
        <v>0.05</v>
      </c>
    </row>
    <row r="10368" spans="1:2" x14ac:dyDescent="0.25">
      <c r="A10368" t="s">
        <v>10717</v>
      </c>
      <c r="B10368" s="9">
        <v>0.05</v>
      </c>
    </row>
    <row r="10369" spans="1:2" x14ac:dyDescent="0.25">
      <c r="A10369" t="s">
        <v>10718</v>
      </c>
      <c r="B10369" s="9">
        <v>0.05</v>
      </c>
    </row>
    <row r="10370" spans="1:2" x14ac:dyDescent="0.25">
      <c r="A10370" t="s">
        <v>10719</v>
      </c>
      <c r="B10370" s="9">
        <v>0</v>
      </c>
    </row>
    <row r="10371" spans="1:2" x14ac:dyDescent="0.25">
      <c r="A10371" t="s">
        <v>10720</v>
      </c>
      <c r="B10371" s="9">
        <v>0</v>
      </c>
    </row>
    <row r="10372" spans="1:2" x14ac:dyDescent="0.25">
      <c r="A10372" t="s">
        <v>10721</v>
      </c>
      <c r="B10372" s="9">
        <v>0</v>
      </c>
    </row>
    <row r="10373" spans="1:2" x14ac:dyDescent="0.25">
      <c r="A10373" t="s">
        <v>10722</v>
      </c>
      <c r="B10373" s="9">
        <v>0</v>
      </c>
    </row>
    <row r="10374" spans="1:2" x14ac:dyDescent="0.25">
      <c r="A10374" t="s">
        <v>10723</v>
      </c>
      <c r="B10374" s="9">
        <v>0</v>
      </c>
    </row>
    <row r="10375" spans="1:2" x14ac:dyDescent="0.25">
      <c r="A10375" t="s">
        <v>10724</v>
      </c>
      <c r="B10375" s="9">
        <v>0</v>
      </c>
    </row>
    <row r="10376" spans="1:2" x14ac:dyDescent="0.25">
      <c r="A10376" t="s">
        <v>10725</v>
      </c>
      <c r="B10376" s="9">
        <v>0.05</v>
      </c>
    </row>
    <row r="10377" spans="1:2" x14ac:dyDescent="0.25">
      <c r="A10377" t="s">
        <v>10726</v>
      </c>
      <c r="B10377" s="9">
        <v>0.05</v>
      </c>
    </row>
    <row r="10378" spans="1:2" x14ac:dyDescent="0.25">
      <c r="A10378" t="s">
        <v>10727</v>
      </c>
      <c r="B10378" s="9">
        <v>0.05</v>
      </c>
    </row>
    <row r="10379" spans="1:2" x14ac:dyDescent="0.25">
      <c r="A10379" t="s">
        <v>10728</v>
      </c>
      <c r="B10379" s="9">
        <v>0.05</v>
      </c>
    </row>
    <row r="10380" spans="1:2" x14ac:dyDescent="0.25">
      <c r="A10380" t="s">
        <v>10729</v>
      </c>
      <c r="B10380" s="9">
        <v>0.05</v>
      </c>
    </row>
    <row r="10381" spans="1:2" x14ac:dyDescent="0.25">
      <c r="A10381" t="s">
        <v>10730</v>
      </c>
      <c r="B10381" s="9">
        <v>0.15</v>
      </c>
    </row>
    <row r="10382" spans="1:2" x14ac:dyDescent="0.25">
      <c r="A10382" t="s">
        <v>10731</v>
      </c>
      <c r="B10382" s="9">
        <v>0</v>
      </c>
    </row>
    <row r="10383" spans="1:2" x14ac:dyDescent="0.25">
      <c r="A10383" t="s">
        <v>10732</v>
      </c>
      <c r="B10383" s="9">
        <v>0</v>
      </c>
    </row>
    <row r="10384" spans="1:2" x14ac:dyDescent="0.25">
      <c r="A10384" t="s">
        <v>10733</v>
      </c>
      <c r="B10384" s="9">
        <v>0</v>
      </c>
    </row>
    <row r="10385" spans="1:2" x14ac:dyDescent="0.25">
      <c r="A10385" t="s">
        <v>10734</v>
      </c>
      <c r="B10385" s="9">
        <v>0</v>
      </c>
    </row>
    <row r="10386" spans="1:2" x14ac:dyDescent="0.25">
      <c r="A10386" t="s">
        <v>10735</v>
      </c>
      <c r="B10386" s="9">
        <v>0</v>
      </c>
    </row>
    <row r="10387" spans="1:2" x14ac:dyDescent="0.25">
      <c r="A10387" t="s">
        <v>10736</v>
      </c>
      <c r="B10387" s="9">
        <v>0</v>
      </c>
    </row>
    <row r="10388" spans="1:2" x14ac:dyDescent="0.25">
      <c r="A10388" t="s">
        <v>10737</v>
      </c>
      <c r="B10388" s="9">
        <v>0</v>
      </c>
    </row>
    <row r="10389" spans="1:2" x14ac:dyDescent="0.25">
      <c r="A10389" t="s">
        <v>10738</v>
      </c>
      <c r="B10389" s="9">
        <v>0</v>
      </c>
    </row>
    <row r="10390" spans="1:2" x14ac:dyDescent="0.25">
      <c r="A10390" t="s">
        <v>10739</v>
      </c>
      <c r="B10390" s="9">
        <v>0</v>
      </c>
    </row>
    <row r="10391" spans="1:2" x14ac:dyDescent="0.25">
      <c r="A10391" t="s">
        <v>10740</v>
      </c>
      <c r="B10391" s="9">
        <v>0</v>
      </c>
    </row>
    <row r="10392" spans="1:2" x14ac:dyDescent="0.25">
      <c r="A10392" t="s">
        <v>10741</v>
      </c>
      <c r="B10392" s="9">
        <v>0.05</v>
      </c>
    </row>
    <row r="10393" spans="1:2" x14ac:dyDescent="0.25">
      <c r="A10393" t="s">
        <v>10742</v>
      </c>
      <c r="B10393" s="9">
        <v>0.15</v>
      </c>
    </row>
    <row r="10394" spans="1:2" x14ac:dyDescent="0.25">
      <c r="A10394" t="s">
        <v>10743</v>
      </c>
      <c r="B10394" s="9">
        <v>0.15</v>
      </c>
    </row>
    <row r="10395" spans="1:2" x14ac:dyDescent="0.25">
      <c r="A10395" t="s">
        <v>10744</v>
      </c>
      <c r="B10395" s="9">
        <v>0.15</v>
      </c>
    </row>
    <row r="10396" spans="1:2" x14ac:dyDescent="0.25">
      <c r="A10396" t="s">
        <v>10745</v>
      </c>
      <c r="B10396" s="9">
        <v>0.15</v>
      </c>
    </row>
    <row r="10397" spans="1:2" x14ac:dyDescent="0.25">
      <c r="A10397" t="s">
        <v>10746</v>
      </c>
      <c r="B10397" s="9">
        <v>0.15</v>
      </c>
    </row>
    <row r="10398" spans="1:2" x14ac:dyDescent="0.25">
      <c r="A10398" t="s">
        <v>10747</v>
      </c>
      <c r="B10398" s="9">
        <v>0.15</v>
      </c>
    </row>
    <row r="10399" spans="1:2" x14ac:dyDescent="0.25">
      <c r="A10399" t="s">
        <v>10748</v>
      </c>
      <c r="B10399" s="9">
        <v>0.15</v>
      </c>
    </row>
    <row r="10400" spans="1:2" x14ac:dyDescent="0.25">
      <c r="A10400" t="s">
        <v>10749</v>
      </c>
      <c r="B10400" s="9">
        <v>0.15</v>
      </c>
    </row>
    <row r="10401" spans="1:2" x14ac:dyDescent="0.25">
      <c r="A10401" t="s">
        <v>10750</v>
      </c>
      <c r="B10401" s="9">
        <v>0</v>
      </c>
    </row>
    <row r="10402" spans="1:2" x14ac:dyDescent="0.25">
      <c r="A10402" t="s">
        <v>10751</v>
      </c>
      <c r="B10402" s="9">
        <v>0</v>
      </c>
    </row>
    <row r="10403" spans="1:2" x14ac:dyDescent="0.25">
      <c r="A10403" t="s">
        <v>10752</v>
      </c>
      <c r="B10403" s="9">
        <v>0</v>
      </c>
    </row>
    <row r="10404" spans="1:2" x14ac:dyDescent="0.25">
      <c r="A10404" t="s">
        <v>10753</v>
      </c>
      <c r="B10404" s="9">
        <v>0</v>
      </c>
    </row>
    <row r="10405" spans="1:2" x14ac:dyDescent="0.25">
      <c r="A10405" t="s">
        <v>10754</v>
      </c>
      <c r="B10405" s="9">
        <v>0.15</v>
      </c>
    </row>
    <row r="10406" spans="1:2" x14ac:dyDescent="0.25">
      <c r="A10406" t="s">
        <v>10755</v>
      </c>
      <c r="B10406" s="9">
        <v>0.15</v>
      </c>
    </row>
    <row r="10407" spans="1:2" x14ac:dyDescent="0.25">
      <c r="A10407" t="s">
        <v>10756</v>
      </c>
      <c r="B10407" s="9">
        <v>0.15</v>
      </c>
    </row>
    <row r="10408" spans="1:2" x14ac:dyDescent="0.25">
      <c r="A10408" t="s">
        <v>10757</v>
      </c>
      <c r="B10408" s="9">
        <v>0.15</v>
      </c>
    </row>
    <row r="10409" spans="1:2" x14ac:dyDescent="0.25">
      <c r="A10409" t="s">
        <v>10758</v>
      </c>
      <c r="B10409" s="9">
        <v>0</v>
      </c>
    </row>
    <row r="10410" spans="1:2" x14ac:dyDescent="0.25">
      <c r="A10410" t="s">
        <v>10759</v>
      </c>
      <c r="B10410" s="9">
        <v>0</v>
      </c>
    </row>
    <row r="10411" spans="1:2" x14ac:dyDescent="0.25">
      <c r="A10411" t="s">
        <v>10760</v>
      </c>
      <c r="B10411" s="9">
        <v>0</v>
      </c>
    </row>
    <row r="10412" spans="1:2" x14ac:dyDescent="0.25">
      <c r="A10412" t="s">
        <v>10761</v>
      </c>
      <c r="B10412" s="9">
        <v>0</v>
      </c>
    </row>
    <row r="10413" spans="1:2" x14ac:dyDescent="0.25">
      <c r="A10413" t="s">
        <v>10762</v>
      </c>
      <c r="B10413" s="9">
        <v>0</v>
      </c>
    </row>
    <row r="10414" spans="1:2" x14ac:dyDescent="0.25">
      <c r="A10414" t="s">
        <v>10763</v>
      </c>
      <c r="B10414" s="9">
        <v>0</v>
      </c>
    </row>
    <row r="10415" spans="1:2" x14ac:dyDescent="0.25">
      <c r="A10415" t="s">
        <v>10764</v>
      </c>
      <c r="B10415" s="9">
        <v>0</v>
      </c>
    </row>
    <row r="10416" spans="1:2" x14ac:dyDescent="0.25">
      <c r="A10416" t="s">
        <v>10765</v>
      </c>
      <c r="B10416" s="9">
        <v>0</v>
      </c>
    </row>
    <row r="10417" spans="1:2" x14ac:dyDescent="0.25">
      <c r="A10417" t="s">
        <v>10766</v>
      </c>
      <c r="B10417" s="9">
        <v>0</v>
      </c>
    </row>
    <row r="10418" spans="1:2" x14ac:dyDescent="0.25">
      <c r="A10418" t="s">
        <v>10767</v>
      </c>
      <c r="B10418" s="9">
        <v>0</v>
      </c>
    </row>
    <row r="10419" spans="1:2" x14ac:dyDescent="0.25">
      <c r="A10419" t="s">
        <v>10768</v>
      </c>
      <c r="B10419" s="9">
        <v>0</v>
      </c>
    </row>
    <row r="10420" spans="1:2" x14ac:dyDescent="0.25">
      <c r="A10420" t="s">
        <v>10769</v>
      </c>
      <c r="B10420" s="9">
        <v>0</v>
      </c>
    </row>
    <row r="10421" spans="1:2" x14ac:dyDescent="0.25">
      <c r="A10421" t="s">
        <v>10770</v>
      </c>
      <c r="B10421" s="9">
        <v>0</v>
      </c>
    </row>
    <row r="10422" spans="1:2" x14ac:dyDescent="0.25">
      <c r="A10422" t="s">
        <v>10771</v>
      </c>
      <c r="B10422" s="9">
        <v>0</v>
      </c>
    </row>
    <row r="10423" spans="1:2" x14ac:dyDescent="0.25">
      <c r="A10423" t="s">
        <v>10772</v>
      </c>
      <c r="B10423" s="9">
        <v>0</v>
      </c>
    </row>
    <row r="10424" spans="1:2" x14ac:dyDescent="0.25">
      <c r="A10424" t="s">
        <v>10773</v>
      </c>
      <c r="B10424" s="9">
        <v>0</v>
      </c>
    </row>
    <row r="10425" spans="1:2" x14ac:dyDescent="0.25">
      <c r="A10425" t="s">
        <v>10774</v>
      </c>
      <c r="B10425" s="9">
        <v>0</v>
      </c>
    </row>
    <row r="10426" spans="1:2" x14ac:dyDescent="0.25">
      <c r="A10426" t="s">
        <v>10775</v>
      </c>
      <c r="B10426" s="9">
        <v>0</v>
      </c>
    </row>
    <row r="10427" spans="1:2" x14ac:dyDescent="0.25">
      <c r="A10427" t="s">
        <v>10776</v>
      </c>
      <c r="B10427" s="9">
        <v>0</v>
      </c>
    </row>
    <row r="10428" spans="1:2" x14ac:dyDescent="0.25">
      <c r="A10428" t="s">
        <v>10777</v>
      </c>
      <c r="B10428" s="9">
        <v>0</v>
      </c>
    </row>
    <row r="10429" spans="1:2" x14ac:dyDescent="0.25">
      <c r="A10429" t="s">
        <v>10778</v>
      </c>
      <c r="B10429" s="9">
        <v>0</v>
      </c>
    </row>
    <row r="10430" spans="1:2" x14ac:dyDescent="0.25">
      <c r="A10430" t="s">
        <v>10779</v>
      </c>
      <c r="B10430" s="9">
        <v>0</v>
      </c>
    </row>
    <row r="10431" spans="1:2" x14ac:dyDescent="0.25">
      <c r="A10431" t="s">
        <v>10780</v>
      </c>
      <c r="B10431" s="9">
        <v>0</v>
      </c>
    </row>
    <row r="10432" spans="1:2" x14ac:dyDescent="0.25">
      <c r="A10432" t="s">
        <v>10781</v>
      </c>
      <c r="B10432" s="9">
        <v>0.05</v>
      </c>
    </row>
    <row r="10433" spans="1:2" x14ac:dyDescent="0.25">
      <c r="A10433" t="s">
        <v>10782</v>
      </c>
      <c r="B10433" s="9">
        <v>0.05</v>
      </c>
    </row>
    <row r="10434" spans="1:2" x14ac:dyDescent="0.25">
      <c r="A10434" t="s">
        <v>10783</v>
      </c>
      <c r="B10434" s="9">
        <v>0.05</v>
      </c>
    </row>
    <row r="10435" spans="1:2" x14ac:dyDescent="0.25">
      <c r="A10435" t="s">
        <v>10784</v>
      </c>
      <c r="B10435" s="9">
        <v>0.05</v>
      </c>
    </row>
    <row r="10436" spans="1:2" x14ac:dyDescent="0.25">
      <c r="A10436" t="s">
        <v>10785</v>
      </c>
      <c r="B10436" s="9">
        <v>0.05</v>
      </c>
    </row>
    <row r="10437" spans="1:2" x14ac:dyDescent="0.25">
      <c r="A10437" t="s">
        <v>10786</v>
      </c>
      <c r="B10437" s="9">
        <v>0.05</v>
      </c>
    </row>
    <row r="10438" spans="1:2" x14ac:dyDescent="0.25">
      <c r="A10438" t="s">
        <v>10787</v>
      </c>
      <c r="B10438" s="9">
        <v>0.05</v>
      </c>
    </row>
    <row r="10439" spans="1:2" x14ac:dyDescent="0.25">
      <c r="A10439" t="s">
        <v>10788</v>
      </c>
      <c r="B10439" s="9">
        <v>0.05</v>
      </c>
    </row>
    <row r="10440" spans="1:2" x14ac:dyDescent="0.25">
      <c r="A10440" t="s">
        <v>10789</v>
      </c>
      <c r="B10440" s="9">
        <v>0.05</v>
      </c>
    </row>
    <row r="10441" spans="1:2" x14ac:dyDescent="0.25">
      <c r="A10441" t="s">
        <v>10790</v>
      </c>
      <c r="B10441" s="9">
        <v>0.15</v>
      </c>
    </row>
    <row r="10442" spans="1:2" x14ac:dyDescent="0.25">
      <c r="A10442" t="s">
        <v>10791</v>
      </c>
      <c r="B10442" s="9">
        <v>0.05</v>
      </c>
    </row>
    <row r="10443" spans="1:2" x14ac:dyDescent="0.25">
      <c r="A10443" t="s">
        <v>10792</v>
      </c>
      <c r="B10443" s="9">
        <v>0.15</v>
      </c>
    </row>
    <row r="10444" spans="1:2" x14ac:dyDescent="0.25">
      <c r="A10444" t="s">
        <v>10793</v>
      </c>
      <c r="B10444" s="9">
        <v>0.05</v>
      </c>
    </row>
    <row r="10445" spans="1:2" x14ac:dyDescent="0.25">
      <c r="A10445" t="s">
        <v>10794</v>
      </c>
      <c r="B10445" s="9">
        <v>0.15</v>
      </c>
    </row>
    <row r="10446" spans="1:2" x14ac:dyDescent="0.25">
      <c r="A10446" t="s">
        <v>10795</v>
      </c>
      <c r="B10446" s="9">
        <v>0.05</v>
      </c>
    </row>
    <row r="10447" spans="1:2" x14ac:dyDescent="0.25">
      <c r="A10447" t="s">
        <v>10796</v>
      </c>
      <c r="B10447" s="9">
        <v>0.05</v>
      </c>
    </row>
    <row r="10448" spans="1:2" x14ac:dyDescent="0.25">
      <c r="A10448" t="s">
        <v>10797</v>
      </c>
      <c r="B10448" s="9">
        <v>0.15</v>
      </c>
    </row>
    <row r="10449" spans="1:3" x14ac:dyDescent="0.25">
      <c r="A10449" t="s">
        <v>10798</v>
      </c>
      <c r="B10449" s="9">
        <v>0.15</v>
      </c>
    </row>
    <row r="10450" spans="1:3" x14ac:dyDescent="0.25">
      <c r="A10450" t="s">
        <v>10799</v>
      </c>
      <c r="B10450" s="9">
        <v>0.15</v>
      </c>
    </row>
    <row r="10451" spans="1:3" x14ac:dyDescent="0.25">
      <c r="A10451" t="s">
        <v>10800</v>
      </c>
      <c r="B10451" s="9">
        <v>0.15</v>
      </c>
    </row>
    <row r="10452" spans="1:3" x14ac:dyDescent="0.25">
      <c r="A10452" t="s">
        <v>231</v>
      </c>
      <c r="B10452" s="9">
        <v>0.15</v>
      </c>
      <c r="C10452" t="s">
        <v>231</v>
      </c>
    </row>
    <row r="10453" spans="1:3" x14ac:dyDescent="0.25">
      <c r="A10453" t="s">
        <v>10801</v>
      </c>
      <c r="B10453" s="9">
        <v>0.04</v>
      </c>
    </row>
    <row r="10454" spans="1:3" x14ac:dyDescent="0.25">
      <c r="A10454" t="s">
        <v>10802</v>
      </c>
      <c r="B10454" s="9">
        <v>0.15</v>
      </c>
    </row>
    <row r="10455" spans="1:3" x14ac:dyDescent="0.25">
      <c r="A10455" t="s">
        <v>232</v>
      </c>
      <c r="B10455" s="9">
        <v>0.15</v>
      </c>
      <c r="C10455" t="s">
        <v>232</v>
      </c>
    </row>
    <row r="10456" spans="1:3" x14ac:dyDescent="0.25">
      <c r="A10456" t="s">
        <v>10803</v>
      </c>
      <c r="B10456" s="9">
        <v>0.15</v>
      </c>
    </row>
    <row r="10457" spans="1:3" x14ac:dyDescent="0.25">
      <c r="A10457" t="s">
        <v>10804</v>
      </c>
      <c r="B10457" s="9">
        <v>0.05</v>
      </c>
    </row>
    <row r="10458" spans="1:3" x14ac:dyDescent="0.25">
      <c r="A10458" t="s">
        <v>10805</v>
      </c>
      <c r="B10458" s="9">
        <v>0.05</v>
      </c>
    </row>
    <row r="10459" spans="1:3" x14ac:dyDescent="0.25">
      <c r="A10459" t="s">
        <v>10806</v>
      </c>
      <c r="B10459" s="9">
        <v>0.05</v>
      </c>
    </row>
    <row r="10460" spans="1:3" x14ac:dyDescent="0.25">
      <c r="A10460" t="s">
        <v>10807</v>
      </c>
      <c r="B10460" s="9">
        <v>0.05</v>
      </c>
    </row>
    <row r="10461" spans="1:3" x14ac:dyDescent="0.25">
      <c r="A10461" t="s">
        <v>10808</v>
      </c>
      <c r="B10461" s="9">
        <v>0.05</v>
      </c>
    </row>
    <row r="10462" spans="1:3" x14ac:dyDescent="0.25">
      <c r="A10462" t="s">
        <v>10809</v>
      </c>
      <c r="B10462" s="9">
        <v>0.05</v>
      </c>
    </row>
    <row r="10463" spans="1:3" x14ac:dyDescent="0.25">
      <c r="A10463" t="s">
        <v>10810</v>
      </c>
      <c r="B10463" s="9">
        <v>0.05</v>
      </c>
    </row>
    <row r="10464" spans="1:3" x14ac:dyDescent="0.25">
      <c r="A10464" t="s">
        <v>10811</v>
      </c>
      <c r="B10464" s="9">
        <v>0.05</v>
      </c>
    </row>
    <row r="10465" spans="1:3" x14ac:dyDescent="0.25">
      <c r="A10465" t="s">
        <v>10812</v>
      </c>
      <c r="B10465" s="9">
        <v>0.05</v>
      </c>
    </row>
    <row r="10466" spans="1:3" x14ac:dyDescent="0.25">
      <c r="A10466" t="s">
        <v>10813</v>
      </c>
      <c r="B10466" s="9">
        <v>0.05</v>
      </c>
    </row>
    <row r="10467" spans="1:3" x14ac:dyDescent="0.25">
      <c r="A10467" t="s">
        <v>10814</v>
      </c>
      <c r="B10467" s="9">
        <v>0.05</v>
      </c>
    </row>
    <row r="10468" spans="1:3" x14ac:dyDescent="0.25">
      <c r="A10468" t="s">
        <v>233</v>
      </c>
      <c r="B10468" s="9">
        <v>0.05</v>
      </c>
      <c r="C10468" t="s">
        <v>233</v>
      </c>
    </row>
    <row r="10469" spans="1:3" x14ac:dyDescent="0.25">
      <c r="A10469" t="s">
        <v>10815</v>
      </c>
      <c r="B10469" s="9">
        <v>0.05</v>
      </c>
    </row>
    <row r="10470" spans="1:3" x14ac:dyDescent="0.25">
      <c r="A10470" t="s">
        <v>10816</v>
      </c>
      <c r="B10470" s="9">
        <v>0.05</v>
      </c>
    </row>
    <row r="10471" spans="1:3" x14ac:dyDescent="0.25">
      <c r="A10471" t="s">
        <v>10817</v>
      </c>
      <c r="B10471" s="9">
        <v>0.05</v>
      </c>
    </row>
    <row r="10472" spans="1:3" x14ac:dyDescent="0.25">
      <c r="A10472" t="s">
        <v>10818</v>
      </c>
      <c r="B10472" s="9">
        <v>0.05</v>
      </c>
    </row>
    <row r="10473" spans="1:3" x14ac:dyDescent="0.25">
      <c r="A10473" t="s">
        <v>10819</v>
      </c>
      <c r="B10473" s="9">
        <v>0.05</v>
      </c>
    </row>
    <row r="10474" spans="1:3" x14ac:dyDescent="0.25">
      <c r="A10474" t="s">
        <v>10820</v>
      </c>
      <c r="B10474" s="9">
        <v>0.05</v>
      </c>
    </row>
    <row r="10475" spans="1:3" x14ac:dyDescent="0.25">
      <c r="A10475" t="s">
        <v>10821</v>
      </c>
      <c r="B10475" s="9">
        <v>0.05</v>
      </c>
    </row>
    <row r="10476" spans="1:3" x14ac:dyDescent="0.25">
      <c r="A10476" t="s">
        <v>10822</v>
      </c>
      <c r="B10476" s="9">
        <v>0.05</v>
      </c>
    </row>
    <row r="10477" spans="1:3" x14ac:dyDescent="0.25">
      <c r="A10477" t="s">
        <v>10823</v>
      </c>
      <c r="B10477" s="9">
        <v>0.05</v>
      </c>
    </row>
    <row r="10478" spans="1:3" x14ac:dyDescent="0.25">
      <c r="A10478" t="s">
        <v>10824</v>
      </c>
      <c r="B10478" s="9">
        <v>0.05</v>
      </c>
    </row>
    <row r="10479" spans="1:3" x14ac:dyDescent="0.25">
      <c r="A10479" t="s">
        <v>10825</v>
      </c>
      <c r="B10479" s="9">
        <v>0.05</v>
      </c>
    </row>
    <row r="10480" spans="1:3" x14ac:dyDescent="0.25">
      <c r="A10480" t="s">
        <v>10826</v>
      </c>
      <c r="B10480" s="9">
        <v>0.05</v>
      </c>
    </row>
    <row r="10481" spans="1:2" x14ac:dyDescent="0.25">
      <c r="A10481" t="s">
        <v>10827</v>
      </c>
      <c r="B10481" s="9">
        <v>0.05</v>
      </c>
    </row>
    <row r="10482" spans="1:2" x14ac:dyDescent="0.25">
      <c r="A10482" t="s">
        <v>10828</v>
      </c>
      <c r="B10482" s="9">
        <v>0.05</v>
      </c>
    </row>
    <row r="10483" spans="1:2" x14ac:dyDescent="0.25">
      <c r="A10483" t="s">
        <v>10829</v>
      </c>
      <c r="B10483" s="9">
        <v>0.05</v>
      </c>
    </row>
    <row r="10484" spans="1:2" x14ac:dyDescent="0.25">
      <c r="A10484" t="s">
        <v>10830</v>
      </c>
      <c r="B10484" s="9">
        <v>0.05</v>
      </c>
    </row>
    <row r="10485" spans="1:2" x14ac:dyDescent="0.25">
      <c r="A10485" t="s">
        <v>10831</v>
      </c>
      <c r="B10485" s="9">
        <v>0.05</v>
      </c>
    </row>
    <row r="10486" spans="1:2" x14ac:dyDescent="0.25">
      <c r="A10486" t="s">
        <v>10832</v>
      </c>
      <c r="B10486" s="9">
        <v>0.05</v>
      </c>
    </row>
    <row r="10487" spans="1:2" x14ac:dyDescent="0.25">
      <c r="A10487" t="s">
        <v>10833</v>
      </c>
      <c r="B10487" s="9">
        <v>0.05</v>
      </c>
    </row>
    <row r="10488" spans="1:2" x14ac:dyDescent="0.25">
      <c r="A10488" t="s">
        <v>10834</v>
      </c>
      <c r="B10488" s="9">
        <v>0.05</v>
      </c>
    </row>
    <row r="10489" spans="1:2" x14ac:dyDescent="0.25">
      <c r="A10489" t="s">
        <v>10835</v>
      </c>
      <c r="B10489" s="9">
        <v>0</v>
      </c>
    </row>
    <row r="10490" spans="1:2" x14ac:dyDescent="0.25">
      <c r="A10490" t="s">
        <v>10836</v>
      </c>
      <c r="B10490" s="9">
        <v>0</v>
      </c>
    </row>
    <row r="10491" spans="1:2" x14ac:dyDescent="0.25">
      <c r="A10491" t="s">
        <v>625</v>
      </c>
      <c r="B10491" s="9">
        <v>0</v>
      </c>
    </row>
    <row r="10492" spans="1:2" x14ac:dyDescent="0.25">
      <c r="A10492" t="s">
        <v>10837</v>
      </c>
      <c r="B10492" s="9">
        <v>0</v>
      </c>
    </row>
    <row r="10493" spans="1:2" x14ac:dyDescent="0.25">
      <c r="A10493" t="s">
        <v>10838</v>
      </c>
      <c r="B10493" s="9">
        <v>0.05</v>
      </c>
    </row>
    <row r="10494" spans="1:2" x14ac:dyDescent="0.25">
      <c r="A10494" t="s">
        <v>10839</v>
      </c>
      <c r="B10494" s="9">
        <v>0.05</v>
      </c>
    </row>
    <row r="10495" spans="1:2" x14ac:dyDescent="0.25">
      <c r="A10495" t="s">
        <v>10840</v>
      </c>
      <c r="B10495" s="9">
        <v>0.05</v>
      </c>
    </row>
    <row r="10496" spans="1:2" x14ac:dyDescent="0.25">
      <c r="A10496" t="s">
        <v>10841</v>
      </c>
      <c r="B10496" s="9">
        <v>0</v>
      </c>
    </row>
    <row r="10497" spans="1:3" x14ac:dyDescent="0.25">
      <c r="A10497" t="s">
        <v>10842</v>
      </c>
      <c r="B10497" s="9">
        <v>0</v>
      </c>
    </row>
    <row r="10498" spans="1:3" x14ac:dyDescent="0.25">
      <c r="A10498" t="s">
        <v>10843</v>
      </c>
      <c r="B10498" s="9">
        <v>0</v>
      </c>
    </row>
    <row r="10499" spans="1:3" x14ac:dyDescent="0.25">
      <c r="A10499" t="s">
        <v>10844</v>
      </c>
      <c r="B10499" s="9">
        <v>0</v>
      </c>
    </row>
    <row r="10500" spans="1:3" x14ac:dyDescent="0.25">
      <c r="A10500" t="s">
        <v>10845</v>
      </c>
      <c r="B10500" s="9">
        <v>0.05</v>
      </c>
    </row>
    <row r="10501" spans="1:3" x14ac:dyDescent="0.25">
      <c r="A10501" t="s">
        <v>234</v>
      </c>
      <c r="B10501" s="9">
        <v>0.15</v>
      </c>
      <c r="C10501" t="s">
        <v>234</v>
      </c>
    </row>
    <row r="10502" spans="1:3" x14ac:dyDescent="0.25">
      <c r="A10502" t="s">
        <v>10846</v>
      </c>
      <c r="B10502" s="9">
        <v>0</v>
      </c>
    </row>
    <row r="10503" spans="1:3" x14ac:dyDescent="0.25">
      <c r="A10503" t="s">
        <v>10847</v>
      </c>
      <c r="B10503" s="9">
        <v>0.05</v>
      </c>
    </row>
    <row r="10504" spans="1:3" x14ac:dyDescent="0.25">
      <c r="A10504" t="s">
        <v>10848</v>
      </c>
      <c r="B10504" s="9">
        <v>0.05</v>
      </c>
    </row>
    <row r="10505" spans="1:3" x14ac:dyDescent="0.25">
      <c r="A10505" t="s">
        <v>624</v>
      </c>
      <c r="B10505" s="9">
        <v>0.05</v>
      </c>
    </row>
    <row r="10506" spans="1:3" x14ac:dyDescent="0.25">
      <c r="A10506" t="s">
        <v>10849</v>
      </c>
      <c r="B10506" s="9">
        <v>0.15</v>
      </c>
    </row>
    <row r="10507" spans="1:3" x14ac:dyDescent="0.25">
      <c r="A10507" t="s">
        <v>10850</v>
      </c>
      <c r="B10507" s="9">
        <v>0.15</v>
      </c>
    </row>
    <row r="10508" spans="1:3" x14ac:dyDescent="0.25">
      <c r="A10508" t="s">
        <v>10851</v>
      </c>
      <c r="B10508" s="9">
        <v>0.15</v>
      </c>
    </row>
    <row r="10509" spans="1:3" x14ac:dyDescent="0.25">
      <c r="A10509" t="s">
        <v>10852</v>
      </c>
      <c r="B10509" s="9">
        <v>0.15</v>
      </c>
    </row>
    <row r="10510" spans="1:3" x14ac:dyDescent="0.25">
      <c r="A10510" t="s">
        <v>10853</v>
      </c>
      <c r="B10510" s="9">
        <v>0.15</v>
      </c>
    </row>
    <row r="10511" spans="1:3" x14ac:dyDescent="0.25">
      <c r="A10511" t="s">
        <v>10854</v>
      </c>
      <c r="B10511" s="9">
        <v>0</v>
      </c>
    </row>
    <row r="10512" spans="1:3" x14ac:dyDescent="0.25">
      <c r="A10512" t="s">
        <v>10855</v>
      </c>
      <c r="B10512" s="9">
        <v>0.15</v>
      </c>
    </row>
    <row r="10513" spans="1:3" x14ac:dyDescent="0.25">
      <c r="A10513" t="s">
        <v>10856</v>
      </c>
      <c r="B10513" s="9">
        <v>0.15</v>
      </c>
    </row>
    <row r="10514" spans="1:3" x14ac:dyDescent="0.25">
      <c r="A10514" t="s">
        <v>235</v>
      </c>
      <c r="B10514" s="9">
        <v>0.15</v>
      </c>
      <c r="C10514" t="s">
        <v>235</v>
      </c>
    </row>
    <row r="10515" spans="1:3" x14ac:dyDescent="0.25">
      <c r="A10515" t="s">
        <v>236</v>
      </c>
      <c r="B10515" s="9">
        <v>0.15</v>
      </c>
      <c r="C10515" t="s">
        <v>236</v>
      </c>
    </row>
    <row r="10516" spans="1:3" x14ac:dyDescent="0.25">
      <c r="A10516" t="s">
        <v>237</v>
      </c>
      <c r="B10516" s="9">
        <v>0.15</v>
      </c>
      <c r="C10516" t="s">
        <v>237</v>
      </c>
    </row>
    <row r="10517" spans="1:3" x14ac:dyDescent="0.25">
      <c r="A10517" t="s">
        <v>238</v>
      </c>
      <c r="B10517" s="9">
        <v>0.15</v>
      </c>
      <c r="C10517" t="s">
        <v>238</v>
      </c>
    </row>
    <row r="10518" spans="1:3" x14ac:dyDescent="0.25">
      <c r="A10518" t="s">
        <v>239</v>
      </c>
      <c r="B10518" s="9">
        <v>0.15</v>
      </c>
      <c r="C10518" t="s">
        <v>239</v>
      </c>
    </row>
    <row r="10519" spans="1:3" x14ac:dyDescent="0.25">
      <c r="A10519" t="s">
        <v>240</v>
      </c>
      <c r="B10519" s="9">
        <v>0.15</v>
      </c>
      <c r="C10519" t="s">
        <v>240</v>
      </c>
    </row>
    <row r="10520" spans="1:3" x14ac:dyDescent="0.25">
      <c r="A10520" t="s">
        <v>10857</v>
      </c>
      <c r="B10520" s="9">
        <v>0.15</v>
      </c>
    </row>
    <row r="10521" spans="1:3" x14ac:dyDescent="0.25">
      <c r="A10521" t="s">
        <v>10858</v>
      </c>
      <c r="B10521" s="9">
        <v>0.15</v>
      </c>
    </row>
    <row r="10522" spans="1:3" x14ac:dyDescent="0.25">
      <c r="A10522" t="s">
        <v>10859</v>
      </c>
      <c r="B10522" s="9">
        <v>0.15</v>
      </c>
    </row>
    <row r="10523" spans="1:3" x14ac:dyDescent="0.25">
      <c r="A10523" t="s">
        <v>10860</v>
      </c>
      <c r="B10523" s="9">
        <v>0.15</v>
      </c>
    </row>
    <row r="10524" spans="1:3" x14ac:dyDescent="0.25">
      <c r="A10524" t="s">
        <v>10861</v>
      </c>
      <c r="B10524" s="9">
        <v>0.15</v>
      </c>
    </row>
    <row r="10525" spans="1:3" x14ac:dyDescent="0.25">
      <c r="A10525" t="s">
        <v>10862</v>
      </c>
      <c r="B10525" s="9">
        <v>0.15</v>
      </c>
    </row>
    <row r="10526" spans="1:3" x14ac:dyDescent="0.25">
      <c r="A10526" t="s">
        <v>10863</v>
      </c>
      <c r="B10526" s="9">
        <v>0.15</v>
      </c>
    </row>
    <row r="10527" spans="1:3" x14ac:dyDescent="0.25">
      <c r="A10527" t="s">
        <v>10864</v>
      </c>
      <c r="B10527" s="9">
        <v>0.15</v>
      </c>
    </row>
    <row r="10528" spans="1:3" x14ac:dyDescent="0.25">
      <c r="A10528" t="s">
        <v>10865</v>
      </c>
      <c r="B10528" s="9">
        <v>0.15</v>
      </c>
    </row>
    <row r="10529" spans="1:2" x14ac:dyDescent="0.25">
      <c r="A10529" t="s">
        <v>10866</v>
      </c>
      <c r="B10529" s="9">
        <v>0.15</v>
      </c>
    </row>
    <row r="10530" spans="1:2" x14ac:dyDescent="0.25">
      <c r="A10530" t="s">
        <v>10867</v>
      </c>
      <c r="B10530" s="9">
        <v>0.15</v>
      </c>
    </row>
    <row r="10531" spans="1:2" x14ac:dyDescent="0.25">
      <c r="A10531" t="s">
        <v>10868</v>
      </c>
      <c r="B10531" s="9">
        <v>0.25</v>
      </c>
    </row>
    <row r="10532" spans="1:2" x14ac:dyDescent="0.25">
      <c r="A10532" t="s">
        <v>10869</v>
      </c>
      <c r="B10532" s="9">
        <v>0.25</v>
      </c>
    </row>
    <row r="10533" spans="1:2" x14ac:dyDescent="0.25">
      <c r="A10533" t="s">
        <v>10870</v>
      </c>
      <c r="B10533" s="9">
        <v>0.25</v>
      </c>
    </row>
    <row r="10534" spans="1:2" x14ac:dyDescent="0.25">
      <c r="A10534" t="s">
        <v>10871</v>
      </c>
      <c r="B10534" s="9">
        <v>0.25</v>
      </c>
    </row>
    <row r="10535" spans="1:2" x14ac:dyDescent="0.25">
      <c r="A10535" t="s">
        <v>10872</v>
      </c>
      <c r="B10535" s="9">
        <v>0.25</v>
      </c>
    </row>
    <row r="10536" spans="1:2" x14ac:dyDescent="0.25">
      <c r="A10536" t="s">
        <v>10873</v>
      </c>
      <c r="B10536" s="9">
        <v>0.25</v>
      </c>
    </row>
    <row r="10537" spans="1:2" x14ac:dyDescent="0.25">
      <c r="A10537" t="s">
        <v>10874</v>
      </c>
      <c r="B10537" s="9">
        <v>0.2</v>
      </c>
    </row>
    <row r="10538" spans="1:2" x14ac:dyDescent="0.25">
      <c r="A10538" t="s">
        <v>10875</v>
      </c>
      <c r="B10538" s="9">
        <v>0.2</v>
      </c>
    </row>
    <row r="10539" spans="1:2" x14ac:dyDescent="0.25">
      <c r="A10539" t="s">
        <v>10876</v>
      </c>
      <c r="B10539" s="9">
        <v>0.2</v>
      </c>
    </row>
    <row r="10540" spans="1:2" x14ac:dyDescent="0.25">
      <c r="A10540" t="s">
        <v>10877</v>
      </c>
      <c r="B10540" s="9">
        <v>0.2</v>
      </c>
    </row>
    <row r="10541" spans="1:2" x14ac:dyDescent="0.25">
      <c r="A10541" t="s">
        <v>10878</v>
      </c>
      <c r="B10541" s="9">
        <v>0.2</v>
      </c>
    </row>
    <row r="10542" spans="1:2" x14ac:dyDescent="0.25">
      <c r="A10542" t="s">
        <v>10879</v>
      </c>
      <c r="B10542" s="9">
        <v>0.2</v>
      </c>
    </row>
    <row r="10543" spans="1:2" x14ac:dyDescent="0.25">
      <c r="A10543" t="s">
        <v>10880</v>
      </c>
      <c r="B10543" s="9">
        <v>0.2</v>
      </c>
    </row>
    <row r="10544" spans="1:2" x14ac:dyDescent="0.25">
      <c r="A10544" t="s">
        <v>10881</v>
      </c>
      <c r="B10544" s="9">
        <v>0.2</v>
      </c>
    </row>
    <row r="10545" spans="1:3" x14ac:dyDescent="0.25">
      <c r="A10545" t="s">
        <v>10882</v>
      </c>
      <c r="B10545" s="9">
        <v>0.2</v>
      </c>
    </row>
    <row r="10546" spans="1:3" x14ac:dyDescent="0.25">
      <c r="A10546" t="s">
        <v>10883</v>
      </c>
      <c r="B10546" s="9">
        <v>0.15</v>
      </c>
    </row>
    <row r="10547" spans="1:3" x14ac:dyDescent="0.25">
      <c r="A10547" t="s">
        <v>10884</v>
      </c>
      <c r="B10547" s="9">
        <v>0.15</v>
      </c>
    </row>
    <row r="10548" spans="1:3" x14ac:dyDescent="0.25">
      <c r="A10548" t="s">
        <v>10885</v>
      </c>
      <c r="B10548" s="9">
        <v>0.2</v>
      </c>
    </row>
    <row r="10549" spans="1:3" x14ac:dyDescent="0.25">
      <c r="A10549" t="s">
        <v>10886</v>
      </c>
      <c r="B10549" s="9">
        <v>0.2</v>
      </c>
    </row>
    <row r="10550" spans="1:3" x14ac:dyDescent="0.25">
      <c r="A10550" t="s">
        <v>10887</v>
      </c>
      <c r="B10550" s="9">
        <v>0.2</v>
      </c>
    </row>
    <row r="10551" spans="1:3" x14ac:dyDescent="0.25">
      <c r="A10551" t="s">
        <v>241</v>
      </c>
      <c r="B10551" s="9">
        <v>0.18</v>
      </c>
      <c r="C10551" t="s">
        <v>241</v>
      </c>
    </row>
    <row r="10552" spans="1:3" x14ac:dyDescent="0.25">
      <c r="A10552" t="s">
        <v>10888</v>
      </c>
      <c r="B10552" s="9">
        <v>0.2</v>
      </c>
    </row>
    <row r="10553" spans="1:3" x14ac:dyDescent="0.25">
      <c r="A10553" t="s">
        <v>10889</v>
      </c>
      <c r="B10553" s="9">
        <v>0.2</v>
      </c>
    </row>
    <row r="10554" spans="1:3" x14ac:dyDescent="0.25">
      <c r="A10554" t="s">
        <v>10890</v>
      </c>
      <c r="B10554" s="9">
        <v>0.2</v>
      </c>
    </row>
    <row r="10555" spans="1:3" x14ac:dyDescent="0.25">
      <c r="A10555" t="s">
        <v>10891</v>
      </c>
      <c r="B10555" s="9">
        <v>0.2</v>
      </c>
    </row>
    <row r="10556" spans="1:3" x14ac:dyDescent="0.25">
      <c r="A10556" t="s">
        <v>10892</v>
      </c>
      <c r="B10556" s="9">
        <v>0.2</v>
      </c>
    </row>
    <row r="10557" spans="1:3" x14ac:dyDescent="0.25">
      <c r="A10557" t="s">
        <v>10893</v>
      </c>
      <c r="B10557" s="9">
        <v>0.2</v>
      </c>
    </row>
    <row r="10558" spans="1:3" x14ac:dyDescent="0.25">
      <c r="A10558" t="s">
        <v>10894</v>
      </c>
      <c r="B10558" s="9">
        <v>0.15</v>
      </c>
    </row>
    <row r="10559" spans="1:3" x14ac:dyDescent="0.25">
      <c r="A10559" t="s">
        <v>10895</v>
      </c>
      <c r="B10559" s="9">
        <v>0.15</v>
      </c>
    </row>
    <row r="10560" spans="1:3" x14ac:dyDescent="0.25">
      <c r="A10560" t="s">
        <v>10896</v>
      </c>
      <c r="B10560" s="9">
        <v>0.15</v>
      </c>
    </row>
    <row r="10561" spans="1:2" x14ac:dyDescent="0.25">
      <c r="A10561" t="s">
        <v>10897</v>
      </c>
      <c r="B10561" s="9">
        <v>0.15</v>
      </c>
    </row>
    <row r="10562" spans="1:2" x14ac:dyDescent="0.25">
      <c r="A10562" t="s">
        <v>10898</v>
      </c>
      <c r="B10562" s="9">
        <v>0.2</v>
      </c>
    </row>
    <row r="10563" spans="1:2" x14ac:dyDescent="0.25">
      <c r="A10563" t="s">
        <v>10899</v>
      </c>
      <c r="B10563" s="9">
        <v>0.2</v>
      </c>
    </row>
    <row r="10564" spans="1:2" x14ac:dyDescent="0.25">
      <c r="A10564" t="s">
        <v>10900</v>
      </c>
      <c r="B10564" s="9">
        <v>0.2</v>
      </c>
    </row>
    <row r="10565" spans="1:2" x14ac:dyDescent="0.25">
      <c r="A10565" t="s">
        <v>10901</v>
      </c>
      <c r="B10565" s="9">
        <v>0.2</v>
      </c>
    </row>
    <row r="10566" spans="1:2" x14ac:dyDescent="0.25">
      <c r="A10566" t="s">
        <v>10902</v>
      </c>
      <c r="B10566" s="9">
        <v>0.2</v>
      </c>
    </row>
    <row r="10567" spans="1:2" x14ac:dyDescent="0.25">
      <c r="A10567" t="s">
        <v>10903</v>
      </c>
      <c r="B10567" s="9">
        <v>0.2</v>
      </c>
    </row>
    <row r="10568" spans="1:2" x14ac:dyDescent="0.25">
      <c r="A10568" t="s">
        <v>10904</v>
      </c>
      <c r="B10568" s="9">
        <v>0.2</v>
      </c>
    </row>
    <row r="10569" spans="1:2" x14ac:dyDescent="0.25">
      <c r="A10569" t="s">
        <v>10905</v>
      </c>
      <c r="B10569" s="9">
        <v>0.2</v>
      </c>
    </row>
    <row r="10570" spans="1:2" x14ac:dyDescent="0.25">
      <c r="A10570" t="s">
        <v>10906</v>
      </c>
      <c r="B10570" s="9">
        <v>0.2</v>
      </c>
    </row>
    <row r="10571" spans="1:2" x14ac:dyDescent="0.25">
      <c r="A10571" t="s">
        <v>10907</v>
      </c>
      <c r="B10571" s="9">
        <v>0.2</v>
      </c>
    </row>
    <row r="10572" spans="1:2" x14ac:dyDescent="0.25">
      <c r="A10572" t="s">
        <v>10908</v>
      </c>
      <c r="B10572" s="9">
        <v>0.2</v>
      </c>
    </row>
    <row r="10573" spans="1:2" x14ac:dyDescent="0.25">
      <c r="A10573" t="s">
        <v>10909</v>
      </c>
      <c r="B10573" s="9">
        <v>0.2</v>
      </c>
    </row>
    <row r="10574" spans="1:2" x14ac:dyDescent="0.25">
      <c r="A10574" t="s">
        <v>10910</v>
      </c>
      <c r="B10574" s="9">
        <v>0.2</v>
      </c>
    </row>
    <row r="10575" spans="1:2" x14ac:dyDescent="0.25">
      <c r="A10575" t="s">
        <v>10911</v>
      </c>
      <c r="B10575" s="9">
        <v>0.2</v>
      </c>
    </row>
    <row r="10576" spans="1:2" x14ac:dyDescent="0.25">
      <c r="A10576" t="s">
        <v>10912</v>
      </c>
      <c r="B10576" s="9">
        <v>0.2</v>
      </c>
    </row>
    <row r="10577" spans="1:2" x14ac:dyDescent="0.25">
      <c r="A10577" t="s">
        <v>10913</v>
      </c>
      <c r="B10577" s="9">
        <v>0.2</v>
      </c>
    </row>
    <row r="10578" spans="1:2" x14ac:dyDescent="0.25">
      <c r="A10578" t="s">
        <v>10914</v>
      </c>
      <c r="B10578" s="9">
        <v>0.2</v>
      </c>
    </row>
    <row r="10579" spans="1:2" x14ac:dyDescent="0.25">
      <c r="A10579" t="s">
        <v>10915</v>
      </c>
      <c r="B10579" s="9">
        <v>0.2</v>
      </c>
    </row>
    <row r="10580" spans="1:2" x14ac:dyDescent="0.25">
      <c r="A10580" t="s">
        <v>10916</v>
      </c>
      <c r="B10580" s="9">
        <v>0.2</v>
      </c>
    </row>
    <row r="10581" spans="1:2" x14ac:dyDescent="0.25">
      <c r="A10581" t="s">
        <v>10917</v>
      </c>
      <c r="B10581" s="9">
        <v>0.2</v>
      </c>
    </row>
    <row r="10582" spans="1:2" x14ac:dyDescent="0.25">
      <c r="A10582" t="s">
        <v>10918</v>
      </c>
      <c r="B10582" s="9">
        <v>0.2</v>
      </c>
    </row>
    <row r="10583" spans="1:2" x14ac:dyDescent="0.25">
      <c r="A10583" t="s">
        <v>10919</v>
      </c>
      <c r="B10583" s="9">
        <v>0.1</v>
      </c>
    </row>
    <row r="10584" spans="1:2" x14ac:dyDescent="0.25">
      <c r="A10584" t="s">
        <v>10920</v>
      </c>
      <c r="B10584" s="9">
        <v>0.1</v>
      </c>
    </row>
    <row r="10585" spans="1:2" x14ac:dyDescent="0.25">
      <c r="A10585" t="s">
        <v>10921</v>
      </c>
      <c r="B10585" s="9">
        <v>0.1</v>
      </c>
    </row>
    <row r="10586" spans="1:2" x14ac:dyDescent="0.25">
      <c r="A10586" t="s">
        <v>10922</v>
      </c>
      <c r="B10586" s="9">
        <v>0.2</v>
      </c>
    </row>
    <row r="10587" spans="1:2" x14ac:dyDescent="0.25">
      <c r="A10587" t="s">
        <v>10923</v>
      </c>
      <c r="B10587" s="9">
        <v>0.2</v>
      </c>
    </row>
    <row r="10588" spans="1:2" x14ac:dyDescent="0.25">
      <c r="A10588" t="s">
        <v>10924</v>
      </c>
      <c r="B10588" s="9">
        <v>0.2</v>
      </c>
    </row>
    <row r="10589" spans="1:2" x14ac:dyDescent="0.25">
      <c r="A10589" t="s">
        <v>10925</v>
      </c>
      <c r="B10589" s="9">
        <v>0.2</v>
      </c>
    </row>
    <row r="10590" spans="1:2" x14ac:dyDescent="0.25">
      <c r="A10590" t="s">
        <v>10926</v>
      </c>
      <c r="B10590" s="9">
        <v>0.2</v>
      </c>
    </row>
    <row r="10591" spans="1:2" x14ac:dyDescent="0.25">
      <c r="A10591" t="s">
        <v>10927</v>
      </c>
      <c r="B10591" s="9">
        <v>0.2</v>
      </c>
    </row>
    <row r="10592" spans="1:2" x14ac:dyDescent="0.25">
      <c r="A10592" t="s">
        <v>10928</v>
      </c>
      <c r="B10592" s="9">
        <v>0.2</v>
      </c>
    </row>
    <row r="10593" spans="1:2" x14ac:dyDescent="0.25">
      <c r="A10593" t="s">
        <v>10929</v>
      </c>
      <c r="B10593" s="9">
        <v>0.2</v>
      </c>
    </row>
    <row r="10594" spans="1:2" x14ac:dyDescent="0.25">
      <c r="A10594" t="s">
        <v>10930</v>
      </c>
      <c r="B10594" s="9">
        <v>0.2</v>
      </c>
    </row>
    <row r="10595" spans="1:2" x14ac:dyDescent="0.25">
      <c r="A10595" t="s">
        <v>10931</v>
      </c>
      <c r="B10595" s="9">
        <v>0.2</v>
      </c>
    </row>
    <row r="10596" spans="1:2" x14ac:dyDescent="0.25">
      <c r="A10596" t="s">
        <v>10932</v>
      </c>
      <c r="B10596" s="9">
        <v>0.2</v>
      </c>
    </row>
    <row r="10597" spans="1:2" x14ac:dyDescent="0.25">
      <c r="A10597" t="s">
        <v>10933</v>
      </c>
      <c r="B10597" s="9">
        <v>0</v>
      </c>
    </row>
    <row r="10598" spans="1:2" x14ac:dyDescent="0.25">
      <c r="A10598" t="s">
        <v>10934</v>
      </c>
      <c r="B10598" s="9">
        <v>0</v>
      </c>
    </row>
    <row r="10599" spans="1:2" x14ac:dyDescent="0.25">
      <c r="A10599" t="s">
        <v>10935</v>
      </c>
      <c r="B10599" s="9">
        <v>0</v>
      </c>
    </row>
    <row r="10600" spans="1:2" x14ac:dyDescent="0.25">
      <c r="A10600" t="s">
        <v>10936</v>
      </c>
      <c r="B10600" s="9">
        <v>0</v>
      </c>
    </row>
    <row r="10601" spans="1:2" x14ac:dyDescent="0.25">
      <c r="A10601" t="s">
        <v>10937</v>
      </c>
      <c r="B10601" s="9">
        <v>0</v>
      </c>
    </row>
    <row r="10602" spans="1:2" x14ac:dyDescent="0.25">
      <c r="A10602" t="s">
        <v>10938</v>
      </c>
      <c r="B10602" s="9">
        <v>0</v>
      </c>
    </row>
    <row r="10603" spans="1:2" x14ac:dyDescent="0.25">
      <c r="A10603" t="s">
        <v>10939</v>
      </c>
      <c r="B10603" s="9">
        <v>0</v>
      </c>
    </row>
    <row r="10604" spans="1:2" x14ac:dyDescent="0.25">
      <c r="A10604" t="s">
        <v>10940</v>
      </c>
      <c r="B10604" s="9">
        <v>0</v>
      </c>
    </row>
    <row r="10605" spans="1:2" x14ac:dyDescent="0.25">
      <c r="A10605" t="s">
        <v>10941</v>
      </c>
      <c r="B10605" s="9">
        <v>0</v>
      </c>
    </row>
    <row r="10606" spans="1:2" x14ac:dyDescent="0.25">
      <c r="A10606" t="s">
        <v>10942</v>
      </c>
      <c r="B10606" s="9">
        <v>0</v>
      </c>
    </row>
    <row r="10607" spans="1:2" x14ac:dyDescent="0.25">
      <c r="A10607" t="s">
        <v>10943</v>
      </c>
      <c r="B10607" s="9">
        <v>0</v>
      </c>
    </row>
    <row r="10608" spans="1:2" x14ac:dyDescent="0.25">
      <c r="A10608" t="s">
        <v>10944</v>
      </c>
      <c r="B10608" s="9">
        <v>0</v>
      </c>
    </row>
    <row r="10609" spans="1:2" x14ac:dyDescent="0.25">
      <c r="A10609" t="s">
        <v>10945</v>
      </c>
      <c r="B10609" s="9">
        <v>0</v>
      </c>
    </row>
    <row r="10610" spans="1:2" x14ac:dyDescent="0.25">
      <c r="A10610" t="s">
        <v>10946</v>
      </c>
      <c r="B10610" s="9">
        <v>0</v>
      </c>
    </row>
    <row r="10611" spans="1:2" x14ac:dyDescent="0.25">
      <c r="A10611" t="s">
        <v>10947</v>
      </c>
      <c r="B10611" s="9">
        <v>0</v>
      </c>
    </row>
    <row r="10612" spans="1:2" x14ac:dyDescent="0.25">
      <c r="A10612" t="s">
        <v>10948</v>
      </c>
      <c r="B10612" s="9">
        <v>0</v>
      </c>
    </row>
    <row r="10613" spans="1:2" x14ac:dyDescent="0.25">
      <c r="A10613" t="s">
        <v>10949</v>
      </c>
      <c r="B10613" s="9">
        <v>0</v>
      </c>
    </row>
    <row r="10614" spans="1:2" x14ac:dyDescent="0.25">
      <c r="A10614" t="s">
        <v>10950</v>
      </c>
      <c r="B10614" s="9">
        <v>0</v>
      </c>
    </row>
    <row r="10615" spans="1:2" x14ac:dyDescent="0.25">
      <c r="A10615" t="s">
        <v>10951</v>
      </c>
      <c r="B10615" s="9">
        <v>0</v>
      </c>
    </row>
    <row r="10616" spans="1:2" x14ac:dyDescent="0.25">
      <c r="A10616" t="s">
        <v>10952</v>
      </c>
      <c r="B10616" s="9">
        <v>0</v>
      </c>
    </row>
    <row r="10617" spans="1:2" x14ac:dyDescent="0.25">
      <c r="A10617" t="s">
        <v>10953</v>
      </c>
      <c r="B10617" s="9">
        <v>0</v>
      </c>
    </row>
    <row r="10618" spans="1:2" x14ac:dyDescent="0.25">
      <c r="A10618" t="s">
        <v>10954</v>
      </c>
      <c r="B10618" s="9">
        <v>0</v>
      </c>
    </row>
    <row r="10619" spans="1:2" x14ac:dyDescent="0.25">
      <c r="A10619" t="s">
        <v>10955</v>
      </c>
      <c r="B10619" s="9">
        <v>0.45</v>
      </c>
    </row>
    <row r="10620" spans="1:2" x14ac:dyDescent="0.25">
      <c r="A10620" t="s">
        <v>10956</v>
      </c>
      <c r="B10620" s="9">
        <v>0.45</v>
      </c>
    </row>
    <row r="10621" spans="1:2" x14ac:dyDescent="0.25">
      <c r="A10621" t="s">
        <v>10957</v>
      </c>
      <c r="B10621" s="9">
        <v>0.45</v>
      </c>
    </row>
    <row r="10622" spans="1:2" x14ac:dyDescent="0.25">
      <c r="A10622" t="s">
        <v>10958</v>
      </c>
      <c r="B10622" s="9">
        <v>0.45</v>
      </c>
    </row>
    <row r="10623" spans="1:2" x14ac:dyDescent="0.25">
      <c r="A10623" t="s">
        <v>10959</v>
      </c>
      <c r="B10623" s="9">
        <v>0.45</v>
      </c>
    </row>
    <row r="10624" spans="1:2" x14ac:dyDescent="0.25">
      <c r="A10624" t="s">
        <v>10960</v>
      </c>
      <c r="B10624" s="9">
        <v>0.45</v>
      </c>
    </row>
    <row r="10625" spans="1:2" x14ac:dyDescent="0.25">
      <c r="A10625" t="s">
        <v>10961</v>
      </c>
      <c r="B10625" s="9">
        <v>0.3</v>
      </c>
    </row>
    <row r="10626" spans="1:2" x14ac:dyDescent="0.25">
      <c r="A10626" t="s">
        <v>10962</v>
      </c>
      <c r="B10626" s="9">
        <v>0.45</v>
      </c>
    </row>
    <row r="10627" spans="1:2" x14ac:dyDescent="0.25">
      <c r="A10627" t="s">
        <v>10963</v>
      </c>
      <c r="B10627" s="9">
        <v>0.45</v>
      </c>
    </row>
    <row r="10628" spans="1:2" x14ac:dyDescent="0.25">
      <c r="A10628" t="s">
        <v>10964</v>
      </c>
      <c r="B10628" s="9">
        <v>0.45</v>
      </c>
    </row>
    <row r="10629" spans="1:2" x14ac:dyDescent="0.25">
      <c r="A10629" t="s">
        <v>10965</v>
      </c>
      <c r="B10629" s="9">
        <v>0.45</v>
      </c>
    </row>
    <row r="10630" spans="1:2" x14ac:dyDescent="0.25">
      <c r="A10630" t="s">
        <v>10966</v>
      </c>
      <c r="B10630" s="9">
        <v>0</v>
      </c>
    </row>
    <row r="10631" spans="1:2" x14ac:dyDescent="0.25">
      <c r="A10631" t="s">
        <v>10967</v>
      </c>
      <c r="B10631" s="9">
        <v>0.45</v>
      </c>
    </row>
    <row r="10632" spans="1:2" x14ac:dyDescent="0.25">
      <c r="A10632" t="s">
        <v>10968</v>
      </c>
      <c r="B10632" s="9">
        <v>0.2</v>
      </c>
    </row>
    <row r="10633" spans="1:2" x14ac:dyDescent="0.25">
      <c r="A10633" t="s">
        <v>10969</v>
      </c>
      <c r="B10633" s="9">
        <v>0.2</v>
      </c>
    </row>
    <row r="10634" spans="1:2" x14ac:dyDescent="0.25">
      <c r="A10634" t="s">
        <v>10970</v>
      </c>
      <c r="B10634" s="9">
        <v>0.2</v>
      </c>
    </row>
    <row r="10635" spans="1:2" x14ac:dyDescent="0.25">
      <c r="A10635" t="s">
        <v>10971</v>
      </c>
      <c r="B10635" s="9">
        <v>0.2</v>
      </c>
    </row>
    <row r="10636" spans="1:2" x14ac:dyDescent="0.25">
      <c r="A10636" t="s">
        <v>10972</v>
      </c>
      <c r="B10636" s="9">
        <v>0.45</v>
      </c>
    </row>
    <row r="10637" spans="1:2" x14ac:dyDescent="0.25">
      <c r="A10637" t="s">
        <v>10973</v>
      </c>
      <c r="B10637" s="9">
        <v>0.2</v>
      </c>
    </row>
    <row r="10638" spans="1:2" x14ac:dyDescent="0.25">
      <c r="A10638" t="s">
        <v>10974</v>
      </c>
      <c r="B10638" s="9">
        <v>0.2</v>
      </c>
    </row>
    <row r="10639" spans="1:2" x14ac:dyDescent="0.25">
      <c r="A10639" t="s">
        <v>10975</v>
      </c>
      <c r="B10639" s="9">
        <v>0.1</v>
      </c>
    </row>
    <row r="10640" spans="1:2" x14ac:dyDescent="0.25">
      <c r="A10640" t="s">
        <v>10976</v>
      </c>
      <c r="B10640" s="9">
        <v>0.1</v>
      </c>
    </row>
    <row r="10641" spans="1:3" x14ac:dyDescent="0.25">
      <c r="A10641" t="s">
        <v>10977</v>
      </c>
      <c r="B10641" s="9">
        <v>0.45</v>
      </c>
    </row>
    <row r="10642" spans="1:3" x14ac:dyDescent="0.25">
      <c r="A10642" t="s">
        <v>10978</v>
      </c>
      <c r="B10642" s="9">
        <v>0.45</v>
      </c>
    </row>
    <row r="10643" spans="1:3" x14ac:dyDescent="0.25">
      <c r="A10643" t="s">
        <v>10979</v>
      </c>
      <c r="B10643" s="9">
        <v>0.45</v>
      </c>
    </row>
    <row r="10644" spans="1:3" x14ac:dyDescent="0.25">
      <c r="A10644" t="s">
        <v>10980</v>
      </c>
      <c r="B10644" s="9">
        <v>0.45</v>
      </c>
    </row>
    <row r="10645" spans="1:3" x14ac:dyDescent="0.25">
      <c r="A10645" t="s">
        <v>10981</v>
      </c>
      <c r="B10645" s="9">
        <v>0.1</v>
      </c>
    </row>
    <row r="10646" spans="1:3" x14ac:dyDescent="0.25">
      <c r="A10646" t="s">
        <v>10982</v>
      </c>
      <c r="B10646" s="9">
        <v>0.1</v>
      </c>
    </row>
    <row r="10647" spans="1:3" x14ac:dyDescent="0.25">
      <c r="A10647" t="s">
        <v>10983</v>
      </c>
      <c r="B10647" s="9">
        <v>0.04</v>
      </c>
    </row>
    <row r="10648" spans="1:3" x14ac:dyDescent="0.25">
      <c r="A10648" t="s">
        <v>10984</v>
      </c>
      <c r="B10648" s="9">
        <v>0.04</v>
      </c>
    </row>
    <row r="10649" spans="1:3" x14ac:dyDescent="0.25">
      <c r="A10649" t="s">
        <v>10985</v>
      </c>
      <c r="B10649" s="9">
        <v>0.04</v>
      </c>
    </row>
    <row r="10650" spans="1:3" x14ac:dyDescent="0.25">
      <c r="A10650" t="s">
        <v>242</v>
      </c>
      <c r="B10650" s="9">
        <v>0.15</v>
      </c>
      <c r="C10650" t="s">
        <v>242</v>
      </c>
    </row>
    <row r="10651" spans="1:3" x14ac:dyDescent="0.25">
      <c r="A10651" t="s">
        <v>10986</v>
      </c>
      <c r="B10651" s="9">
        <v>0.04</v>
      </c>
    </row>
    <row r="10652" spans="1:3" x14ac:dyDescent="0.25">
      <c r="A10652" t="s">
        <v>10987</v>
      </c>
      <c r="B10652" s="9">
        <v>0.05</v>
      </c>
    </row>
    <row r="10653" spans="1:3" x14ac:dyDescent="0.25">
      <c r="A10653" t="s">
        <v>10988</v>
      </c>
      <c r="B10653" s="9">
        <v>0.05</v>
      </c>
    </row>
    <row r="10654" spans="1:3" x14ac:dyDescent="0.25">
      <c r="A10654" t="s">
        <v>10989</v>
      </c>
      <c r="B10654" s="9">
        <v>0.05</v>
      </c>
    </row>
    <row r="10655" spans="1:3" x14ac:dyDescent="0.25">
      <c r="A10655" t="s">
        <v>10990</v>
      </c>
      <c r="B10655" s="9">
        <v>0.05</v>
      </c>
    </row>
    <row r="10656" spans="1:3" x14ac:dyDescent="0.25">
      <c r="A10656" t="s">
        <v>10991</v>
      </c>
      <c r="B10656" s="9">
        <v>0.05</v>
      </c>
    </row>
    <row r="10657" spans="1:2" x14ac:dyDescent="0.25">
      <c r="A10657" t="s">
        <v>10992</v>
      </c>
      <c r="B10657" s="9">
        <v>0.05</v>
      </c>
    </row>
    <row r="10658" spans="1:2" x14ac:dyDescent="0.25">
      <c r="A10658" t="s">
        <v>10993</v>
      </c>
      <c r="B10658" s="9">
        <v>0.05</v>
      </c>
    </row>
    <row r="10659" spans="1:2" x14ac:dyDescent="0.25">
      <c r="A10659" t="s">
        <v>10994</v>
      </c>
      <c r="B10659" s="9">
        <v>0.05</v>
      </c>
    </row>
    <row r="10660" spans="1:2" x14ac:dyDescent="0.25">
      <c r="A10660" t="s">
        <v>10995</v>
      </c>
      <c r="B10660" s="9">
        <v>0.05</v>
      </c>
    </row>
    <row r="10661" spans="1:2" x14ac:dyDescent="0.25">
      <c r="A10661" t="s">
        <v>10996</v>
      </c>
      <c r="B10661" s="9">
        <v>0.05</v>
      </c>
    </row>
    <row r="10662" spans="1:2" x14ac:dyDescent="0.25">
      <c r="A10662" t="s">
        <v>10997</v>
      </c>
      <c r="B10662" s="9">
        <v>0.05</v>
      </c>
    </row>
    <row r="10663" spans="1:2" x14ac:dyDescent="0.25">
      <c r="A10663" t="s">
        <v>10998</v>
      </c>
      <c r="B10663" s="9">
        <v>0.05</v>
      </c>
    </row>
    <row r="10664" spans="1:2" x14ac:dyDescent="0.25">
      <c r="A10664" t="s">
        <v>10999</v>
      </c>
      <c r="B10664" s="9">
        <v>0.05</v>
      </c>
    </row>
    <row r="10665" spans="1:2" x14ac:dyDescent="0.25">
      <c r="A10665" t="s">
        <v>11000</v>
      </c>
      <c r="B10665" s="9">
        <v>0.05</v>
      </c>
    </row>
    <row r="10666" spans="1:2" x14ac:dyDescent="0.25">
      <c r="A10666" t="s">
        <v>11001</v>
      </c>
      <c r="B10666" s="9">
        <v>0.05</v>
      </c>
    </row>
    <row r="10667" spans="1:2" x14ac:dyDescent="0.25">
      <c r="A10667" t="s">
        <v>11002</v>
      </c>
      <c r="B10667" s="9">
        <v>0.05</v>
      </c>
    </row>
    <row r="10668" spans="1:2" x14ac:dyDescent="0.25">
      <c r="A10668" t="s">
        <v>11003</v>
      </c>
      <c r="B10668" s="9">
        <v>0.05</v>
      </c>
    </row>
    <row r="10669" spans="1:2" x14ac:dyDescent="0.25">
      <c r="A10669" t="s">
        <v>11004</v>
      </c>
      <c r="B10669" s="9">
        <v>0.05</v>
      </c>
    </row>
    <row r="10670" spans="1:2" x14ac:dyDescent="0.25">
      <c r="A10670" t="s">
        <v>11005</v>
      </c>
      <c r="B10670" s="9">
        <v>0.05</v>
      </c>
    </row>
    <row r="10671" spans="1:2" x14ac:dyDescent="0.25">
      <c r="A10671" t="s">
        <v>11006</v>
      </c>
      <c r="B10671" s="9">
        <v>0.05</v>
      </c>
    </row>
    <row r="10672" spans="1:2" x14ac:dyDescent="0.25">
      <c r="A10672" t="s">
        <v>11007</v>
      </c>
      <c r="B10672" s="9">
        <v>0.05</v>
      </c>
    </row>
    <row r="10673" spans="1:2" x14ac:dyDescent="0.25">
      <c r="A10673" t="s">
        <v>11008</v>
      </c>
      <c r="B10673" s="9">
        <v>0.05</v>
      </c>
    </row>
    <row r="10674" spans="1:2" x14ac:dyDescent="0.25">
      <c r="A10674" t="s">
        <v>11009</v>
      </c>
      <c r="B10674" s="9">
        <v>0.05</v>
      </c>
    </row>
    <row r="10675" spans="1:2" x14ac:dyDescent="0.25">
      <c r="A10675" t="s">
        <v>11010</v>
      </c>
      <c r="B10675" s="9">
        <v>0.05</v>
      </c>
    </row>
    <row r="10676" spans="1:2" x14ac:dyDescent="0.25">
      <c r="A10676" t="s">
        <v>11011</v>
      </c>
      <c r="B10676" s="9">
        <v>0.05</v>
      </c>
    </row>
    <row r="10677" spans="1:2" x14ac:dyDescent="0.25">
      <c r="A10677" t="s">
        <v>11012</v>
      </c>
      <c r="B10677" s="9">
        <v>0.05</v>
      </c>
    </row>
    <row r="10678" spans="1:2" x14ac:dyDescent="0.25">
      <c r="A10678" t="s">
        <v>11013</v>
      </c>
      <c r="B10678" s="9">
        <v>0.05</v>
      </c>
    </row>
    <row r="10679" spans="1:2" x14ac:dyDescent="0.25">
      <c r="A10679" t="s">
        <v>11014</v>
      </c>
      <c r="B10679" s="9">
        <v>0.05</v>
      </c>
    </row>
    <row r="10680" spans="1:2" x14ac:dyDescent="0.25">
      <c r="A10680" t="s">
        <v>11015</v>
      </c>
      <c r="B10680" s="9">
        <v>0.05</v>
      </c>
    </row>
    <row r="10681" spans="1:2" x14ac:dyDescent="0.25">
      <c r="A10681" t="s">
        <v>11016</v>
      </c>
      <c r="B10681" s="9">
        <v>0.05</v>
      </c>
    </row>
    <row r="10682" spans="1:2" x14ac:dyDescent="0.25">
      <c r="A10682" t="s">
        <v>11017</v>
      </c>
      <c r="B10682" s="9">
        <v>0</v>
      </c>
    </row>
    <row r="10683" spans="1:2" x14ac:dyDescent="0.25">
      <c r="A10683" t="s">
        <v>11018</v>
      </c>
      <c r="B10683" s="9">
        <v>0</v>
      </c>
    </row>
    <row r="10684" spans="1:2" x14ac:dyDescent="0.25">
      <c r="A10684" t="s">
        <v>11019</v>
      </c>
      <c r="B10684" s="9">
        <v>0</v>
      </c>
    </row>
    <row r="10685" spans="1:2" x14ac:dyDescent="0.25">
      <c r="A10685" t="s">
        <v>11020</v>
      </c>
      <c r="B10685" s="9">
        <v>0</v>
      </c>
    </row>
    <row r="10686" spans="1:2" x14ac:dyDescent="0.25">
      <c r="A10686" t="s">
        <v>11021</v>
      </c>
      <c r="B10686" s="9">
        <v>0</v>
      </c>
    </row>
    <row r="10687" spans="1:2" x14ac:dyDescent="0.25">
      <c r="A10687" t="s">
        <v>11022</v>
      </c>
      <c r="B10687" s="9">
        <v>0.15</v>
      </c>
    </row>
    <row r="10688" spans="1:2" x14ac:dyDescent="0.25">
      <c r="A10688" t="s">
        <v>11023</v>
      </c>
      <c r="B10688" s="9">
        <v>0.15</v>
      </c>
    </row>
    <row r="10689" spans="1:2" x14ac:dyDescent="0.25">
      <c r="A10689" t="s">
        <v>11024</v>
      </c>
      <c r="B10689" s="9">
        <v>0.15</v>
      </c>
    </row>
    <row r="10690" spans="1:2" x14ac:dyDescent="0.25">
      <c r="A10690" t="s">
        <v>11025</v>
      </c>
      <c r="B10690" s="9">
        <v>0.15</v>
      </c>
    </row>
    <row r="10691" spans="1:2" x14ac:dyDescent="0.25">
      <c r="A10691" t="s">
        <v>11026</v>
      </c>
      <c r="B10691" s="9">
        <v>0.15</v>
      </c>
    </row>
    <row r="10692" spans="1:2" x14ac:dyDescent="0.25">
      <c r="A10692" t="s">
        <v>11027</v>
      </c>
      <c r="B10692" s="9">
        <v>0.15</v>
      </c>
    </row>
    <row r="10693" spans="1:2" x14ac:dyDescent="0.25">
      <c r="A10693" t="s">
        <v>11028</v>
      </c>
      <c r="B10693" s="9">
        <v>0.15</v>
      </c>
    </row>
    <row r="10694" spans="1:2" x14ac:dyDescent="0.25">
      <c r="A10694" t="s">
        <v>11029</v>
      </c>
      <c r="B10694" s="9">
        <v>0.15</v>
      </c>
    </row>
    <row r="10695" spans="1:2" x14ac:dyDescent="0.25">
      <c r="A10695" t="s">
        <v>11030</v>
      </c>
      <c r="B10695" s="9">
        <v>0.15</v>
      </c>
    </row>
    <row r="10696" spans="1:2" x14ac:dyDescent="0.25">
      <c r="A10696" t="s">
        <v>11031</v>
      </c>
      <c r="B10696" s="9">
        <v>0</v>
      </c>
    </row>
    <row r="10697" spans="1:2" x14ac:dyDescent="0.25">
      <c r="A10697" t="s">
        <v>11032</v>
      </c>
      <c r="B10697" s="9">
        <v>0.05</v>
      </c>
    </row>
    <row r="10698" spans="1:2" x14ac:dyDescent="0.25">
      <c r="A10698" t="s">
        <v>11033</v>
      </c>
      <c r="B10698" s="9">
        <v>0.15</v>
      </c>
    </row>
    <row r="10699" spans="1:2" x14ac:dyDescent="0.25">
      <c r="A10699" t="s">
        <v>11034</v>
      </c>
      <c r="B10699" s="9">
        <v>0.15</v>
      </c>
    </row>
    <row r="10700" spans="1:2" x14ac:dyDescent="0.25">
      <c r="A10700" t="s">
        <v>11035</v>
      </c>
      <c r="B10700" s="9">
        <v>0.15</v>
      </c>
    </row>
    <row r="10701" spans="1:2" x14ac:dyDescent="0.25">
      <c r="A10701" t="s">
        <v>11036</v>
      </c>
      <c r="B10701" s="9">
        <v>0.15</v>
      </c>
    </row>
    <row r="10702" spans="1:2" x14ac:dyDescent="0.25">
      <c r="A10702" t="s">
        <v>11037</v>
      </c>
      <c r="B10702" s="9">
        <v>0</v>
      </c>
    </row>
    <row r="10703" spans="1:2" x14ac:dyDescent="0.25">
      <c r="A10703" t="s">
        <v>11038</v>
      </c>
      <c r="B10703" s="9">
        <v>0</v>
      </c>
    </row>
    <row r="10704" spans="1:2" x14ac:dyDescent="0.25">
      <c r="A10704" t="s">
        <v>11039</v>
      </c>
      <c r="B10704" s="9">
        <v>0</v>
      </c>
    </row>
    <row r="10705" spans="1:2" x14ac:dyDescent="0.25">
      <c r="A10705" t="s">
        <v>11040</v>
      </c>
      <c r="B10705" s="9">
        <v>0</v>
      </c>
    </row>
    <row r="10706" spans="1:2" x14ac:dyDescent="0.25">
      <c r="A10706" t="s">
        <v>11041</v>
      </c>
      <c r="B10706" s="9">
        <v>0</v>
      </c>
    </row>
    <row r="10707" spans="1:2" x14ac:dyDescent="0.25">
      <c r="A10707" t="s">
        <v>11042</v>
      </c>
      <c r="B10707" s="9">
        <v>0.1</v>
      </c>
    </row>
    <row r="10708" spans="1:2" x14ac:dyDescent="0.25">
      <c r="A10708" t="s">
        <v>11043</v>
      </c>
      <c r="B10708" s="9">
        <v>0.1</v>
      </c>
    </row>
    <row r="10709" spans="1:2" x14ac:dyDescent="0.25">
      <c r="A10709" t="s">
        <v>11044</v>
      </c>
      <c r="B10709" s="9">
        <v>0.1</v>
      </c>
    </row>
    <row r="10710" spans="1:2" x14ac:dyDescent="0.25">
      <c r="A10710" t="s">
        <v>11045</v>
      </c>
      <c r="B10710" s="9">
        <v>0.1</v>
      </c>
    </row>
    <row r="10711" spans="1:2" x14ac:dyDescent="0.25">
      <c r="A10711" t="s">
        <v>11046</v>
      </c>
      <c r="B10711" s="9">
        <v>0.1</v>
      </c>
    </row>
    <row r="10712" spans="1:2" x14ac:dyDescent="0.25">
      <c r="A10712" t="s">
        <v>11047</v>
      </c>
      <c r="B10712" s="9">
        <v>0.1</v>
      </c>
    </row>
    <row r="10713" spans="1:2" x14ac:dyDescent="0.25">
      <c r="A10713" t="s">
        <v>11048</v>
      </c>
      <c r="B10713" s="9">
        <v>0.1</v>
      </c>
    </row>
    <row r="10714" spans="1:2" x14ac:dyDescent="0.25">
      <c r="A10714" t="s">
        <v>11049</v>
      </c>
      <c r="B10714" s="9">
        <v>0.1</v>
      </c>
    </row>
    <row r="10715" spans="1:2" x14ac:dyDescent="0.25">
      <c r="A10715" t="s">
        <v>11050</v>
      </c>
      <c r="B10715" s="9">
        <v>0.1</v>
      </c>
    </row>
    <row r="10716" spans="1:2" x14ac:dyDescent="0.25">
      <c r="A10716" t="s">
        <v>11051</v>
      </c>
      <c r="B10716" s="9">
        <v>0.1</v>
      </c>
    </row>
    <row r="10717" spans="1:2" x14ac:dyDescent="0.25">
      <c r="A10717" t="s">
        <v>11052</v>
      </c>
      <c r="B10717" s="9">
        <v>0.1</v>
      </c>
    </row>
    <row r="10718" spans="1:2" x14ac:dyDescent="0.25">
      <c r="A10718" t="s">
        <v>11053</v>
      </c>
      <c r="B10718" s="9">
        <v>0.1</v>
      </c>
    </row>
    <row r="10719" spans="1:2" x14ac:dyDescent="0.25">
      <c r="A10719" t="s">
        <v>11054</v>
      </c>
      <c r="B10719" s="9">
        <v>0.1</v>
      </c>
    </row>
    <row r="10720" spans="1:2" x14ac:dyDescent="0.25">
      <c r="A10720" t="s">
        <v>11055</v>
      </c>
      <c r="B10720" s="9">
        <v>0.1</v>
      </c>
    </row>
    <row r="10721" spans="1:2" x14ac:dyDescent="0.25">
      <c r="A10721" t="s">
        <v>11056</v>
      </c>
      <c r="B10721" s="9">
        <v>0.1</v>
      </c>
    </row>
    <row r="10722" spans="1:2" x14ac:dyDescent="0.25">
      <c r="A10722" t="s">
        <v>11057</v>
      </c>
      <c r="B10722" s="9">
        <v>0.4</v>
      </c>
    </row>
    <row r="10723" spans="1:2" x14ac:dyDescent="0.25">
      <c r="A10723" t="s">
        <v>11058</v>
      </c>
      <c r="B10723" s="9">
        <v>0.2</v>
      </c>
    </row>
    <row r="10724" spans="1:2" x14ac:dyDescent="0.25">
      <c r="A10724" t="s">
        <v>11059</v>
      </c>
      <c r="B10724" s="9">
        <v>0.2</v>
      </c>
    </row>
    <row r="10725" spans="1:2" x14ac:dyDescent="0.25">
      <c r="A10725" t="s">
        <v>11060</v>
      </c>
      <c r="B10725" s="9">
        <v>0.1</v>
      </c>
    </row>
    <row r="10726" spans="1:2" x14ac:dyDescent="0.25">
      <c r="A10726" t="s">
        <v>11061</v>
      </c>
      <c r="B10726" s="9">
        <v>0.3</v>
      </c>
    </row>
    <row r="10727" spans="1:2" x14ac:dyDescent="0.25">
      <c r="A10727" t="s">
        <v>11062</v>
      </c>
      <c r="B10727" s="9">
        <v>0.22</v>
      </c>
    </row>
    <row r="10728" spans="1:2" x14ac:dyDescent="0.25">
      <c r="A10728" t="s">
        <v>11063</v>
      </c>
      <c r="B10728" s="9">
        <v>0.06</v>
      </c>
    </row>
    <row r="10729" spans="1:2" x14ac:dyDescent="0.25">
      <c r="A10729" t="s">
        <v>11064</v>
      </c>
      <c r="B10729" s="9">
        <v>0.2</v>
      </c>
    </row>
    <row r="10730" spans="1:2" x14ac:dyDescent="0.25">
      <c r="A10730" t="s">
        <v>11065</v>
      </c>
      <c r="B10730" s="9">
        <v>0.4</v>
      </c>
    </row>
    <row r="10731" spans="1:2" x14ac:dyDescent="0.25">
      <c r="A10731" t="s">
        <v>11066</v>
      </c>
      <c r="B10731" s="9">
        <v>0.4</v>
      </c>
    </row>
    <row r="10732" spans="1:2" x14ac:dyDescent="0.25">
      <c r="A10732" t="s">
        <v>11067</v>
      </c>
      <c r="B10732" s="9">
        <v>0.2</v>
      </c>
    </row>
    <row r="10733" spans="1:2" x14ac:dyDescent="0.25">
      <c r="A10733" t="s">
        <v>11068</v>
      </c>
      <c r="B10733" s="9">
        <v>0.2</v>
      </c>
    </row>
    <row r="10734" spans="1:2" x14ac:dyDescent="0.25">
      <c r="A10734" t="s">
        <v>11069</v>
      </c>
      <c r="B10734" s="9">
        <v>0.2</v>
      </c>
    </row>
    <row r="10735" spans="1:2" x14ac:dyDescent="0.25">
      <c r="A10735" t="s">
        <v>11070</v>
      </c>
      <c r="B10735" s="9">
        <v>0.2</v>
      </c>
    </row>
    <row r="10736" spans="1:2" x14ac:dyDescent="0.25">
      <c r="A10736" t="s">
        <v>11071</v>
      </c>
      <c r="B10736" s="9">
        <v>0.2</v>
      </c>
    </row>
    <row r="10737" spans="1:2" x14ac:dyDescent="0.25">
      <c r="A10737" t="s">
        <v>11072</v>
      </c>
      <c r="B10737" s="9">
        <v>0.2</v>
      </c>
    </row>
    <row r="10738" spans="1:2" x14ac:dyDescent="0.25">
      <c r="A10738" t="s">
        <v>11073</v>
      </c>
      <c r="B10738" s="9">
        <v>0.2</v>
      </c>
    </row>
    <row r="10739" spans="1:2" x14ac:dyDescent="0.25">
      <c r="A10739" t="s">
        <v>11074</v>
      </c>
      <c r="B10739" s="9">
        <v>0.2</v>
      </c>
    </row>
    <row r="10740" spans="1:2" x14ac:dyDescent="0.25">
      <c r="A10740" t="s">
        <v>11075</v>
      </c>
      <c r="B10740" s="9">
        <v>0.2</v>
      </c>
    </row>
    <row r="10741" spans="1:2" x14ac:dyDescent="0.25">
      <c r="A10741" t="s">
        <v>11076</v>
      </c>
      <c r="B10741" s="9">
        <v>0.2</v>
      </c>
    </row>
    <row r="10742" spans="1:2" x14ac:dyDescent="0.25">
      <c r="A10742" t="s">
        <v>11077</v>
      </c>
      <c r="B10742" s="9">
        <v>0.2</v>
      </c>
    </row>
    <row r="10743" spans="1:2" x14ac:dyDescent="0.25">
      <c r="A10743" t="s">
        <v>11078</v>
      </c>
      <c r="B10743" s="9">
        <v>0.2</v>
      </c>
    </row>
    <row r="10744" spans="1:2" x14ac:dyDescent="0.25">
      <c r="A10744" t="s">
        <v>11079</v>
      </c>
      <c r="B10744" s="9">
        <v>0.2</v>
      </c>
    </row>
    <row r="10745" spans="1:2" x14ac:dyDescent="0.25">
      <c r="A10745" t="s">
        <v>11080</v>
      </c>
      <c r="B10745" s="9">
        <v>0.2</v>
      </c>
    </row>
    <row r="10746" spans="1:2" x14ac:dyDescent="0.25">
      <c r="A10746" t="s">
        <v>11081</v>
      </c>
      <c r="B10746" s="9">
        <v>0.2</v>
      </c>
    </row>
    <row r="10747" spans="1:2" x14ac:dyDescent="0.25">
      <c r="A10747" t="s">
        <v>11082</v>
      </c>
      <c r="B10747" s="9">
        <v>0</v>
      </c>
    </row>
    <row r="10748" spans="1:2" x14ac:dyDescent="0.25">
      <c r="A10748" t="s">
        <v>11083</v>
      </c>
      <c r="B10748" s="9">
        <v>0.2</v>
      </c>
    </row>
    <row r="10749" spans="1:2" x14ac:dyDescent="0.25">
      <c r="A10749" t="s">
        <v>11084</v>
      </c>
      <c r="B10749" s="9">
        <v>0.2</v>
      </c>
    </row>
    <row r="10750" spans="1:2" x14ac:dyDescent="0.25">
      <c r="A10750" t="s">
        <v>11085</v>
      </c>
      <c r="B10750" s="9">
        <v>0.2</v>
      </c>
    </row>
    <row r="10751" spans="1:2" x14ac:dyDescent="0.25">
      <c r="A10751" t="s">
        <v>11086</v>
      </c>
      <c r="B10751" s="9">
        <v>0.2</v>
      </c>
    </row>
    <row r="10752" spans="1:2" x14ac:dyDescent="0.25">
      <c r="A10752" t="s">
        <v>11087</v>
      </c>
      <c r="B10752" s="9">
        <v>0.2</v>
      </c>
    </row>
    <row r="10753" spans="1:2" x14ac:dyDescent="0.25">
      <c r="A10753" t="s">
        <v>11088</v>
      </c>
      <c r="B10753" s="9">
        <v>0.2</v>
      </c>
    </row>
    <row r="10754" spans="1:2" x14ac:dyDescent="0.25">
      <c r="A10754" t="s">
        <v>11089</v>
      </c>
      <c r="B10754" s="9">
        <v>0.2</v>
      </c>
    </row>
    <row r="10755" spans="1:2" x14ac:dyDescent="0.25">
      <c r="A10755" t="s">
        <v>11090</v>
      </c>
      <c r="B10755" s="9">
        <v>0.2</v>
      </c>
    </row>
    <row r="10756" spans="1:2" x14ac:dyDescent="0.25">
      <c r="A10756" t="s">
        <v>11091</v>
      </c>
      <c r="B10756" s="9">
        <v>0.1</v>
      </c>
    </row>
    <row r="10757" spans="1:2" x14ac:dyDescent="0.25">
      <c r="A10757" t="s">
        <v>11092</v>
      </c>
      <c r="B10757" s="9">
        <v>0</v>
      </c>
    </row>
    <row r="10758" spans="1:2" x14ac:dyDescent="0.25">
      <c r="A10758" t="s">
        <v>11093</v>
      </c>
      <c r="B10758" s="9">
        <v>0.1</v>
      </c>
    </row>
    <row r="10759" spans="1:2" x14ac:dyDescent="0.25">
      <c r="A10759" t="s">
        <v>11094</v>
      </c>
      <c r="B10759" s="9">
        <v>0.1</v>
      </c>
    </row>
    <row r="10760" spans="1:2" x14ac:dyDescent="0.25">
      <c r="A10760" t="s">
        <v>11095</v>
      </c>
      <c r="B10760" s="9">
        <v>0.1</v>
      </c>
    </row>
    <row r="10761" spans="1:2" x14ac:dyDescent="0.25">
      <c r="A10761" t="s">
        <v>11096</v>
      </c>
      <c r="B10761" s="9">
        <v>0.1</v>
      </c>
    </row>
    <row r="10762" spans="1:2" x14ac:dyDescent="0.25">
      <c r="A10762" t="s">
        <v>11097</v>
      </c>
      <c r="B10762" s="9">
        <v>0.1</v>
      </c>
    </row>
    <row r="10763" spans="1:2" x14ac:dyDescent="0.25">
      <c r="A10763" t="s">
        <v>11098</v>
      </c>
      <c r="B10763" s="9">
        <v>0.1</v>
      </c>
    </row>
    <row r="10764" spans="1:2" x14ac:dyDescent="0.25">
      <c r="A10764" t="s">
        <v>11099</v>
      </c>
      <c r="B10764" s="9">
        <v>0.1</v>
      </c>
    </row>
    <row r="10765" spans="1:2" x14ac:dyDescent="0.25">
      <c r="A10765" t="s">
        <v>11100</v>
      </c>
      <c r="B10765" s="9">
        <v>0.1</v>
      </c>
    </row>
    <row r="10766" spans="1:2" x14ac:dyDescent="0.25">
      <c r="A10766" t="s">
        <v>11101</v>
      </c>
      <c r="B10766" s="9">
        <v>0.1</v>
      </c>
    </row>
    <row r="10767" spans="1:2" x14ac:dyDescent="0.25">
      <c r="A10767" t="s">
        <v>11102</v>
      </c>
      <c r="B10767" s="9">
        <v>0.1</v>
      </c>
    </row>
    <row r="10768" spans="1:2" x14ac:dyDescent="0.25">
      <c r="A10768" t="s">
        <v>11103</v>
      </c>
      <c r="B10768" s="9">
        <v>0.1</v>
      </c>
    </row>
    <row r="10769" spans="1:2" x14ac:dyDescent="0.25">
      <c r="A10769" t="s">
        <v>11104</v>
      </c>
      <c r="B10769" s="9">
        <v>0.1</v>
      </c>
    </row>
    <row r="10770" spans="1:2" x14ac:dyDescent="0.25">
      <c r="A10770" t="s">
        <v>11105</v>
      </c>
      <c r="B10770" s="9">
        <v>0</v>
      </c>
    </row>
    <row r="10771" spans="1:2" x14ac:dyDescent="0.25">
      <c r="A10771" t="s">
        <v>11106</v>
      </c>
      <c r="B10771" s="9">
        <v>0</v>
      </c>
    </row>
    <row r="10772" spans="1:2" x14ac:dyDescent="0.25">
      <c r="A10772" t="s">
        <v>11107</v>
      </c>
      <c r="B10772" s="9">
        <v>0</v>
      </c>
    </row>
    <row r="10773" spans="1:2" x14ac:dyDescent="0.25">
      <c r="A10773" t="s">
        <v>11108</v>
      </c>
      <c r="B10773" s="9">
        <v>0</v>
      </c>
    </row>
    <row r="10774" spans="1:2" x14ac:dyDescent="0.25">
      <c r="A10774" t="s">
        <v>11109</v>
      </c>
      <c r="B10774" s="9">
        <v>0</v>
      </c>
    </row>
    <row r="10775" spans="1:2" x14ac:dyDescent="0.25">
      <c r="A10775" t="s">
        <v>11110</v>
      </c>
      <c r="B10775" s="9">
        <v>0</v>
      </c>
    </row>
    <row r="10776" spans="1:2" x14ac:dyDescent="0.25">
      <c r="A10776" t="s">
        <v>11111</v>
      </c>
      <c r="B10776" s="9">
        <v>0</v>
      </c>
    </row>
    <row r="10777" spans="1:2" x14ac:dyDescent="0.25">
      <c r="A10777" t="s">
        <v>11112</v>
      </c>
      <c r="B10777" s="9">
        <v>0</v>
      </c>
    </row>
    <row r="10778" spans="1:2" x14ac:dyDescent="0.25">
      <c r="A10778" t="s">
        <v>11113</v>
      </c>
      <c r="B10778" s="9">
        <v>0</v>
      </c>
    </row>
    <row r="10779" spans="1:2" x14ac:dyDescent="0.25">
      <c r="A10779" t="s">
        <v>11114</v>
      </c>
      <c r="B10779" s="9">
        <v>0</v>
      </c>
    </row>
    <row r="10780" spans="1:2" x14ac:dyDescent="0.25">
      <c r="A10780" t="s">
        <v>11115</v>
      </c>
      <c r="B10780" s="9">
        <v>0</v>
      </c>
    </row>
    <row r="10781" spans="1:2" x14ac:dyDescent="0.25">
      <c r="A10781" t="s">
        <v>11116</v>
      </c>
      <c r="B10781" s="9">
        <v>0</v>
      </c>
    </row>
    <row r="10782" spans="1:2" x14ac:dyDescent="0.25">
      <c r="A10782" t="s">
        <v>11117</v>
      </c>
      <c r="B10782" s="9">
        <v>0</v>
      </c>
    </row>
    <row r="10783" spans="1:2" x14ac:dyDescent="0.25">
      <c r="A10783" t="s">
        <v>11118</v>
      </c>
      <c r="B10783" s="9">
        <v>0</v>
      </c>
    </row>
    <row r="10784" spans="1:2" x14ac:dyDescent="0.25">
      <c r="A10784" t="s">
        <v>11119</v>
      </c>
      <c r="B10784" s="9">
        <v>0.1</v>
      </c>
    </row>
    <row r="10785" spans="1:2" x14ac:dyDescent="0.25">
      <c r="A10785" t="s">
        <v>11120</v>
      </c>
      <c r="B10785" s="9">
        <v>0</v>
      </c>
    </row>
    <row r="10786" spans="1:2" x14ac:dyDescent="0.25">
      <c r="A10786" t="s">
        <v>11121</v>
      </c>
      <c r="B10786" s="9">
        <v>0</v>
      </c>
    </row>
    <row r="10787" spans="1:2" x14ac:dyDescent="0.25">
      <c r="A10787" t="s">
        <v>11122</v>
      </c>
      <c r="B10787" s="9">
        <v>0</v>
      </c>
    </row>
    <row r="10788" spans="1:2" x14ac:dyDescent="0.25">
      <c r="A10788" t="s">
        <v>11123</v>
      </c>
      <c r="B10788" s="9">
        <v>0</v>
      </c>
    </row>
    <row r="10789" spans="1:2" x14ac:dyDescent="0.25">
      <c r="A10789" t="s">
        <v>11124</v>
      </c>
      <c r="B10789" s="9">
        <v>0</v>
      </c>
    </row>
    <row r="10790" spans="1:2" x14ac:dyDescent="0.25">
      <c r="A10790" t="s">
        <v>11125</v>
      </c>
      <c r="B10790" s="9">
        <v>0</v>
      </c>
    </row>
    <row r="10791" spans="1:2" x14ac:dyDescent="0.25">
      <c r="A10791" t="s">
        <v>11126</v>
      </c>
      <c r="B10791" s="9">
        <v>0</v>
      </c>
    </row>
    <row r="10792" spans="1:2" x14ac:dyDescent="0.25">
      <c r="A10792" t="s">
        <v>11127</v>
      </c>
      <c r="B10792" s="9">
        <v>0</v>
      </c>
    </row>
    <row r="10793" spans="1:2" x14ac:dyDescent="0.25">
      <c r="A10793" t="s">
        <v>11128</v>
      </c>
      <c r="B10793" s="9">
        <v>0.2</v>
      </c>
    </row>
    <row r="10794" spans="1:2" x14ac:dyDescent="0.25">
      <c r="A10794" t="s">
        <v>11129</v>
      </c>
      <c r="B10794" s="9">
        <v>0.2</v>
      </c>
    </row>
    <row r="10795" spans="1:2" x14ac:dyDescent="0.25">
      <c r="A10795" t="s">
        <v>11130</v>
      </c>
      <c r="B10795" s="9">
        <v>0.2</v>
      </c>
    </row>
    <row r="10796" spans="1:2" x14ac:dyDescent="0.25">
      <c r="A10796" t="s">
        <v>11131</v>
      </c>
      <c r="B10796" s="9">
        <v>0.2</v>
      </c>
    </row>
    <row r="10797" spans="1:2" x14ac:dyDescent="0.25">
      <c r="A10797" t="s">
        <v>11132</v>
      </c>
      <c r="B10797" s="9">
        <v>0.2</v>
      </c>
    </row>
    <row r="10798" spans="1:2" x14ac:dyDescent="0.25">
      <c r="A10798" t="s">
        <v>11133</v>
      </c>
      <c r="B10798" s="9">
        <v>0.2</v>
      </c>
    </row>
    <row r="10799" spans="1:2" x14ac:dyDescent="0.25">
      <c r="A10799" t="s">
        <v>11134</v>
      </c>
      <c r="B10799" s="9">
        <v>0.2</v>
      </c>
    </row>
    <row r="10800" spans="1:2" x14ac:dyDescent="0.25">
      <c r="A10800" t="s">
        <v>11135</v>
      </c>
      <c r="B10800" s="9">
        <v>0.2</v>
      </c>
    </row>
    <row r="10801" spans="1:2" x14ac:dyDescent="0.25">
      <c r="A10801" t="s">
        <v>11136</v>
      </c>
      <c r="B10801" s="9">
        <v>0.2</v>
      </c>
    </row>
    <row r="10802" spans="1:2" x14ac:dyDescent="0.25">
      <c r="A10802" t="s">
        <v>11137</v>
      </c>
      <c r="B10802" s="9">
        <v>0.2</v>
      </c>
    </row>
    <row r="10803" spans="1:2" x14ac:dyDescent="0.25">
      <c r="A10803" t="s">
        <v>11138</v>
      </c>
      <c r="B10803" s="9">
        <v>0</v>
      </c>
    </row>
    <row r="10804" spans="1:2" x14ac:dyDescent="0.25">
      <c r="A10804" t="s">
        <v>11139</v>
      </c>
      <c r="B10804" s="9">
        <v>0</v>
      </c>
    </row>
    <row r="10805" spans="1:2" x14ac:dyDescent="0.25">
      <c r="A10805" t="s">
        <v>11140</v>
      </c>
      <c r="B10805" s="9">
        <v>0</v>
      </c>
    </row>
    <row r="10806" spans="1:2" x14ac:dyDescent="0.25">
      <c r="A10806" t="s">
        <v>11141</v>
      </c>
      <c r="B10806" s="9">
        <v>0</v>
      </c>
    </row>
    <row r="10807" spans="1:2" x14ac:dyDescent="0.25">
      <c r="A10807" t="s">
        <v>11142</v>
      </c>
      <c r="B10807" s="9">
        <v>0</v>
      </c>
    </row>
    <row r="10808" spans="1:2" x14ac:dyDescent="0.25">
      <c r="A10808" t="s">
        <v>11143</v>
      </c>
      <c r="B10808" s="9">
        <v>0.2</v>
      </c>
    </row>
    <row r="10809" spans="1:2" x14ac:dyDescent="0.25">
      <c r="A10809" t="s">
        <v>11144</v>
      </c>
      <c r="B10809" s="9">
        <v>0.2</v>
      </c>
    </row>
    <row r="10810" spans="1:2" x14ac:dyDescent="0.25">
      <c r="A10810" t="s">
        <v>11145</v>
      </c>
      <c r="B10810" s="9">
        <v>0.2</v>
      </c>
    </row>
    <row r="10811" spans="1:2" x14ac:dyDescent="0.25">
      <c r="A10811" t="s">
        <v>11146</v>
      </c>
      <c r="B10811" s="9">
        <v>0.2</v>
      </c>
    </row>
    <row r="10812" spans="1:2" x14ac:dyDescent="0.25">
      <c r="A10812" t="s">
        <v>11147</v>
      </c>
      <c r="B10812" s="9">
        <v>0.2</v>
      </c>
    </row>
    <row r="10813" spans="1:2" x14ac:dyDescent="0.25">
      <c r="A10813" t="s">
        <v>11148</v>
      </c>
      <c r="B10813" s="9">
        <v>0.2</v>
      </c>
    </row>
    <row r="10814" spans="1:2" x14ac:dyDescent="0.25">
      <c r="A10814" t="s">
        <v>11149</v>
      </c>
      <c r="B10814" s="9">
        <v>0.4</v>
      </c>
    </row>
    <row r="10815" spans="1:2" x14ac:dyDescent="0.25">
      <c r="A10815" t="s">
        <v>11150</v>
      </c>
      <c r="B10815" s="9">
        <v>0.4</v>
      </c>
    </row>
    <row r="10816" spans="1:2" x14ac:dyDescent="0.25">
      <c r="A10816" t="s">
        <v>11151</v>
      </c>
      <c r="B10816" s="9">
        <v>0.4</v>
      </c>
    </row>
    <row r="10817" spans="1:2" x14ac:dyDescent="0.25">
      <c r="A10817" t="s">
        <v>11152</v>
      </c>
      <c r="B10817" s="9">
        <v>0.4</v>
      </c>
    </row>
    <row r="10818" spans="1:2" x14ac:dyDescent="0.25">
      <c r="A10818" t="s">
        <v>11153</v>
      </c>
      <c r="B10818" s="9">
        <v>0.3</v>
      </c>
    </row>
    <row r="10819" spans="1:2" x14ac:dyDescent="0.25">
      <c r="A10819" t="s">
        <v>11154</v>
      </c>
      <c r="B10819" s="9">
        <v>0.15</v>
      </c>
    </row>
    <row r="10820" spans="1:2" x14ac:dyDescent="0.25">
      <c r="A10820" t="s">
        <v>11155</v>
      </c>
      <c r="B10820" s="9">
        <v>0.15</v>
      </c>
    </row>
    <row r="10821" spans="1:2" x14ac:dyDescent="0.25">
      <c r="A10821" t="s">
        <v>11156</v>
      </c>
      <c r="B10821" s="9">
        <v>0.15</v>
      </c>
    </row>
    <row r="10822" spans="1:2" x14ac:dyDescent="0.25">
      <c r="A10822" t="s">
        <v>11157</v>
      </c>
      <c r="B10822" s="9">
        <v>0.2</v>
      </c>
    </row>
    <row r="10823" spans="1:2" x14ac:dyDescent="0.25">
      <c r="A10823" t="s">
        <v>11158</v>
      </c>
      <c r="B10823" s="9">
        <v>0</v>
      </c>
    </row>
    <row r="10824" spans="1:2" x14ac:dyDescent="0.25">
      <c r="A10824" t="s">
        <v>11159</v>
      </c>
      <c r="B10824" s="9">
        <v>0.15</v>
      </c>
    </row>
    <row r="10825" spans="1:2" x14ac:dyDescent="0.25">
      <c r="A10825" t="s">
        <v>11160</v>
      </c>
      <c r="B10825" s="9">
        <v>0.15</v>
      </c>
    </row>
    <row r="10826" spans="1:2" x14ac:dyDescent="0.25">
      <c r="A10826" t="s">
        <v>11161</v>
      </c>
      <c r="B10826" s="9">
        <v>0.18</v>
      </c>
    </row>
    <row r="10827" spans="1:2" x14ac:dyDescent="0.25">
      <c r="A10827" t="s">
        <v>11162</v>
      </c>
      <c r="B10827" s="9">
        <v>0</v>
      </c>
    </row>
    <row r="10828" spans="1:2" x14ac:dyDescent="0.25">
      <c r="A10828" t="s">
        <v>11163</v>
      </c>
      <c r="B10828" s="9">
        <v>0.05</v>
      </c>
    </row>
    <row r="10829" spans="1:2" x14ac:dyDescent="0.25">
      <c r="A10829" t="s">
        <v>11164</v>
      </c>
      <c r="B10829" s="9">
        <v>0.15</v>
      </c>
    </row>
    <row r="10830" spans="1:2" x14ac:dyDescent="0.25">
      <c r="A10830" t="s">
        <v>11165</v>
      </c>
      <c r="B10830" s="9">
        <v>0.15</v>
      </c>
    </row>
    <row r="10831" spans="1:2" x14ac:dyDescent="0.25">
      <c r="A10831" t="s">
        <v>11166</v>
      </c>
      <c r="B10831" s="9">
        <v>0</v>
      </c>
    </row>
    <row r="10832" spans="1:2" x14ac:dyDescent="0.25">
      <c r="A10832" t="s">
        <v>11167</v>
      </c>
      <c r="B10832" s="9">
        <v>0</v>
      </c>
    </row>
    <row r="10833" spans="1:2" x14ac:dyDescent="0.25">
      <c r="A10833" t="s">
        <v>11168</v>
      </c>
      <c r="B10833" s="9">
        <v>0</v>
      </c>
    </row>
    <row r="10834" spans="1:2" x14ac:dyDescent="0.25">
      <c r="A10834" t="s">
        <v>11169</v>
      </c>
      <c r="B10834" s="9">
        <v>0</v>
      </c>
    </row>
    <row r="10835" spans="1:2" x14ac:dyDescent="0.25">
      <c r="A10835" t="s">
        <v>11170</v>
      </c>
      <c r="B10835" s="9">
        <v>0</v>
      </c>
    </row>
    <row r="10836" spans="1:2" x14ac:dyDescent="0.25">
      <c r="A10836" t="s">
        <v>11171</v>
      </c>
      <c r="B10836" s="9">
        <v>0</v>
      </c>
    </row>
    <row r="10837" spans="1:2" x14ac:dyDescent="0.25">
      <c r="A10837" t="s">
        <v>11172</v>
      </c>
      <c r="B10837" s="9">
        <v>0</v>
      </c>
    </row>
    <row r="10838" spans="1:2" x14ac:dyDescent="0.25">
      <c r="A10838" t="s">
        <v>11173</v>
      </c>
      <c r="B10838" s="9">
        <v>0</v>
      </c>
    </row>
    <row r="10839" spans="1:2" x14ac:dyDescent="0.25">
      <c r="A10839" s="1" t="s">
        <v>13</v>
      </c>
      <c r="B10839" s="9">
        <v>0.1</v>
      </c>
    </row>
    <row r="10840" spans="1:2" x14ac:dyDescent="0.25">
      <c r="A10840" s="1" t="s">
        <v>15</v>
      </c>
      <c r="B10840" s="9">
        <v>0.1</v>
      </c>
    </row>
  </sheetData>
  <autoFilter ref="A1:C1" xr:uid="{F26E2B87-42F0-4C5F-993C-02D90859D7C3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2021-06-13T16:49:14Z</dcterms:modified>
</cp:coreProperties>
</file>